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f21b72d5be44898" /></Relationships>
</file>

<file path=xl/workbook.xml><?xml version="1.0" encoding="utf-8"?>
<x:workbook xmlns:x="http://schemas.openxmlformats.org/spreadsheetml/2006/main">
  <x:sheets>
    <x:sheet xmlns:r="http://schemas.openxmlformats.org/officeDocument/2006/relationships" name="00_版本与口径" sheetId="1" r:id="R56a4e61a656b4c80"/>
    <x:sheet xmlns:r="http://schemas.openxmlformats.org/officeDocument/2006/relationships" name="01_棋子基础" sheetId="2" r:id="Re12b25a0e84d484b"/>
    <x:sheet xmlns:r="http://schemas.openxmlformats.org/officeDocument/2006/relationships" name="02_棋子技能" sheetId="3" r:id="Rfd67bbc328fc467c"/>
    <x:sheet xmlns:r="http://schemas.openxmlformats.org/officeDocument/2006/relationships" name="03_宠物技能" sheetId="4" r:id="R1d6d99d566a549c9"/>
    <x:sheet xmlns:r="http://schemas.openxmlformats.org/officeDocument/2006/relationships" name="04_羁绊" sheetId="5" r:id="Ra7d776b64af044ff"/>
    <x:sheet xmlns:r="http://schemas.openxmlformats.org/officeDocument/2006/relationships" name="05_野怪" sheetId="6" r:id="R7611c374b0e64edc"/>
    <x:sheet xmlns:r="http://schemas.openxmlformats.org/officeDocument/2006/relationships" name="06_Boss" sheetId="7" r:id="Ra945e2cd6d3848c9"/>
    <x:sheet xmlns:r="http://schemas.openxmlformats.org/officeDocument/2006/relationships" name="07_佣兵" sheetId="8" r:id="Rc61a6b0da8b846e8"/>
    <x:sheet xmlns:r="http://schemas.openxmlformats.org/officeDocument/2006/relationships" name="09_宝藏与套装" sheetId="10" r:id="R315ed0fb491741f8"/>
    <x:sheet xmlns:r="http://schemas.openxmlformats.org/officeDocument/2006/relationships" name="10_宝藏联动" sheetId="11" r:id="R2ddf7ca654a743d8"/>
    <x:sheet xmlns:r="http://schemas.openxmlformats.org/officeDocument/2006/relationships" name="13_怪物Boss回合" sheetId="14" r:id="Rc0e0ae3ab1984431"/>
    <x:sheet xmlns:r="http://schemas.openxmlformats.org/officeDocument/2006/relationships" name="92_战斗参数" sheetId="19" r:id="Rf00c0413ed4f4d4b"/>
  </x:sheets>
</x:workbook>
</file>

<file path=xl/sharedStrings.xml><?xml version="1.0" encoding="utf-8"?>
<x:sst xmlns:x="http://schemas.openxmlformats.org/spreadsheetml/2006/main">
  <x:si>
    <x:t xml:space="preserve">00_版本与口径</x:t>
  </x:si>
  <x:si>
    <x:t xml:space="preserve">项目</x:t>
  </x:si>
  <x:si>
    <x:t xml:space="preserve">内容</x:t>
  </x:si>
  <x:si>
    <x:t xml:space="preserve">来源 / 约束</x:t>
  </x:si>
  <x:si>
    <x:t xml:space="preserve">版本</x:t>
  </x:si>
  <x:si>
    <x:t xml:space="preserve">2026-10-08 新表 + 2026-10-10 运行 JSON 变更；技能探针旧样本见各页说明</x:t>
  </x:si>
  <x:si>
    <x:t xml:space="preserve">来源文件</x:t>
  </x:si>
  <x:si>
    <x:t xml:space="preserve">数值总表_Beta0.04_运行实值_20261008.xlsx</x:t>
  </x:si>
  <x:si>
    <x:t xml:space="preserve">SHA-256 0a574a561aff378d369eda13b92239bded1bc418d8f4dd7726c22621edadd5f6</x:t>
  </x:si>
  <x:si>
    <x:t xml:space="preserve">详细数值</x:t>
  </x:si>
  <x:si>
    <x:t xml:space="preserve">Godot 本机运行导出 2026-10-07T13:54:53 UTC</x:t>
  </x:si>
  <x:si>
    <x:t xml:space="preserve">线上 21/21 回放有效，但没有逐击系数</x:t>
  </x:si>
  <x:si>
    <x:t xml:space="preserve">显示口径</x:t>
  </x:si>
  <x:si>
    <x:t xml:space="preserve">中文文案以本表各业务页为准；4★ 完整技能句由 Godot 根据 4★ 覆盖值补足</x:t>
  </x:si>
  <x:si>
    <x:t xml:space="preserve">UnitDetailFormat / UnitFactory</x:t>
  </x:si>
  <x:si>
    <x:t xml:space="preserve">运行口径</x:t>
  </x:si>
  <x:si>
    <x:t xml:space="preserve">客户端以稳定 ID 查 data/balance/final_status.json 显示；战斗仍使用原 JSON 与服务端权威计算</x:t>
  </x:si>
  <x:si>
    <x:t xml:space="preserve">避免手机运行时解析 xlsx</x:t>
  </x:si>
  <x:si>
    <x:t xml:space="preserve">待核项</x:t>
  </x:si>
  <x:si>
    <x:t xml:space="preserve">灵族、凤凰涅槃、赌博倍率已按用户确认订正</x:t>
  </x:si>
  <x:si>
    <x:t xml:space="preserve">01_棋子基础</x:t>
  </x:si>
  <x:si>
    <x:t xml:space="preserve">编辑 1★ HP / 攻击 / 防御（G、K、O 列）；2–4★由公式按游戏星级倍率计算。运行前执行 tools/run_with_final.py，同步 JSON 和游戏显示。</x:t>
  </x:si>
  <x:si>
    <x:t xml:space="preserve">ID</x:t>
  </x:si>
  <x:si>
    <x:t xml:space="preserve">名称</x:t>
  </x:si>
  <x:si>
    <x:t xml:space="preserve">种族</x:t>
  </x:si>
  <x:si>
    <x:t xml:space="preserve">属性</x:t>
  </x:si>
  <x:si>
    <x:t xml:space="preserve">阶</x:t>
  </x:si>
  <x:si>
    <x:t xml:space="preserve">售价</x:t>
  </x:si>
  <x:si>
    <x:t xml:space="preserve">1★HP</x:t>
  </x:si>
  <x:si>
    <x:t xml:space="preserve">2★HP</x:t>
  </x:si>
  <x:si>
    <x:t xml:space="preserve">3★HP</x:t>
  </x:si>
  <x:si>
    <x:t xml:space="preserve">4★HP</x:t>
  </x:si>
  <x:si>
    <x:t xml:space="preserve">1★攻</x:t>
  </x:si>
  <x:si>
    <x:t xml:space="preserve">2★攻</x:t>
  </x:si>
  <x:si>
    <x:t xml:space="preserve">3★攻</x:t>
  </x:si>
  <x:si>
    <x:t xml:space="preserve">4★攻</x:t>
  </x:si>
  <x:si>
    <x:t xml:space="preserve">1★防</x:t>
  </x:si>
  <x:si>
    <x:t xml:space="preserve">2★防</x:t>
  </x:si>
  <x:si>
    <x:t xml:space="preserve">3★防</x:t>
  </x:si>
  <x:si>
    <x:t xml:space="preserve">4★防</x:t>
  </x:si>
  <x:si>
    <x:t xml:space="preserve">攻速</x:t>
  </x:si>
  <x:si>
    <x:t xml:space="preserve">射程</x:t>
  </x:si>
  <x:si>
    <x:t xml:space="preserve">射程px</x:t>
  </x:si>
  <x:si>
    <x:t xml:space="preserve">移速</x:t>
  </x:si>
  <x:si>
    <x:t xml:space="preserve">移速px/s</x:t>
  </x:si>
  <x:si>
    <x:t xml:space="preserve">暴击</x:t>
  </x:si>
  <x:si>
    <x:t xml:space="preserve">暴伤</x:t>
  </x:si>
  <x:si>
    <x:t xml:space="preserve">1★闪避</x:t>
  </x:si>
  <x:si>
    <x:t xml:space="preserve">4★闪避</x:t>
  </x:si>
  <x:si>
    <x:t xml:space="preserve">全场唯一</x:t>
  </x:si>
  <x:si>
    <x:t xml:space="preserve">技能ID</x:t>
  </x:si>
  <x:si>
    <x:t xml:space="preserve">dark_imp</x:t>
  </x:si>
  <x:si>
    <x:t xml:space="preserve">魔童</x:t>
  </x:si>
  <x:si>
    <x:t xml:space="preserve">暗族</x:t>
  </x:si>
  <x:si>
    <x:t xml:space="preserve">人</x:t>
  </x:si>
  <x:si>
    <x:t xml:space="preserve">5%</x:t>
  </x:si>
  <x:si>
    <x:t xml:space="preserve">—</x:t>
  </x:si>
  <x:si>
    <x:t xml:space="preserve">curse_attack</x:t>
  </x:si>
  <x:si>
    <x:t xml:space="preserve">dark_mage</x:t>
  </x:si>
  <x:si>
    <x:t xml:space="preserve">暗影法师</x:t>
  </x:si>
  <x:si>
    <x:t xml:space="preserve">天</x:t>
  </x:si>
  <x:si>
    <x:t xml:space="preserve">silence_bolt</x:t>
  </x:si>
  <x:si>
    <x:t xml:space="preserve">dark_fear</x:t>
  </x:si>
  <x:si>
    <x:t xml:space="preserve">恐惧魔</x:t>
  </x:si>
  <x:si>
    <x:t xml:space="preserve">地</x:t>
  </x:si>
  <x:si>
    <x:t xml:space="preserve">8%</x:t>
  </x:si>
  <x:si>
    <x:t xml:space="preserve">fear</x:t>
  </x:si>
  <x:si>
    <x:t xml:space="preserve">dark_queen</x:t>
  </x:si>
  <x:si>
    <x:t xml:space="preserve">痛苦女王</x:t>
  </x:si>
  <x:si>
    <x:t xml:space="preserve">same_target_damage_stack</x:t>
  </x:si>
  <x:si>
    <x:t xml:space="preserve">dark_scythe</x:t>
  </x:si>
  <x:si>
    <x:t xml:space="preserve">偷袭者</x:t>
  </x:si>
  <x:si>
    <x:t xml:space="preserve">12%</x:t>
  </x:si>
  <x:si>
    <x:t xml:space="preserve">blink_low_def_backline</x:t>
  </x:si>
  <x:si>
    <x:t xml:space="preserve">dark_suc</x:t>
  </x:si>
  <x:si>
    <x:t xml:space="preserve">魅魔</x:t>
  </x:si>
  <x:si>
    <x:t xml:space="preserve">stun</x:t>
  </x:si>
  <x:si>
    <x:t xml:space="preserve">dark_doom</x:t>
  </x:si>
  <x:si>
    <x:t xml:space="preserve">末日守卫</x:t>
  </x:si>
  <x:si>
    <x:t xml:space="preserve">10%</x:t>
  </x:si>
  <x:si>
    <x:t xml:space="preserve">是</x:t>
  </x:si>
  <x:si>
    <x:t xml:space="preserve">shared_hp_link</x:t>
  </x:si>
  <x:si>
    <x:t xml:space="preserve">dark_dragon</x:t>
  </x:si>
  <x:si>
    <x:t xml:space="preserve">黑龙</x:t>
  </x:si>
  <x:si>
    <x:t xml:space="preserve">black_hole</x:t>
  </x:si>
  <x:si>
    <x:t xml:space="preserve">god_priest</x:t>
  </x:si>
  <x:si>
    <x:t xml:space="preserve">神侍</x:t>
  </x:si>
  <x:si>
    <x:t xml:space="preserve">神族</x:t>
  </x:si>
  <x:si>
    <x:t xml:space="preserve">lowest_ally_heal</x:t>
  </x:si>
  <x:si>
    <x:t xml:space="preserve">god_priestess</x:t>
  </x:si>
  <x:si>
    <x:t xml:space="preserve">大祭司</x:t>
  </x:si>
  <x:si>
    <x:t xml:space="preserve">nearest_ally_bless</x:t>
  </x:si>
  <x:si>
    <x:t xml:space="preserve">god_angel</x:t>
  </x:si>
  <x:si>
    <x:t xml:space="preserve">天使</x:t>
  </x:si>
  <x:si>
    <x:t xml:space="preserve">nearby_ally_heal_buff</x:t>
  </x:si>
  <x:si>
    <x:t xml:space="preserve">god_arbiter</x:t>
  </x:si>
  <x:si>
    <x:t xml:space="preserve">裁决者</x:t>
  </x:si>
  <x:si>
    <x:t xml:space="preserve">judgement_strike</x:t>
  </x:si>
  <x:si>
    <x:t xml:space="preserve">god_aurora</x:t>
  </x:si>
  <x:si>
    <x:t xml:space="preserve">极光射手</x:t>
  </x:si>
  <x:si>
    <x:t xml:space="preserve">true_damage_attack</x:t>
  </x:si>
  <x:si>
    <x:t xml:space="preserve">god_guard</x:t>
  </x:si>
  <x:si>
    <x:t xml:space="preserve">光之卫士</x:t>
  </x:si>
  <x:si>
    <x:t xml:space="preserve">guardian_shield_taunt</x:t>
  </x:si>
  <x:si>
    <x:t xml:space="preserve">god_archangel</x:t>
  </x:si>
  <x:si>
    <x:t xml:space="preserve">大天使</x:t>
  </x:si>
  <x:si>
    <x:t xml:space="preserve">random_ally_damage_reduction</x:t>
  </x:si>
  <x:si>
    <x:t xml:space="preserve">god_king</x:t>
  </x:si>
  <x:si>
    <x:t xml:space="preserve">神王</x:t>
  </x:si>
  <x:si>
    <x:t xml:space="preserve">global_divine_blast</x:t>
  </x:si>
  <x:si>
    <x:t xml:space="preserve">human_merchant</x:t>
  </x:si>
  <x:si>
    <x:t xml:space="preserve">商人</x:t>
  </x:si>
  <x:si>
    <x:t xml:space="preserve">人族</x:t>
  </x:si>
  <x:si>
    <x:t xml:space="preserve">post_battle_gold_by_star</x:t>
  </x:si>
  <x:si>
    <x:t xml:space="preserve">human_militia</x:t>
  </x:si>
  <x:si>
    <x:t xml:space="preserve">民兵</x:t>
  </x:si>
  <x:si>
    <x:t xml:space="preserve">attack_interrupt</x:t>
  </x:si>
  <x:si>
    <x:t xml:space="preserve">human_archer</x:t>
  </x:si>
  <x:si>
    <x:t xml:space="preserve">弓箭手</x:t>
  </x:si>
  <x:si>
    <x:t xml:space="preserve">every_fourth_combo</x:t>
  </x:si>
  <x:si>
    <x:t xml:space="preserve">human_cleric</x:t>
  </x:si>
  <x:si>
    <x:t xml:space="preserve">牧师</x:t>
  </x:si>
  <x:si>
    <x:t xml:space="preserve">every_fifth_group_heal</x:t>
  </x:si>
  <x:si>
    <x:t xml:space="preserve">human_death_servant</x:t>
  </x:si>
  <x:si>
    <x:t xml:space="preserve">死侍</x:t>
  </x:si>
  <x:si>
    <x:t xml:space="preserve">0%</x:t>
  </x:si>
  <x:si>
    <x:t xml:space="preserve">left_neighbor_sacrifice</x:t>
  </x:si>
  <x:si>
    <x:t xml:space="preserve">human_mage</x:t>
  </x:si>
  <x:si>
    <x:t xml:space="preserve">法师</x:t>
  </x:si>
  <x:si>
    <x:t xml:space="preserve">random_attribute_bolt</x:t>
  </x:si>
  <x:si>
    <x:t xml:space="preserve">human_swordsman</x:t>
  </x:si>
  <x:si>
    <x:t xml:space="preserve">剑士</x:t>
  </x:si>
  <x:si>
    <x:t xml:space="preserve">front_cone_stun</x:t>
  </x:si>
  <x:si>
    <x:t xml:space="preserve">human_king</x:t>
  </x:si>
  <x:si>
    <x:t xml:space="preserve">人王</x:t>
  </x:si>
  <x:si>
    <x:t xml:space="preserve">7%</x:t>
  </x:si>
  <x:si>
    <x:t xml:space="preserve">unique_king_growth</x:t>
  </x:si>
  <x:si>
    <x:t xml:space="preserve">undead_poison</x:t>
  </x:si>
  <x:si>
    <x:t xml:space="preserve">毒灵</x:t>
  </x:si>
  <x:si>
    <x:t xml:space="preserve">亡灵</x:t>
  </x:si>
  <x:si>
    <x:t xml:space="preserve">poison_attack</x:t>
  </x:si>
  <x:si>
    <x:t xml:space="preserve">undead_small</x:t>
  </x:si>
  <x:si>
    <x:t xml:space="preserve">小灵</x:t>
  </x:si>
  <x:si>
    <x:t xml:space="preserve">none</x:t>
  </x:si>
  <x:si>
    <x:t xml:space="preserve">undead_bomb</x:t>
  </x:si>
  <x:si>
    <x:t xml:space="preserve">自爆灵</x:t>
  </x:si>
  <x:si>
    <x:t xml:space="preserve">death_poison_explosion</x:t>
  </x:si>
  <x:si>
    <x:t xml:space="preserve">undead_fly</x:t>
  </x:si>
  <x:si>
    <x:t xml:space="preserve">飞灵</x:t>
  </x:si>
  <x:si>
    <x:t xml:space="preserve">undead_parasite</x:t>
  </x:si>
  <x:si>
    <x:t xml:space="preserve">寄生灵</x:t>
  </x:si>
  <x:si>
    <x:t xml:space="preserve">parasite_on_kill</x:t>
  </x:si>
  <x:si>
    <x:t xml:space="preserve">undead_spike</x:t>
  </x:si>
  <x:si>
    <x:t xml:space="preserve">刺灵</x:t>
  </x:si>
  <x:si>
    <x:t xml:space="preserve">15%</x:t>
  </x:si>
  <x:si>
    <x:t xml:space="preserve">defense_down_attack</x:t>
  </x:si>
  <x:si>
    <x:t xml:space="preserve">undead_titan</x:t>
  </x:si>
  <x:si>
    <x:t xml:space="preserve">巨甲灵</x:t>
  </x:si>
  <x:si>
    <x:t xml:space="preserve">poison_reflect_armor_stack</x:t>
  </x:si>
  <x:si>
    <x:t xml:space="preserve">undead_mother</x:t>
  </x:si>
  <x:si>
    <x:t xml:space="preserve">母灵</x:t>
  </x:si>
  <x:si>
    <x:t xml:space="preserve">unique_death_execute</x:t>
  </x:si>
  <x:si>
    <x:t xml:space="preserve">crimson</x:t>
  </x:si>
  <x:si>
    <x:t xml:space="preserve">赤卫</x:t>
  </x:si>
  <x:si>
    <x:t xml:space="preserve">赤族</x:t>
  </x:si>
  <x:si>
    <x:t xml:space="preserve">block_guard</x:t>
  </x:si>
  <x:si>
    <x:t xml:space="preserve">dancer</x:t>
  </x:si>
  <x:si>
    <x:t xml:space="preserve">赤舞者</x:t>
  </x:si>
  <x:si>
    <x:t xml:space="preserve">random_ally_buff</x:t>
  </x:si>
  <x:si>
    <x:t xml:space="preserve">drumer</x:t>
  </x:si>
  <x:si>
    <x:t xml:space="preserve">战鼓使</x:t>
  </x:si>
  <x:si>
    <x:t xml:space="preserve">team_random_stack</x:t>
  </x:si>
  <x:si>
    <x:t xml:space="preserve">hunter</x:t>
  </x:si>
  <x:si>
    <x:t xml:space="preserve">血猎者</x:t>
  </x:si>
  <x:si>
    <x:t xml:space="preserve">current_hp_strike</x:t>
  </x:si>
  <x:si>
    <x:t xml:space="preserve">armbreaker</x:t>
  </x:si>
  <x:si>
    <x:t xml:space="preserve">破甲者</x:t>
  </x:si>
  <x:si>
    <x:t xml:space="preserve">stacking_def_break</x:t>
  </x:si>
  <x:si>
    <x:t xml:space="preserve">Icey</x:t>
  </x:si>
  <x:si>
    <x:t xml:space="preserve">霜印使</x:t>
  </x:si>
  <x:si>
    <x:t xml:space="preserve">frost_status</x:t>
  </x:si>
  <x:si>
    <x:t xml:space="preserve">skypierce</x:t>
  </x:si>
  <x:si>
    <x:t xml:space="preserve">穿云弩手</x:t>
  </x:si>
  <x:si>
    <x:t xml:space="preserve">line_pierce</x:t>
  </x:si>
  <x:si>
    <x:t xml:space="preserve">lattern</x:t>
  </x:si>
  <x:si>
    <x:t xml:space="preserve">赤灯使</x:t>
  </x:si>
  <x:si>
    <x:t xml:space="preserve">aoe_silence</x:t>
  </x:si>
  <x:si>
    <x:t xml:space="preserve">02_棋子技能</x:t>
  </x:si>
  <x:si>
    <x:t xml:space="preserve">技能文案以本页和当前 JSON 为准；10 秒探针等记录来自旧次运行，未按 2026-10-10 数值变更重测。</x:t>
  </x:si>
  <x:si>
    <x:t xml:space="preserve">技能名</x:t>
  </x:si>
  <x:si>
    <x:t xml:space="preserve">触发方式</x:t>
  </x:si>
  <x:si>
    <x:t xml:space="preserve">冷却(实测秒)</x:t>
  </x:si>
  <x:si>
    <x:t xml:space="preserve">效果说明</x:t>
  </x:si>
  <x:si>
    <x:t xml:space="preserve">1~3★ 技能数值</x:t>
  </x:si>
  <x:si>
    <x:t xml:space="preserve">4★ 变化（运行时逐字段比对）</x:t>
  </x:si>
  <x:si>
    <x:t xml:space="preserve">60秒真实释放次数 1★→4★</x:t>
  </x:si>
  <x:si>
    <x:t xml:space="preserve">10秒原始输出 1★/2★/3★/4★</x:t>
  </x:si>
  <x:si>
    <x:t xml:space="preserve">游戏内图鉴文案(1★)</x:t>
  </x:si>
  <x:si>
    <x:t xml:space="preserve">4★ 完整中文说明</x:t>
  </x:si>
  <x:si>
    <x:t xml:space="preserve">状态</x:t>
  </x:si>
  <x:si>
    <x:t xml:space="preserve">诅咒攻击</x:t>
  </x:si>
  <x:si>
    <x:t xml:space="preserve">普攻附带（被动）</x:t>
  </x:si>
  <x:si>
    <x:t xml:space="preserve">诅咒攻击：普通攻击附带减攻8%与攻速降低8%，持续4.0秒；暗2会增强效果。</x:t>
  </x:si>
  <x:si>
    <x:t xml:space="preserve">aspd_down = 0.08
attack_down = 0.08
duration = 4
max_stacks = 2
model_idle_animation = res://assets/models/units/dark_imp_motong/dark_imp_motong_idle_zombie.fbx</x:t>
  </x:si>
  <x:si>
    <x:t xml:space="preserve">aspd_down: 0.08 → 0.32
attack_down: 0.08 → 0.32</x:t>
  </x:si>
  <x:si>
    <x:t xml:space="preserve">0 → 0</x:t>
  </x:si>
  <x:si>
    <x:t xml:space="preserve">370/560/1110/1280</x:t>
  </x:si>
  <x:si>
    <x:t xml:space="preserve">Curse Strike: Normal attacks reduce target ATK by 8% and AS by 8% for 4.0s.</x:t>
  </x:si>
  <x:si>
    <x:t xml:space="preserve">诅咒攻击：普通攻击附带减攻32%与攻速降低32%，持续4.0秒。</x:t>
  </x:si>
  <x:si>
    <x:t xml:space="preserve">已按指定新表提取</x:t>
  </x:si>
  <x:si>
    <x:t xml:space="preserve">沉默箭</x:t>
  </x:si>
  <x:si>
    <x:t xml:space="preserve">主动·冷却</x:t>
  </x:si>
  <x:si>
    <x:t xml:space="preserve">6 → 4★ 4</x:t>
  </x:si>
  <x:si>
    <x:t xml:space="preserve">沉默箭（冷却6.0秒）：沉默最近敌人3.0秒，并造成自身攻击170%伤害。</x:t>
  </x:si>
  <x:si>
    <x:t xml:space="preserve">damage_atk_pct = 1.7
silence_sec = 3
skill_cd = 6</x:t>
  </x:si>
  <x:si>
    <x:t xml:space="preserve">damage_atk_pct: 1.7 → 3.4
skill_cd: 6 → 4</x:t>
  </x:si>
  <x:si>
    <x:t xml:space="preserve">10 → 15</x:t>
  </x:si>
  <x:si>
    <x:t xml:space="preserve">618/928/1856/3186</x:t>
  </x:si>
  <x:si>
    <x:t xml:space="preserve">Silence Bolt (CD 6.0s): Silence the nearest enemy for 3.0s and deal 170% ATK damage.</x:t>
  </x:si>
  <x:si>
    <x:t xml:space="preserve">沉默箭（冷却4.0秒）：沉默最近敌人3.0秒，并造成自身攻击340%伤害。</x:t>
  </x:si>
  <x:si>
    <x:t xml:space="preserve">恐惧</x:t>
  </x:si>
  <x:si>
    <x:t xml:space="preserve">恐惧效果：1–3★ 为 2 秒，4★ 为 3 秒；实际状态为 fear。</x:t>
  </x:si>
  <x:si>
    <x:t xml:space="preserve">fear_sec = 2
skill_cd = 6</x:t>
  </x:si>
  <x:si>
    <x:t xml:space="preserve">fear_sec: 2 → 3
skill_cd: 6 → 4</x:t>
  </x:si>
  <x:si>
    <x:t xml:space="preserve">583/880/1749/1900</x:t>
  </x:si>
  <x:si>
    <x:t xml:space="preserve">Fear (CD 6.0s): Make the nearest enemy retreat for 2.0s, then resume approaching its target.</x:t>
  </x:si>
  <x:si>
    <x:t xml:space="preserve">恐惧（冷却4.0秒）：使最近敌人向后逃跑3.0秒，结束后重新接近目标。</x:t>
  </x:si>
  <x:si>
    <x:t xml:space="preserve">痛苦凝视</x:t>
  </x:si>
  <x:si>
    <x:t xml:space="preserve">痛苦凝视：持续攻击同一目标时，每层伤害+20%，最多4层；换目标重置。</x:t>
  </x:si>
  <x:si>
    <x:t xml:space="preserve">max_stacks = 4
stack_damage = 0.2</x:t>
  </x:si>
  <x:si>
    <x:t xml:space="preserve">max_stacks: 4 → 6
stack_damage: 0.2 → 0.35</x:t>
  </x:si>
  <x:si>
    <x:t xml:space="preserve">1143/1719/3434/5795</x:t>
  </x:si>
  <x:si>
    <x:t xml:space="preserve">Agonizing Gaze: Consecutive attacks on the same target deal +20% damage per stack (max 4 stacks). Resets on target switch.</x:t>
  </x:si>
  <x:si>
    <x:t xml:space="preserve">痛苦凝视：持续攻击同一目标时，每层伤害+35%，最多6层；换目标重置。</x:t>
  </x:si>
  <x:si>
    <x:t xml:space="preserve">暗影突袭</x:t>
  </x:si>
  <x:si>
    <x:t xml:space="preserve">暗影突袭（冷却时间5.0秒）：瞬移到低防后排敌人身边，造成自身攻击250%伤害；击杀后刷新冷却。</x:t>
  </x:si>
  <x:si>
    <x:t xml:space="preserve">damage_atk_pct = 2.5
refresh_on_kill = true</x:t>
  </x:si>
  <x:si>
    <x:t xml:space="preserve">damage_atk_pct: 2.5 → 5
def_down_pct: — → 0.25</x:t>
  </x:si>
  <x:si>
    <x:t xml:space="preserve">12 → 12</x:t>
  </x:si>
  <x:si>
    <x:t xml:space="preserve">1637/2455/4910/7174</x:t>
  </x:si>
  <x:si>
    <x:t xml:space="preserve">Shadow Ambush: Blink to the lowest-DEF backline enemy and deal 250% ATK damage. Cooldown resets on kill.</x:t>
  </x:si>
  <x:si>
    <x:t xml:space="preserve">暗影突袭（冷却时间5.0秒）：瞬移到低防后排敌人身边，造成自身攻击500%伤害；击杀后刷新冷却。</x:t>
  </x:si>
  <x:si>
    <x:t xml:space="preserve">暗影击晕</x:t>
  </x:si>
  <x:si>
    <x:t xml:space="preserve">5 → 4★ 3.5</x:t>
  </x:si>
  <x:si>
    <x:t xml:space="preserve">眩晕目标，并造成自身攻击 ×1.5 的技能伤害。</x:t>
  </x:si>
  <x:si>
    <x:t xml:space="preserve">damage_atk_pct = 1.5
skill_cd = 5
stun_sec = 1.5</x:t>
  </x:si>
  <x:si>
    <x:t xml:space="preserve">skill_cd: 5 → 3.5
stun_sec: 1.5 → 2</x:t>
  </x:si>
  <x:si>
    <x:t xml:space="preserve">12 → 18</x:t>
  </x:si>
  <x:si>
    <x:t xml:space="preserve">832/1248/2496/3206</x:t>
  </x:si>
  <x:si>
    <x:t xml:space="preserve">Shadow Stun (CD 5.0s): Stun the nearest enemy for 1.5s and deal 150% ATK damage.</x:t>
  </x:si>
  <x:si>
    <x:t xml:space="preserve">暗影击晕（冷却3.5秒）：眩晕最近敌人2.0秒，并造成自身攻击150%伤害。</x:t>
  </x:si>
  <x:si>
    <x:t xml:space="preserve">血链</x:t>
  </x:si>
  <x:si>
    <x:t xml:space="preserve">主动·每1秒判定（整场只成功1次）</x:t>
  </x:si>
  <x:si>
    <x:t xml:space="preserve">血链：连接最近非Boss，非唯一棋子且星级不高于自身的敌人并使其变为我方棋子；双方共享受到的生命损失。任一方死亡后清除连接，本回合不再释放。</x:t>
  </x:si>
  <x:si>
    <x:t xml:space="preserve">unique_on_board = true
until_target_death = true</x:t>
  </x:si>
  <x:si>
    <x:t xml:space="preserve">link_regen_pct: — → 0.04</x:t>
  </x:si>
  <x:si>
    <x:t xml:space="preserve">1 → 1</x:t>
  </x:si>
  <x:si>
    <x:t xml:space="preserve">0/0/0/0</x:t>
  </x:si>
  <x:si>
    <x:t xml:space="preserve">Blood Chain: Link to the nearest non-Boss, non-unique enemy whose star is no higher than your own, and convert them to your side. Both share HP loss. Link breaks on either death and will not reactivate this round.</x:t>
  </x:si>
  <x:si>
    <x:t xml:space="preserve">血链：连接最近非Boss，非唯一棋子且星级不高于自身的敌人并使其变为我方棋子；双方共享受到的生命损失；连接期间每秒回4%最大生命。任一方死亡后清除连接，本回合不再释放。</x:t>
  </x:si>
  <x:si>
    <x:t xml:space="preserve">黑洞</x:t>
  </x:si>
  <x:si>
    <x:t xml:space="preserve">8 → 8</x:t>
  </x:si>
  <x:si>
    <x:t xml:space="preserve">星辉祈愿</x:t>
  </x:si>
  <x:si>
    <x:t xml:space="preserve">4</x:t>
  </x:si>
  <x:si>
    <x:t xml:space="preserve">星辉祈愿（冷却4.0秒）：治疗生命比例最低的友军，回复其最大生命6%；有25%概率清除负面状态。</x:t>
  </x:si>
  <x:si>
    <x:t xml:space="preserve">cleanse_chance = 0.25
heal_pct = 0.06
skill_cd = 4</x:t>
  </x:si>
  <x:si>
    <x:t xml:space="preserve">cleanse_chance: 0.25 → 0.5
heal_pct: 0.06 → 0.24</x:t>
  </x:si>
  <x:si>
    <x:t xml:space="preserve">15 → 15</x:t>
  </x:si>
  <x:si>
    <x:t xml:space="preserve">310/470/930/1070</x:t>
  </x:si>
  <x:si>
    <x:t xml:space="preserve">Starlight Prayer (CD 4.0s): Heal the ally with the lowest HP ratio by 6% of their max HP; 25% chance to cleanse debuffs.</x:t>
  </x:si>
  <x:si>
    <x:t xml:space="preserve">星辉祈愿（冷却4.0秒）：治疗生命比例最低的友军，回复其最大生命24%；有50%概率清除负面状态。</x:t>
  </x:si>
  <x:si>
    <x:t xml:space="preserve">神赐祝福</x:t>
  </x:si>
  <x:si>
    <x:t xml:space="preserve">6 → 4★ 4.5</x:t>
  </x:si>
  <x:si>
    <x:t xml:space="preserve">神赐祝福（冷却6.0秒）：强化最近友军，攻击+8%、攻速+0.15，并清除负面状态。</x:t>
  </x:si>
  <x:si>
    <x:t xml:space="preserve">aspd_bonus = 0.15
atk_bonus = 0.08
skill_cd = 6</x:t>
  </x:si>
  <x:si>
    <x:t xml:space="preserve">aspd_bonus: 0.15 → 0.45
atk_bonus: 0.08 → 0.32
skill_cd: 6 → 4.5</x:t>
  </x:si>
  <x:si>
    <x:t xml:space="preserve">10 → 14</x:t>
  </x:si>
  <x:si>
    <x:t xml:space="preserve">234/351/702/810</x:t>
  </x:si>
  <x:si>
    <x:t xml:space="preserve">Divine Blessing (CD 6.0s): Buff the nearest ally — ATK +8%, AS +0.15 — and cleanse their debuffs.</x:t>
  </x:si>
  <x:si>
    <x:t xml:space="preserve">神赐祝福（冷却4.5秒）：强化最近友军，攻击+32%、攻速+0.45，并清除负面状态。</x:t>
  </x:si>
  <x:si>
    <x:t xml:space="preserve">光环治疗</x:t>
  </x:si>
  <x:si>
    <x:t xml:space="preserve">7 → 4★ 5</x:t>
  </x:si>
  <x:si>
    <x:t xml:space="preserve">光环治疗（冷却7.0秒）：治疗自身周围友军最大生命15%，并给攻击+10%、攻速+0.15，同时清除负面状态；开场冷却2.0秒。</x:t>
  </x:si>
  <x:si>
    <x:t xml:space="preserve">aspd_bonus = 0.15
atk_bonus = 0.1
heal_pct = 0.15
opening_cd = 2
skill_cd = 7</x:t>
  </x:si>
  <x:si>
    <x:t xml:space="preserve">aspd_bonus: 0.15 → 0.45
atk_bonus: 0.1 → 0.4
control_immune_sec: — → 2
heal_pct: 0.15 → 0.4
skill_cd: 7 → 5</x:t>
  </x:si>
  <x:si>
    <x:t xml:space="preserve">9 → 12</x:t>
  </x:si>
  <x:si>
    <x:t xml:space="preserve">557/831/1663/3395</x:t>
  </x:si>
  <x:si>
    <x:t xml:space="preserve">Halo Heal (CD 7.0s): Heal nearby allies for 15% max HP; grant ATK +10% and AS +0.15 and cleanse debuffs; initial cooldown 2.0s.</x:t>
  </x:si>
  <x:si>
    <x:t xml:space="preserve">光环治疗（冷却5.0秒）：治疗自身周围友军最大生命40%，并给攻击+40%、攻速+0.45，同时清除负面状态；开场冷却2.0秒。</x:t>
  </x:si>
  <x:si>
    <x:t xml:space="preserve">审判打击</x:t>
  </x:si>
  <x:si>
    <x:t xml:space="preserve">3 → 4★ 2</x:t>
  </x:si>
  <x:si>
    <x:t xml:space="preserve">审判打击（冷却3.0秒）：对最近敌人造成自身攻击220%伤害；每次释放自身防御叠加+6%，最多5层。</x:t>
  </x:si>
  <x:si>
    <x:t xml:space="preserve">damage_atk_pct = 2.2
def_stack_pct = 0.06
max_stacks = 5
skill_cd = 3</x:t>
  </x:si>
  <x:si>
    <x:t xml:space="preserve">damage_atk_pct: 2.2 → 4.4
def_stack_pct: 0.06 → 0.2
skill_cd: 3 → 2</x:t>
  </x:si>
  <x:si>
    <x:t xml:space="preserve">20 → 30</x:t>
  </x:si>
  <x:si>
    <x:t xml:space="preserve">1324/1996/3980/8353</x:t>
  </x:si>
  <x:si>
    <x:t xml:space="preserve">Judgement Strike (CD 3.0s): Deal 220% ATK damage to the nearest enemy; each cast permanently stacks own DEF +6% (max 5 stacks).</x:t>
  </x:si>
  <x:si>
    <x:t xml:space="preserve">审判打击（冷却2.0秒）：对最近敌人造成自身攻击440%伤害；每次释放自身防御叠加+20%，最多5层。</x:t>
  </x:si>
  <x:si>
    <x:t xml:space="preserve">圣枪裁决</x:t>
  </x:si>
  <x:si>
    <x:t xml:space="preserve">圣枪裁决：普通攻击额外造成自身攻击18%真实伤害。</x:t>
  </x:si>
  <x:si>
    <x:t xml:space="preserve">true_damage_pct = 0.18</x:t>
  </x:si>
  <x:si>
    <x:t xml:space="preserve">third_hit_double: — → true
true_damage_pct: 0.18 → 0.45</x:t>
  </x:si>
  <x:si>
    <x:t xml:space="preserve">1092/1644/3276/5108</x:t>
  </x:si>
  <x:si>
    <x:t xml:space="preserve">Holy Lance: Normal attacks deal bonus true damage equal to 18% ATK.</x:t>
  </x:si>
  <x:si>
    <x:t xml:space="preserve">圣枪裁决：普通攻击额外造成自身攻击45%真实伤害。</x:t>
  </x:si>
  <x:si>
    <x:t xml:space="preserve">守护嘲讽</x:t>
  </x:si>
  <x:si>
    <x:t xml:space="preserve">开场一次（被动）</x:t>
  </x:si>
  <x:si>
    <x:t xml:space="preserve">守护嘲讽：战斗开始获得最大生命20%护盾，并让周围敌人优先攻击自己。</x:t>
  </x:si>
  <x:si>
    <x:t xml:space="preserve">start_shield_pct = 0.2
taunt_radius = 180</x:t>
  </x:si>
  <x:si>
    <x:t xml:space="preserve">shield_control_immune: — → true
start_shield_pct: 0.2 → 0.4
taunt_radius: 180 → 240</x:t>
  </x:si>
  <x:si>
    <x:t xml:space="preserve">368/552/1104/1272</x:t>
  </x:si>
  <x:si>
    <x:t xml:space="preserve">Guardian Taunt: Gain a shield equal to 20% max HP at battle start; force nearby enemies to target this unit.</x:t>
  </x:si>
  <x:si>
    <x:t xml:space="preserve">守护嘲讽：战斗开始获得最大生命40%护盾，并让周围敌人优先攻击自己。</x:t>
  </x:si>
  <x:si>
    <x:t xml:space="preserve">天使庇护</x:t>
  </x:si>
  <x:si>
    <x:t xml:space="preserve">天使庇护（冷却6.0秒）：随机友军获得50%减伤，持续6.0秒。</x:t>
  </x:si>
  <x:si>
    <x:t xml:space="preserve">damage_reduction = 0.5
duration = 6
skill_cd = 6
unique_on_board = true</x:t>
  </x:si>
  <x:si>
    <x:t xml:space="preserve">damage_reduction: 0.5 → 0.65
duration: 6 → 8
skill_cd: 6 → 4</x:t>
  </x:si>
  <x:si>
    <x:t xml:space="preserve">712/1073/2135/2646</x:t>
  </x:si>
  <x:si>
    <x:t xml:space="preserve">Angel's Guard (CD 6.0s): Grant a random ally 50% damage reduction for 6.0s.</x:t>
  </x:si>
  <x:si>
    <x:t xml:space="preserve">天使庇护（冷却4.0秒）：随机友军获得65%减伤，持续8.0秒。</x:t>
  </x:si>
  <x:si>
    <x:t xml:space="preserve">神王裁决</x:t>
  </x:si>
  <x:si>
    <x:t xml:space="preserve">8 → 4★ 6</x:t>
  </x:si>
  <x:si>
    <x:t xml:space="preserve">神王裁决（冷却8.0秒）：攻击神王所在战线内所有可攻击敌人，在2.0秒内分5次造成自身攻击160%加目标最大生命8%的伤害。</x:t>
  </x:si>
  <x:si>
    <x:t xml:space="preserve">damage_atk_pct = 1.6
damage_tick_count = 5
damage_tick_interval = 0.5
max_hp_bonus_pct = 0.08
skill_cd = 8
unique_on_board = true</x:t>
  </x:si>
  <x:si>
    <x:t xml:space="preserve">damage_atk_pct: 1.6 → 3.2
max_hp_bonus_pct: 0.08 → 0.16
skill_cd: 8 → 6</x:t>
  </x:si>
  <x:si>
    <x:t xml:space="preserve">8 → 7</x:t>
  </x:si>
  <x:si>
    <x:t xml:space="preserve">4204/4873/6855/12246</x:t>
  </x:si>
  <x:si>
    <x:t xml:space="preserve">Divine Judgement (CD 8.0s): Strike all attackable enemies in God King's lane, dealing 160% ATK + 8% of each target's max HP over 5 hits in 2.0s.</x:t>
  </x:si>
  <x:si>
    <x:t xml:space="preserve">神王裁决（冷却6.0秒）：攻击神王所在战线内所有可攻击敌人，在2.0秒内分5次造成自身攻击320%加目标最大生命16%的伤害。</x:t>
  </x:si>
  <x:si>
    <x:t xml:space="preserve">战后经商</x:t>
  </x:si>
  <x:si>
    <x:t xml:space="preserve">战后结算</x:t>
  </x:si>
  <x:si>
    <x:t xml:space="preserve">战后经商：参与战斗后，按星级获得金币。1星+10，2星+20，3星+30，4星+40。</x:t>
  </x:si>
  <x:si>
    <x:t xml:space="preserve">无</x:t>
  </x:si>
  <x:si>
    <x:t xml:space="preserve">306/462/915/1050</x:t>
  </x:si>
  <x:si>
    <x:t xml:space="preserve">Trade: After each battle, gain gold by star level (★1 → +10G, ★2 → +20G, ★3 → +30G, ★4 → +40G).</x:t>
  </x:si>
  <x:si>
    <x:t xml:space="preserve">缴械攻击</x:t>
  </x:si>
  <x:si>
    <x:t xml:space="preserve">普攻附带（概率）</x:t>
  </x:si>
  <x:si>
    <x:t xml:space="preserve">缴械攻击：普通攻击有12%概率缴械目标（1 秒内无法普攻）。</x:t>
  </x:si>
  <x:si>
    <x:t xml:space="preserve">interrupt_chance = 0.12</x:t>
  </x:si>
  <x:si>
    <x:t xml:space="preserve">interrupt_chance: 0.12 → 0.2
stun_sec: — → 0.5</x:t>
  </x:si>
  <x:si>
    <x:t xml:space="preserve">422/638/1262/1454</x:t>
  </x:si>
  <x:si>
    <x:t xml:space="preserve">Disarm Strike: Normal attacks have a 12% chance to disarm the target (cannot use normal attacks for 1s).</x:t>
  </x:si>
  <x:si>
    <x:t xml:space="preserve">缴械攻击：普通攻击有20%概率眩晕目标0.5秒。</x:t>
  </x:si>
  <x:si>
    <x:t xml:space="preserve">连射</x:t>
  </x:si>
  <x:si>
    <x:t xml:space="preserve">第N次普攻（被动）</x:t>
  </x:si>
  <x:si>
    <x:t xml:space="preserve">连射：每第4次普通攻击额外造成自身攻击150%伤害。</x:t>
  </x:si>
  <x:si>
    <x:t xml:space="preserve">combo_atk_pct = 1.5
every = 4</x:t>
  </x:si>
  <x:si>
    <x:t xml:space="preserve">combo_atk_pct: 1.5 → 3
every: 4 → 3</x:t>
  </x:si>
  <x:si>
    <x:t xml:space="preserve">1365/2049/4095/6364</x:t>
  </x:si>
  <x:si>
    <x:t xml:space="preserve">Rapid Fire: Every 4 attacks, deal bonus 150% ATK damage.</x:t>
  </x:si>
  <x:si>
    <x:t xml:space="preserve">连射：每第3次普通攻击额外造成自身攻击300%伤害。</x:t>
  </x:si>
  <x:si>
    <x:t xml:space="preserve">战歌</x:t>
  </x:si>
  <x:si>
    <x:t xml:space="preserve">567/849/1698/1960</x:t>
  </x:si>
  <x:si>
    <x:t xml:space="preserve">死侍契约</x:t>
  </x:si>
  <x:si>
    <x:t xml:space="preserve">开场一次 + 被绑棋子首次死亡</x:t>
  </x:si>
  <x:si>
    <x:t xml:space="preserve">死侍契约：周围一圈友军防御+3持续5.0秒；战斗开始绑定左侧棋子，该棋子首次死亡时死侍代替其死亡并使其满血复活。</x:t>
  </x:si>
  <x:si>
    <x:t xml:space="preserve">ally_def_bonus = 3
ally_def_duration = 5</x:t>
  </x:si>
  <x:si>
    <x:t xml:space="preserve">ally_def_duration: 5 → 8
ally_def_pct: — → 0.4</x:t>
  </x:si>
  <x:si>
    <x:t xml:space="preserve">3/3/3/3</x:t>
  </x:si>
  <x:si>
    <x:t xml:space="preserve">Death Pact: Grant surrounding allies DEF +3 for 5.0s. At battle start, bind to the left neighbour — when that unit first dies, this unit sacrifices itself in their place, reviving them at full HP.</x:t>
  </x:si>
  <x:si>
    <x:t xml:space="preserve">死侍契约：周围一圈友军防御+40%持续8.0秒；战斗开始绑定左右两侧棋子，其中先死亡的棋子首次阵亡时由死侍代替其死亡并使其满血复活（死侍仅能牺牲一次）。</x:t>
  </x:si>
  <x:si>
    <x:t xml:space="preserve">随机法术</x:t>
  </x:si>
  <x:si>
    <x:t xml:space="preserve">2.5 → 4★ 2</x:t>
  </x:si>
  <x:si>
    <x:t xml:space="preserve">随机法术：无普攻，每2.5秒对随机敌人造成攻击300%的随机属性伤害。</x:t>
  </x:si>
  <x:si>
    <x:t xml:space="preserve">damage_atk_pct = 3
no_basic_attack = true
skill_cd = 2.5</x:t>
  </x:si>
  <x:si>
    <x:t xml:space="preserve">damage_atk_pct: 3 → 6
double_element_chance: — → 0.2
skill_cd: 2.5 → 2</x:t>
  </x:si>
  <x:si>
    <x:t xml:space="preserve">24 → 30</x:t>
  </x:si>
  <x:si>
    <x:t xml:space="preserve">3322/3782/5164/11238</x:t>
  </x:si>
  <x:si>
    <x:t xml:space="preserve">Random Spell: No basic attack. Every 2.5s, deal 300% ATK random-element damage to a random enemy.</x:t>
  </x:si>
  <x:si>
    <x:t xml:space="preserve">随机法术：无普攻，每2.0秒对随机敌人造成攻击600%的随机属性伤害，并有20%概率触发双重施法。</x:t>
  </x:si>
  <x:si>
    <x:t xml:space="preserve">盾击</x:t>
  </x:si>
  <x:si>
    <x:t xml:space="preserve">盾击（冷却5.0秒）：攻击最近敌人，造成自身攻击150%伤害并眩晕1.0秒。</x:t>
  </x:si>
  <x:si>
    <x:t xml:space="preserve">damage_atk_pct = 1.5
stun_sec = 1</x:t>
  </x:si>
  <x:si>
    <x:t xml:space="preserve">damage_atk_pct: 1.5 → 3
stun_sec: 1 → 2</x:t>
  </x:si>
  <x:si>
    <x:t xml:space="preserve">882/1326/2649/3714</x:t>
  </x:si>
  <x:si>
    <x:t xml:space="preserve">Shield Bash (CD 5.0s): Strike the nearest enemy for 150% ATK damage and stun for 1.0s.</x:t>
  </x:si>
  <x:si>
    <x:t xml:space="preserve">盾击（冷却5.0秒）：攻击最近敌人，造成自身攻击300%伤害并眩晕2.0秒。</x:t>
  </x:si>
  <x:si>
    <x:t xml:space="preserve">人王唯一技</x:t>
  </x:si>
  <x:si>
    <x:t xml:space="preserve">战后结算（需存活）</x:t>
  </x:si>
  <x:si>
    <x:t xml:space="preserve">max_stacks = 5
post_battle_all_stat_growth = 0.2
remove_on_death = true
unique_on_board = true</x:t>
  </x:si>
  <x:si>
    <x:t xml:space="preserve">max_stacks: 5 → 8
post_battle_all_stat_growth: 0.2 → 0.3</x:t>
  </x:si>
  <x:si>
    <x:t xml:space="preserve">418/630/1254/1444</x:t>
  </x:si>
  <x:si>
    <x:t xml:space="preserve">毒击</x:t>
  </x:si>
  <x:si>
    <x:t xml:space="preserve">毒击：普通攻击附带中毒，每秒造成目标最大生命3%伤害，持续4.0秒；灵4毒伤x2。</x:t>
  </x:si>
  <x:si>
    <x:t xml:space="preserve">poison_duration = 4
poison_pct_max_hp = 0.03</x:t>
  </x:si>
  <x:si>
    <x:t xml:space="preserve">poison_duration: 4 → 6
poison_pct_max_hp: 0.03 → 0.06</x:t>
  </x:si>
  <x:si>
    <x:t xml:space="preserve">11730/11900/12390/20000</x:t>
  </x:si>
  <x:si>
    <x:t xml:space="preserve">Poison Strike: Normal attacks apply poison — 3% max HP per second for 4.0s. Up to 2 stacks tick separately.</x:t>
  </x:si>
  <x:si>
    <x:t xml:space="preserve">毒击：普通攻击附带中毒，每秒造成目标最大生命6%伤害，持续6.0秒；最多2层，分别扣血。</x:t>
  </x:si>
  <x:si>
    <x:t xml:space="preserve">无主动技能。</x:t>
  </x:si>
  <x:si>
    <x:t xml:space="preserve">star4_multiplier = 1.5</x:t>
  </x:si>
  <x:si>
    <x:t xml:space="preserve">240/360/720/1080</x:t>
  </x:si>
  <x:si>
    <x:t xml:space="preserve">No active skill.</x:t>
  </x:si>
  <x:si>
    <x:t xml:space="preserve">死亡毒爆</x:t>
  </x:si>
  <x:si>
    <x:t xml:space="preserve">自身死亡时</x:t>
  </x:si>
  <x:si>
    <x:t xml:space="preserve">1102/1657/3306/3800</x:t>
  </x:si>
  <x:si>
    <x:t xml:space="preserve">dodge: 0.25 → 0.4
poison_duration: 4 → 6
poison_pct_max_hp: 0.03 → 0.06</x:t>
  </x:si>
  <x:si>
    <x:t xml:space="preserve">13392/13788/14976/20000</x:t>
  </x:si>
  <x:si>
    <x:t xml:space="preserve">寄生</x:t>
  </x:si>
  <x:si>
    <x:t xml:space="preserve">普攻标记 + 目标死亡时</x:t>
  </x:si>
  <x:si>
    <x:t xml:space="preserve">寄生：普攻标记非 Boss 敌人，被标记敌人死亡时，召唤该敌人的分身，生命为原目标20%，攻防为原目标50%。</x:t>
  </x:si>
  <x:si>
    <x:t xml:space="preserve">clone_atk_def_pct = 0.5
clone_hp_pct = 0.2</x:t>
  </x:si>
  <x:si>
    <x:t xml:space="preserve">clone_atk_def_pct: 0.5 → 0.75
clone_hp_pct: 0.2 → 0.5</x:t>
  </x:si>
  <x:si>
    <x:t xml:space="preserve">547/826/1642/1891</x:t>
  </x:si>
  <x:si>
    <x:t xml:space="preserve">Parasite: When a basic attack kills a non-Boss enemy, summon its clone at 20% HP and 50% ATK/DEF.</x:t>
  </x:si>
  <x:si>
    <x:t xml:space="preserve">寄生：普攻标记非 Boss 敌人，被标记敌人死亡时，召唤该敌人的分身，生命为原目标50%，攻防为原目标75%。</x:t>
  </x:si>
  <x:si>
    <x:t xml:space="preserve">腐蚀攻击</x:t>
  </x:si>
  <x:si>
    <x:t xml:space="preserve">腐蚀攻击：普通攻击降低目标防御30%，持续5.0秒；暗2会增强效果。</x:t>
  </x:si>
  <x:si>
    <x:t xml:space="preserve">def_down_pct = 0.3
duration = 5</x:t>
  </x:si>
  <x:si>
    <x:t xml:space="preserve">def_down_pct: 0.3 → 0.6
duration: 5 → 8</x:t>
  </x:si>
  <x:si>
    <x:t xml:space="preserve">694/1042/2084/2396</x:t>
  </x:si>
  <x:si>
    <x:t xml:space="preserve">Corrosive Strike: Normal attacks reduce target DEF by 30% for 5.0s.</x:t>
  </x:si>
  <x:si>
    <x:t xml:space="preserve">腐蚀攻击：普通攻击降低目标防御60%，持续8.0秒。</x:t>
  </x:si>
  <x:si>
    <x:t xml:space="preserve">毒甲</x:t>
  </x:si>
  <x:si>
    <x:t xml:space="preserve">被命中时（被动）</x:t>
  </x:si>
  <x:si>
    <x:t xml:space="preserve">毒甲：受伤后反弹本次伤害15%真实伤害并使攻击者中毒；自身防御每次+14%，最多10层。</x:t>
  </x:si>
  <x:si>
    <x:t xml:space="preserve">armor_per_hit_pct = 0.14
max_stacks = 10
reflect_taken_damage_pct = 0.15</x:t>
  </x:si>
  <x:si>
    <x:t xml:space="preserve">armor_per_hit_pct: 0.14 → 0.28
reflect_taken_damage_pct: 0.15 → 0.3</x:t>
  </x:si>
  <x:si>
    <x:t xml:space="preserve">6453/6678/7353/7560</x:t>
  </x:si>
  <x:si>
    <x:t xml:space="preserve">Toxic Armor: On taking damage, reflect 15% as true damage and poison the attacker (up to 2 separate damage stacks). Own DEF stacks +14% per hit (max 10 stacks).</x:t>
  </x:si>
  <x:si>
    <x:t xml:space="preserve">毒甲：受伤后反弹本次伤害30%真实伤害并使攻击者中毒（最多2层，分别扣血）；自身防御每次+28%，最多10层。</x:t>
  </x:si>
  <x:si>
    <x:t xml:space="preserve">母灵处决</x:t>
  </x:si>
  <x:si>
    <x:t xml:space="preserve">己方每击杀N个敌人</x:t>
  </x:si>
  <x:si>
    <x:t xml:space="preserve">母灵：每名玩家最多1只；3v3中多个玩家的母灵可同时生效且各自独立计数。每5个非母灵处决造成的敌军死亡触发一次；1阶/佣兵50%、2阶35%、3阶10%即死，Boss改为20%最大生命伤害。</x:t>
  </x:si>
  <x:si>
    <x:t xml:space="preserve">boss_max_hp_damage = 0.2
death_threshold = 5
tier1_or_merc_chance = 0.5
tier2_chance = 0.35
tier3_chance = 0.1
unique_on_board = true</x:t>
  </x:si>
  <x:si>
    <x:t xml:space="preserve">boss_max_hp_damage: 0.2 → 0.3
death_threshold: 5 → 4
tier1_or_merc_chance: 0.5 → 0.55
tier2_chance: 0.35 → 0.35</x:t>
  </x:si>
  <x:si>
    <x:t xml:space="preserve">963/1444/2888/3316</x:t>
  </x:si>
  <x:si>
    <x:t xml:space="preserve">Matron: each player can field 1; in 3v3, each player's Matron works at the same time and counts independently. Every 5 enemy deaths not caused by Matron execute: Tier 1/Merc 50%, Tier 2 35%, Tier 3 10%; vs Boss deal 20% max HP instead.</x:t>
  </x:si>
  <x:si>
    <x:t xml:space="preserve">母灵：每名玩家最多1只；3v3中多个玩家的母灵可同时生效且各自独立计数。每4个非母灵处决造成的敌军死亡触发一次；1阶/佣兵55%、2阶35%、3阶10%即死，Boss改为30%最大生命伤害。</x:t>
  </x:si>
  <x:si>
    <x:t xml:space="preserve">赤卫格挡</x:t>
  </x:si>
  <x:si>
    <x:t xml:space="preserve">受击被动</x:t>
  </x:si>
  <x:si>
    <x:t xml:space="preserve">直接普攻或技能命中时有 20% 概率完全格挡，4★ 为 30%；持续伤害跳数不触发。</x:t>
  </x:si>
  <x:si>
    <x:t xml:space="preserve">block_chance = 0.2</x:t>
  </x:si>
  <x:si>
    <x:t xml:space="preserve">block_chance: 0.2 → 0.3</x:t>
  </x:si>
  <x:si>
    <x:t xml:space="preserve">279/423/837/963</x:t>
  </x:si>
  <x:si>
    <x:t xml:space="preserve">Crimson Guard: 20% chance to fully block each direct basic or skill hit; damage-over-time ticks do not trigger it.</x:t>
  </x:si>
  <x:si>
    <x:t xml:space="preserve">赤卫格挡：每次受到普攻或技能直击时，有30%概率完全格挡；持续伤害不触发。</x:t>
  </x:si>
  <x:si>
    <x:t xml:space="preserve">赤舞</x:t>
  </x:si>
  <x:si>
    <x:t xml:space="preserve">5</x:t>
  </x:si>
  <x:si>
    <x:t xml:space="preserve">每 5 秒选 1 名友军，随机令技能剩余冷却 -2 秒，或攻击 / 攻速 +20% 持续 3 秒；4★ 选 2 名。</x:t>
  </x:si>
  <x:si>
    <x:t xml:space="preserve">ally_count = 1
buff_duration = 3
buff_pct = 0.2
skill_cd = 5</x:t>
  </x:si>
  <x:si>
    <x:t xml:space="preserve">ally_count: 1 → 2</x:t>
  </x:si>
  <x:si>
    <x:t xml:space="preserve">294/441/882/1019</x:t>
  </x:si>
  <x:si>
    <x:t xml:space="preserve">Crimson Dance (CD 5.0s): Choose 1 distinct random allies. Each gets one random effect: 2s off remaining skill cooldown, +20% ATK, or +20% attack speed for 3.0s. Same-type buffs refresh.</x:t>
  </x:si>
  <x:si>
    <x:t xml:space="preserve">赤舞祝福（冷却5.0秒）：随机选择2名不同友军（优先其他存活队友，人数不足时可选自身），各随机获得一种效果：技能剩余冷却-2秒、攻击+20%或攻速+20%，增益持续3.0秒，同类刷新不叠加。</x:t>
  </x:si>
  <x:si>
    <x:t xml:space="preserve">战鼓</x:t>
  </x:si>
  <x:si>
    <x:t xml:space="preserve">普攻被动</x:t>
  </x:si>
  <x:si>
    <x:t xml:space="preserve">普攻命中使符合条件的友军攻击和攻速各 +5%，最多 15 层，持续 3 秒且每次刷新；每击有 1/3 概率治疗友军最大生命 5%；4★ 每层 +8%。</x:t>
  </x:si>
  <x:si>
    <x:t xml:space="preserve">heal_pct = 0.05
max_stacks = 15
stack_duration = 3
stack_pct = 0.05</x:t>
  </x:si>
  <x:si>
    <x:t xml:space="preserve">stack_pct: 0.05 → 0.08</x:t>
  </x:si>
  <x:si>
    <x:t xml:space="preserve">879/1319/2637/4189</x:t>
  </x:si>
  <x:si>
    <x:t xml:space="preserve">War Drum: Each landed basic hit gives eligible living allies +5% ATK and +5% attack speed, up to 15 layers each. Every hit refreshes all War Drum layers on each recipient for 3.0s. In team battles it affects the same lane first, then connected lanes once opened; separately has a 1-in-3 chance to heal eligible allies for 5% max HP.</x:t>
  </x:si>
  <x:si>
    <x:t xml:space="preserve">战鼓共振：每次普攻命中使可作用的存活友军同时叠加攻击+8%和攻速+8%，各最多15层；每次叠加刷新该棋子全部战鼓层的3.0秒持续时间。分路战斗先作用本路，开放并连通后可跨路；另有1/3概率立刻回复可作用友军最大生命5%。</x:t>
  </x:si>
  <x:si>
    <x:t xml:space="preserve">血猎</x:t>
  </x:si>
  <x:si>
    <x:t xml:space="preserve">普攻附加目标受击前当前生命 10% 伤害，Boss 为 5%，不暴击；4★ 增加低血处决。</x:t>
  </x:si>
  <x:si>
    <x:t xml:space="preserve">boss_hp_pct = 0.05
current_hp_pct = 0.1</x:t>
  </x:si>
  <x:si>
    <x:t xml:space="preserve">execute_atk_pct: — → 0.5
execute_threshold: — → 0.3</x:t>
  </x:si>
  <x:si>
    <x:t xml:space="preserve">11709/11870/12347/12490</x:t>
  </x:si>
  <x:si>
    <x:t xml:space="preserve">Blood Hunt: Basics deal extra damage equal to 10% of the target's pre-hit current HP (5% against bosses); the extra damage cannot crit.</x:t>
  </x:si>
  <x:si>
    <x:t xml:space="preserve">血猎：普攻额外造成目标受击前当前生命10%的伤害，Boss为5%；额外伤害不暴击。目标受击前生命低于30%时，再造成自身攻击50%伤害。</x:t>
  </x:si>
  <x:si>
    <x:t xml:space="preserve">破甲</x:t>
  </x:si>
  <x:si>
    <x:t xml:space="preserve">每次普攻命中永久降低目标防御 2 点，可叠至零；4★ 每次降低 4 点。</x:t>
  </x:si>
  <x:si>
    <x:t xml:space="preserve">break_amount = 2
break_chance = 1</x:t>
  </x:si>
  <x:si>
    <x:t xml:space="preserve">break_amount: 2 → 4</x:t>
  </x:si>
  <x:si>
    <x:t xml:space="preserve">486/729/1458/1674</x:t>
  </x:si>
  <x:si>
    <x:t xml:space="preserve">Armor Break: Each landed basic has a 100% chance to permanently reduce target DEF by 2, stacking down to zero.</x:t>
  </x:si>
  <x:si>
    <x:t xml:space="preserve">破甲：每次普攻命中有100%概率使目标防御永久降低4点，可叠加，最低为0。</x:t>
  </x:si>
  <x:si>
    <x:t xml:space="preserve">霜印</x:t>
  </x:si>
  <x:si>
    <x:t xml:space="preserve">6</x:t>
  </x:si>
  <x:si>
    <x:t xml:space="preserve">每 6 秒对目标周围两格敌人造成攻击 110% 伤害并附加 3 秒冰弱：受伤 +25%，Boss +13%；4★ 伤害 150%、持续 5 秒。</x:t>
  </x:si>
  <x:si>
    <x:t xml:space="preserve">aoe_radius = 144
damage_atk_pct = 1.1
ice_duration = 3
ice_vulnerable_pct = 0.25
skill_cd = 6</x:t>
  </x:si>
  <x:si>
    <x:t xml:space="preserve">damage_atk_pct: 1.1 → 1.5
ice_duration: 3 → 5</x:t>
  </x:si>
  <x:si>
    <x:t xml:space="preserve">10 → 10</x:t>
  </x:si>
  <x:si>
    <x:t xml:space="preserve">888/1333/2661/3434</x:t>
  </x:si>
  <x:si>
    <x:t xml:space="preserve">Frost Mark (CD 6.0s): Deal 110% ATK skill damage to each enemy within two cells of the target and apply Ice Vulnerable for 3.0s. Damage taken +25% (+13% for bosses).</x:t>
  </x:si>
  <x:si>
    <x:t xml:space="preserve">霜印（冷却6.0秒）：以当前目标为中心，对2格范围内每名敌人造成自身攻击150%技能伤害，并附加冰易伤5.0秒，使其受到的伤害+25%（Boss为+13%）。</x:t>
  </x:si>
  <x:si>
    <x:t xml:space="preserve">穿云连射</x:t>
  </x:si>
  <x:si>
    <x:t xml:space="preserve">普攻最多穿透一线 4 个目标，依次造成攻击 100% / 80% / 60% / 40% 伤害；4★ 衰减改为每目标 10%。分别结算防御和属性。</x:t>
  </x:si>
  <x:si>
    <x:t xml:space="preserve">pierce_falloff = 0.2
pierce_targets = 4</x:t>
  </x:si>
  <x:si>
    <x:t xml:space="preserve">pierce_falloff: 0.2 → 0.1</x:t>
  </x:si>
  <x:si>
    <x:t xml:space="preserve">1014/1521/3042/3500</x:t>
  </x:si>
  <x:si>
    <x:t xml:space="preserve">Skypierce: Basics strike up to 4 enemies in a line for 100%, 80%, 60%, and 40% ATK damage. DEF and element are calculated separately.</x:t>
  </x:si>
  <x:si>
    <x:t xml:space="preserve">穿云：普攻沿直线最多命中4名敌人，第1至第4名分别受到自身攻击的100%、90%、80%、70%伤害，各自计算防御与元素克制。</x:t>
  </x:si>
  <x:si>
    <x:t xml:space="preserve">赤灯沉默</x:t>
  </x:si>
  <x:si>
    <x:t xml:space="preserve">10 → 4★ 9</x:t>
  </x:si>
  <x:si>
    <x:t xml:space="preserve">开场沉默可选中路线的所有敌人 3 秒，期间攻速 -30%；4★ 沉默 4 秒、冷却 9 秒。</x:t>
  </x:si>
  <x:si>
    <x:t xml:space="preserve">silence_duration = 3
skill_cd = 10
skill_global = true
unique_on_board = true</x:t>
  </x:si>
  <x:si>
    <x:t xml:space="preserve">silence_duration: 3 → 4
skill_cd: 10 → 9</x:t>
  </x:si>
  <x:si>
    <x:t xml:space="preserve">6 → 7</x:t>
  </x:si>
  <x:si>
    <x:t xml:space="preserve">718/1076/2153/2476</x:t>
  </x:si>
  <x:si>
    <x:t xml:space="preserve">Crimson Lantern (CD 10.0s): Cast at battle start and silence all enemies in currently targetable lanes for 3.0s. While silenced, active skills are blocked and attack speed is reduced by 30%; basic attacks and passives work normally. Later casts can affect other lanes after the caster's lane is cleared (boss control duration is halved).</x:t>
  </x:si>
  <x:si>
    <x:t xml:space="preserve">赤灯禁言（冷却9.0秒）：开战立即释放，使当前可攻击路线的所有敌人沉默4.0秒；沉默期间无法释放主动技能，攻速降低30%，普攻与被动正常。本路清空后，后续施法可按分路规则影响其他路（Boss控制时长减半）。</x:t>
  </x:si>
  <x:si>
    <x:t xml:space="preserve">宠物 ID</x:t>
  </x:si>
  <x:si>
    <x:t xml:space="preserve">英文名</x:t>
  </x:si>
  <x:si>
    <x:t xml:space="preserve">技能类型</x:t>
  </x:si>
  <x:si>
    <x:t xml:space="preserve">加成</x:t>
  </x:si>
  <x:si>
    <x:t xml:space="preserve">完整中文技能说明</x:t>
  </x:si>
  <x:si>
    <x:t xml:space="preserve">作用对象 / 时机</x:t>
  </x:si>
  <x:si>
    <x:t xml:space="preserve">初始可选</x:t>
  </x:si>
  <x:si>
    <x:t xml:space="preserve">来源</x:t>
  </x:si>
  <x:si>
    <x:t xml:space="preserve">pet_mushroom</x:t>
  </x:si>
  <x:si>
    <x:t xml:space="preserve">蘑菇</x:t>
  </x:si>
  <x:si>
    <x:t xml:space="preserve">Mushroom</x:t>
  </x:si>
  <x:si>
    <x:t xml:space="preserve">生命加成</x:t>
  </x:si>
  <x:si>
    <x:t xml:space="preserve">己方棋子最大生命 +10%。</x:t>
  </x:si>
  <x:si>
    <x:t xml:space="preserve">己方普通棋子；战斗开场</x:t>
  </x:si>
  <x:si>
    <x:t xml:space="preserve">pets.json / PetService / LocaleManager</x:t>
  </x:si>
  <x:si>
    <x:t xml:space="preserve">己方棋子生命 +10%</x:t>
  </x:si>
  <x:si>
    <x:t xml:space="preserve">pet_cat</x:t>
  </x:si>
  <x:si>
    <x:t xml:space="preserve">猫</x:t>
  </x:si>
  <x:si>
    <x:t xml:space="preserve">Cat</x:t>
  </x:si>
  <x:si>
    <x:t xml:space="preserve">利息</x:t>
  </x:si>
  <x:si>
    <x:t xml:space="preserve">金币利息率额外 +5%，与基础及复利宝藏分别计算。</x:t>
  </x:si>
  <x:si>
    <x:t xml:space="preserve">持有者；战后利息</x:t>
  </x:si>
  <x:si>
    <x:t xml:space="preserve">金币利息 +5%</x:t>
  </x:si>
  <x:si>
    <x:t xml:space="preserve">pet_rabbit</x:t>
  </x:si>
  <x:si>
    <x:t xml:space="preserve">兔子</x:t>
  </x:si>
  <x:si>
    <x:t xml:space="preserve">Rabbit</x:t>
  </x:si>
  <x:si>
    <x:t xml:space="preserve">攻击加成</x:t>
  </x:si>
  <x:si>
    <x:t xml:space="preserve">己方棋子攻击 +10%。</x:t>
  </x:si>
  <x:si>
    <x:t xml:space="preserve">己方棋子攻击 +10%</x:t>
  </x:si>
  <x:si>
    <x:t xml:space="preserve">pet_squirrel</x:t>
  </x:si>
  <x:si>
    <x:t xml:space="preserve">松鼠</x:t>
  </x:si>
  <x:si>
    <x:t xml:space="preserve">Squirrel</x:t>
  </x:si>
  <x:si>
    <x:t xml:space="preserve">萝卜采集 / 容量</x:t>
  </x:si>
  <x:si>
    <x:t xml:space="preserve">20%</x:t>
  </x:si>
  <x:si>
    <x:t xml:space="preserve">每次萝卜收获额外 +20%，增量向下取整且至少 +1；己方营地萝卜容量 +20%，增量向下取整。</x:t>
  </x:si>
  <x:si>
    <x:t xml:space="preserve">己方采集和营地容量</x:t>
  </x:si>
  <x:si>
    <x:t xml:space="preserve">否</x:t>
  </x:si>
  <x:si>
    <x:t xml:space="preserve">萝卜采集与营地容量 +20%（采集至少多 1）</x:t>
  </x:si>
  <x:si>
    <x:t xml:space="preserve">pet_tiger</x:t>
  </x:si>
  <x:si>
    <x:t xml:space="preserve">老虎</x:t>
  </x:si>
  <x:si>
    <x:t xml:space="preserve">Tiger</x:t>
  </x:si>
  <x:si>
    <x:t xml:space="preserve">升星成长</x:t>
  </x:si>
  <x:si>
    <x:t xml:space="preserve">每次自己的棋子升星永久 +1 层，棋盘和备战区、1–3 阶升星均计；每层使自己所有 1 阶棋子的生命、攻击、防御 +5%，无限累计。后来上场也继承；卖掉棋子不清层数。2–3 阶、队友和敌方不加成。</x:t>
  </x:si>
  <x:si>
    <x:t xml:space="preserve">自己的一阶棋子；升星永久叠层</x:t>
  </x:si>
  <x:si>
    <x:t xml:space="preserve">每次升星：一阶棋子生命、攻击、防御 +5%（无限累计）</x:t>
  </x:si>
  <x:si>
    <x:t xml:space="preserve">04_羁绊</x:t>
  </x:si>
  <x:si>
    <x:t xml:space="preserve">按稳定种族 ID 与人数档提取。灵族按用户确认的双毒、减疗和毒伤玩法订正。</x:t>
  </x:si>
  <x:si>
    <x:t xml:space="preserve">种族 ID</x:t>
  </x:si>
  <x:si>
    <x:t xml:space="preserve">门槛</x:t>
  </x:si>
  <x:si>
    <x:t xml:space="preserve">中文效果</x:t>
  </x:si>
  <x:si>
    <x:t xml:space="preserve">原表位置</x:t>
  </x:si>
  <x:si>
    <x:t xml:space="preserve">god</x:t>
  </x:si>
  <x:si>
    <x:t xml:space="preserve">神族·死亡净化</x:t>
  </x:si>
  <x:si>
    <x:t xml:space="preserve">己方任一棋子死亡 → 随机一名己方存活棋子清除全部负面状态</x:t>
  </x:si>
  <x:si>
    <x:t xml:space="preserve">已审定</x:t>
  </x:si>
  <x:si>
    <x:t xml:space="preserve">10_种族羁绊!C4</x:t>
  </x:si>
  <x:si>
    <x:t xml:space="preserve">神族·吸血</x:t>
  </x:si>
  <x:si>
    <x:t xml:space="preserve">仅神族棋子普攻吸血 20%，按实际造成的伤害结算。</x:t>
  </x:si>
  <x:si>
    <x:t xml:space="preserve">10_种族羁绊!C5</x:t>
  </x:si>
  <x:si>
    <x:t xml:space="preserve">神族·神圣脉冲</x:t>
  </x:si>
  <x:si>
    <x:t xml:space="preserve">神族 ≥7：从开战第 1 秒起每 5 秒，全队普通棋子无敌 1 秒；免普攻与技能伤害，中毒/流血/灼烧仍生效。</x:t>
  </x:si>
  <x:si>
    <x:t xml:space="preserve">10_种族羁绊!C6</x:t>
  </x:si>
  <x:si>
    <x:t xml:space="preserve">dark</x:t>
  </x:si>
  <x:si>
    <x:t xml:space="preserve">暗族·死亡叠伤</x:t>
  </x:si>
  <x:si>
    <x:t xml:space="preserve">敌方每死 3 个 → 暗族单位普攻伤害 +6%（线性叠加，代码里没有上限）</x:t>
  </x:si>
  <x:si>
    <x:t xml:space="preserve">10_种族羁绊!C7</x:t>
  </x:si>
  <x:si>
    <x:t xml:space="preserve">暗族·负面增强</x:t>
  </x:si>
  <x:si>
    <x:t xml:space="preserve">暗族施加的减攻 / 减速 / 减防效果 +30%。</x:t>
  </x:si>
  <x:si>
    <x:t xml:space="preserve">10_种族羁绊!C9</x:t>
  </x:si>
  <x:si>
    <x:t xml:space="preserve">暗族·增伤</x:t>
  </x:si>
  <x:si>
    <x:t xml:space="preserve">暗族单位普攻伤害 +25%</x:t>
  </x:si>
  <x:si>
    <x:t xml:space="preserve">10_种族羁绊!C8</x:t>
  </x:si>
  <x:si>
    <x:t xml:space="preserve">暗族·汲取</x:t>
  </x:si>
  <x:si>
    <x:t xml:space="preserve">暗族普攻命中即可叠层：目标攻击 / 防御 / 攻速各 -3%/层；自身各 +3%/层，最多 15 层。</x:t>
  </x:si>
  <x:si>
    <x:t xml:space="preserve">10_种族羁绊!C10</x:t>
  </x:si>
  <x:si>
    <x:t xml:space="preserve">undead</x:t>
  </x:si>
  <x:si>
    <x:t xml:space="preserve">灵族特性·双毒</x:t>
  </x:si>
  <x:si>
    <x:t xml:space="preserve">灵族施加的中毒最多叠加 2 层，分别计时和造成伤害。</x:t>
  </x:si>
  <x:si>
    <x:t xml:space="preserve">10_种族羁绊!C12</x:t>
  </x:si>
  <x:si>
    <x:t xml:space="preserve">灵2·剧毒抑疗</x:t>
  </x:si>
  <x:si>
    <x:t xml:space="preserve">目标中毒期间，其治疗与吸血获得的生命减少 30%。</x:t>
  </x:si>
  <x:si>
    <x:t xml:space="preserve">10_种族羁绊!C11</x:t>
  </x:si>
  <x:si>
    <x:t xml:space="preserve">灵4·剧毒</x:t>
  </x:si>
  <x:si>
    <x:t xml:space="preserve">灵族中毒伤害翻倍。</x:t>
  </x:si>
  <x:si>
    <x:t xml:space="preserve">灵7·噬毒</x:t>
  </x:si>
  <x:si>
    <x:t xml:space="preserve">灵族单位攻击已中毒的敌人时，每次回复自身 15% 最大生命。</x:t>
  </x:si>
  <x:si>
    <x:t xml:space="preserve">10_种族羁绊!C13</x:t>
  </x:si>
  <x:si>
    <x:t xml:space="preserve">human</x:t>
  </x:si>
  <x:si>
    <x:t xml:space="preserve">人族·三连暴</x:t>
  </x:si>
  <x:si>
    <x:t xml:space="preserve">人族单位每第 3 次普攻必定暴击（写在普攻里，不是羁绊，任何人族棋子都吃）</x:t>
  </x:si>
  <x:si>
    <x:t xml:space="preserve">10_种族羁绊!C16</x:t>
  </x:si>
  <x:si>
    <x:t xml:space="preserve">人族·开场护盾</x:t>
  </x:si>
  <x:si>
    <x:t xml:space="preserve">开场获得 最大生命×8% 的护盾</x:t>
  </x:si>
  <x:si>
    <x:t xml:space="preserve">10_种族羁绊!C14</x:t>
  </x:si>
  <x:si>
    <x:t xml:space="preserve">人族·死亡集结</x:t>
  </x:si>
  <x:si>
    <x:t xml:space="preserve">人族 ≥7：己方普通棋子死亡时，同一持有人的存活普通棋子获得一层集结：按开战基础值最大生命/攻击/防御/攻速各 +20%，回复新增生命，暴击率 +20%，暴伤 +10%；可叠层。</x:t>
  </x:si>
  <x:si>
    <x:t xml:space="preserve">10_种族羁绊!C15</x:t>
  </x:si>
  <x:si>
    <x:t xml:space="preserve">赤族·符文</x:t>
  </x:si>
  <x:si>
    <x:t xml:space="preserve">自身效果触发累积符文，最多 9 层；3 层暴击率 +30%，6 层攻速 ×1.6，9 层暴伤 +0.9。</x:t>
  </x:si>
  <x:si>
    <x:t xml:space="preserve">10_种族羁绊!C72</x:t>
  </x:si>
  <x:si>
    <x:t xml:space="preserve">赤族·延时</x:t>
  </x:si>
  <x:si>
    <x:t xml:space="preserve">施加的状态时长 +20%；沉默、眩晕、打断、冰冻类额外延时最多 0.5 秒。</x:t>
  </x:si>
  <x:si>
    <x:t xml:space="preserve">10_种族羁绊!C73</x:t>
  </x:si>
  <x:si>
    <x:t xml:space="preserve">赤族·共鸣</x:t>
  </x:si>
  <x:si>
    <x:t xml:space="preserve">赤族施加状态时自身获得 1 层共鸣，最多 10 层；每层攻击和攻速 +5%，4 秒未刷新即结束。</x:t>
  </x:si>
  <x:si>
    <x:t xml:space="preserve">10_种族羁绊!C74</x:t>
  </x:si>
  <x:si>
    <x:t xml:space="preserve">赤族·脉冲</x:t>
  </x:si>
  <x:si>
    <x:t xml:space="preserve">开战第 2 秒起每 5 秒：赤族单位技能剩余冷却 -1 秒、清除负面、治疗最大生命 6%、获得 1 层脉冲。每层攻击、攻速、暴击率 +10%，最多 5 层。</x:t>
  </x:si>
  <x:si>
    <x:t xml:space="preserve">10_种族羁绊!C75</x:t>
  </x:si>
  <x:si>
    <x:t xml:space="preserve">05_野怪</x:t>
  </x:si>
  <x:si>
    <x:t xml:space="preserve">编辑 E–G 列基础 HP / 攻击 / 防御；回合成长和技能机制由 data/pve/pve_monsters.json 管理。运行前执行同步工具。</x:t>
  </x:si>
  <x:si>
    <x:t xml:space="preserve">系列</x:t>
  </x:si>
  <x:si>
    <x:t xml:space="preserve">HP</x:t>
  </x:si>
  <x:si>
    <x:t xml:space="preserve">攻击</x:t>
  </x:si>
  <x:si>
    <x:t xml:space="preserve">防御</x:t>
  </x:si>
  <x:si>
    <x:t xml:space="preserve">理论DPS</x:t>
  </x:si>
  <x:si>
    <x:t xml:space="preserve">10秒原始输出</x:t>
  </x:si>
  <x:si>
    <x:t xml:space="preserve">有效血量</x:t>
  </x:si>
  <x:si>
    <x:t xml:space="preserve">表里写的 skill_id</x:t>
  </x:si>
  <x:si>
    <x:t xml:space="preserve">主动技实跑60秒</x:t>
  </x:si>
  <x:si>
    <x:t xml:space="preserve">普攻挂钩实跑</x:t>
  </x:si>
  <x:si>
    <x:t xml:space="preserve">被击/死亡/击杀挂钩</x:t>
  </x:si>
  <x:si>
    <x:t xml:space="preserve">结论</x:t>
  </x:si>
  <x:si>
    <x:t xml:space="preserve">被击杀赏金</x:t>
  </x:si>
  <x:si>
    <x:t xml:space="preserve">游戏内图鉴文案</x:t>
  </x:si>
  <x:si>
    <x:t xml:space="preserve">pve_sky_cloud_eagle</x:t>
  </x:si>
  <x:si>
    <x:t xml:space="preserve">云羽鹰</x:t>
  </x:si>
  <x:si>
    <x:t xml:space="preserve">sky</x:t>
  </x:si>
  <x:si>
    <x:t xml:space="preserve">dive_backline</x:t>
  </x:si>
  <x:si>
    <x:t xml:space="preserve">0 次</x:t>
  </x:si>
  <x:si>
    <x:t xml:space="preserve">❌ 只掉血，无任何状态</x:t>
  </x:si>
  <x:si>
    <x:t xml:space="preserve">❌ 无</x:t>
  </x:si>
  <x:si>
    <x:t xml:space="preserve">只会普攻</x:t>
  </x:si>
  <x:si>
    <x:t xml:space="preserve">15 金</x:t>
  </x:si>
  <x:si>
    <x:t xml:space="preserve">pve_sky_thunder_spirit</x:t>
  </x:si>
  <x:si>
    <x:t xml:space="preserve">雷鸣灵</x:t>
  </x:si>
  <x:si>
    <x:t xml:space="preserve">chain_lightning</x:t>
  </x:si>
  <x:si>
    <x:t xml:space="preserve">pve_sky_star_butterfly</x:t>
  </x:si>
  <x:si>
    <x:t xml:space="preserve">星辉蝶</x:t>
  </x:si>
  <x:si>
    <x:t xml:space="preserve">heal_allies</x:t>
  </x:si>
  <x:si>
    <x:t xml:space="preserve">pve_sky_dome_guard</x:t>
  </x:si>
  <x:si>
    <x:t xml:space="preserve">天穹守卫</x:t>
  </x:si>
  <x:si>
    <x:t xml:space="preserve">holy_shield_burst</x:t>
  </x:si>
  <x:si>
    <x:t xml:space="preserve">pve_sky_wind_falcon</x:t>
  </x:si>
  <x:si>
    <x:t xml:space="preserve">风刃隼</x:t>
  </x:si>
  <x:si>
    <x:t xml:space="preserve">wind_bleed</x:t>
  </x:si>
  <x:si>
    <x:t xml:space="preserve">pve_sky_hymn_spirit</x:t>
  </x:si>
  <x:si>
    <x:t xml:space="preserve">圣歌灵</x:t>
  </x:si>
  <x:si>
    <x:t xml:space="preserve">slow_aura</x:t>
  </x:si>
  <x:si>
    <x:t xml:space="preserve">pve_land_rock_beast</x:t>
  </x:si>
  <x:si>
    <x:t xml:space="preserve">岩甲兽</x:t>
  </x:si>
  <x:si>
    <x:t xml:space="preserve">land</x:t>
  </x:si>
  <x:si>
    <x:t xml:space="preserve">stun_impact</x:t>
  </x:si>
  <x:si>
    <x:t xml:space="preserve">pve_land_vine_guard</x:t>
  </x:si>
  <x:si>
    <x:t xml:space="preserve">藤蔓守卫</x:t>
  </x:si>
  <x:si>
    <x:t xml:space="preserve">entangle</x:t>
  </x:si>
  <x:si>
    <x:t xml:space="preserve">pve_land_vein_worm</x:t>
  </x:si>
  <x:si>
    <x:t xml:space="preserve">地脉虫</x:t>
  </x:si>
  <x:si>
    <x:t xml:space="preserve">burrow_ambush</x:t>
  </x:si>
  <x:si>
    <x:t xml:space="preserve">pve_land_lava_golem</x:t>
  </x:si>
  <x:si>
    <x:t xml:space="preserve">熔岩傀儡</x:t>
  </x:si>
  <x:si>
    <x:t xml:space="preserve">lava_burst</x:t>
  </x:si>
  <x:si>
    <x:t xml:space="preserve">pve_land_ancient_tree</x:t>
  </x:si>
  <x:si>
    <x:t xml:space="preserve">古树长者</x:t>
  </x:si>
  <x:si>
    <x:t xml:space="preserve">nature_heal</x:t>
  </x:si>
  <x:si>
    <x:t xml:space="preserve">pve_land_mountain_giant</x:t>
  </x:si>
  <x:si>
    <x:t xml:space="preserve">山岳巨人</x:t>
  </x:si>
  <x:si>
    <x:t xml:space="preserve">earth_slam</x:t>
  </x:si>
  <x:si>
    <x:t xml:space="preserve">pve_ren_shadow_thief</x:t>
  </x:si>
  <x:si>
    <x:t xml:space="preserve">影行盗徒</x:t>
  </x:si>
  <x:si>
    <x:t xml:space="preserve">ren</x:t>
  </x:si>
  <x:si>
    <x:t xml:space="preserve">backstab</x:t>
  </x:si>
  <x:si>
    <x:t xml:space="preserve">pve_ren_voodoo_witch</x:t>
  </x:si>
  <x:si>
    <x:t xml:space="preserve">巫毒术士</x:t>
  </x:si>
  <x:si>
    <x:t xml:space="preserve">curse</x:t>
  </x:si>
  <x:si>
    <x:t xml:space="preserve">pve_ren_wandering_swordsman</x:t>
  </x:si>
  <x:si>
    <x:t xml:space="preserve">流浪剑客</x:t>
  </x:si>
  <x:si>
    <x:t xml:space="preserve">counter_slash</x:t>
  </x:si>
  <x:si>
    <x:t xml:space="preserve">pve_ren_poison_doctor</x:t>
  </x:si>
  <x:si>
    <x:t xml:space="preserve">药毒医师</x:t>
  </x:si>
  <x:si>
    <x:t xml:space="preserve">06_Boss</x:t>
  </x:si>
  <x:si>
    <x:t xml:space="preserve">D/E/O 为可编辑的首场 HP、攻击和 R5 防御；R5–R20 的属性列按公式计算。技能探针与 10 秒输出为旧次运行样本，2026-10-10 数值变更后未重测。</x:t>
  </x:si>
  <x:si>
    <x:t xml:space="preserve">首次出场HP</x:t>
  </x:si>
  <x:si>
    <x:t xml:space="preserve">首次出场攻击</x:t>
  </x:si>
  <x:si>
    <x:t xml:space="preserve">首次出场防御</x:t>
  </x:si>
  <x:si>
    <x:t xml:space="preserve">R5 HP</x:t>
  </x:si>
  <x:si>
    <x:t xml:space="preserve">R10 HP</x:t>
  </x:si>
  <x:si>
    <x:t xml:space="preserve">R15 HP</x:t>
  </x:si>
  <x:si>
    <x:t xml:space="preserve">R20 HP</x:t>
  </x:si>
  <x:si>
    <x:t xml:space="preserve">R5 攻</x:t>
  </x:si>
  <x:si>
    <x:t xml:space="preserve">R10 攻</x:t>
  </x:si>
  <x:si>
    <x:t xml:space="preserve">R15 攻</x:t>
  </x:si>
  <x:si>
    <x:t xml:space="preserve">R20 攻</x:t>
  </x:si>
  <x:si>
    <x:t xml:space="preserve">R5 防</x:t>
  </x:si>
  <x:si>
    <x:t xml:space="preserve">R10 防</x:t>
  </x:si>
  <x:si>
    <x:t xml:space="preserve">R15 防</x:t>
  </x:si>
  <x:si>
    <x:t xml:space="preserve">R20 防</x:t>
  </x:si>
  <x:si>
    <x:t xml:space="preserve">体型格</x:t>
  </x:si>
  <x:si>
    <x:t xml:space="preserve">实跑</x:t>
  </x:si>
  <x:si>
    <x:t xml:space="preserve">60秒释放</x:t>
  </x:si>
  <x:si>
    <x:t xml:space="preserve">技能数值(实测)</x:t>
  </x:si>
  <x:si>
    <x:t xml:space="preserve">boss_meteor_caster</x:t>
  </x:si>
  <x:si>
    <x:t xml:space="preserve">天罚投星者</x:t>
  </x:si>
  <x:si>
    <x:t xml:space="preserve">陨星轰击</x:t>
  </x:si>
  <x:si>
    <x:t xml:space="preserve">element_meteor</x:t>
  </x:si>
  <x:si>
    <x:t xml:space="preserve">✔</x:t>
  </x:si>
  <x:si>
    <x:t xml:space="preserve">footprint_cells = 2
skill_cd = 6
skill_damage = 240</x:t>
  </x:si>
  <x:si>
    <x:t xml:space="preserve">陨星轰击（冷却6.0秒）：召唤陨星砸向最近的敌人，对其与周围敌人造成 360 点真实伤害，并附加自身属性效果。</x:t>
  </x:si>
  <x:si>
    <x:t xml:space="preserve">boss_thunder_core</x:t>
  </x:si>
  <x:si>
    <x:t xml:space="preserve">雷怒核心</x:t>
  </x:si>
  <x:si>
    <x:t xml:space="preserve">过载反击</x:t>
  </x:si>
  <x:si>
    <x:t xml:space="preserve">overload_counter</x:t>
  </x:si>
  <x:si>
    <x:t xml:space="preserve">被命中N次时</x:t>
  </x:si>
  <x:si>
    <x:t xml:space="preserve">footprint_cells = 2
hit_threshold = 8
interrupt_chance = 0.25
skill_damage = 300</x:t>
  </x:si>
  <x:si>
    <x:t xml:space="preserve">过载反击：每承受 8 次攻击后释放一次过载，对攻击者造成 450 点真实伤害，并有 25% 概率打断其攻击。</x:t>
  </x:si>
  <x:si>
    <x:t xml:space="preserve">boss_mirror_lord</x:t>
  </x:si>
  <x:si>
    <x:t xml:space="preserve">镜像魔君</x:t>
  </x:si>
  <x:si>
    <x:t xml:space="preserve">镜像分裂</x:t>
  </x:si>
  <x:si>
    <x:t xml:space="preserve">mirror_clone</x:t>
  </x:si>
  <x:si>
    <x:t xml:space="preserve">主动·每1秒判定</x:t>
  </x:si>
  <x:si>
    <x:t xml:space="preserve">clone_atk_pct = 0.4
clone_def = 0
clone_hp_pct = 0.3
clone_per_missing_hp_pct = 0.25
footprint_cells = 2</x:t>
  </x:si>
  <x:si>
    <x:t xml:space="preserve">镜像分裂：自身每损失 25% 最大生命就分裂出一个镜像；镜像生命为本体最大生命 30%、攻击为本体 40%，且不会释放技能。</x:t>
  </x:si>
  <x:si>
    <x:t xml:space="preserve">boss_holy_priest</x:t>
  </x:si>
  <x:si>
    <x:t xml:space="preserve">圣愈祭司</x:t>
  </x:si>
  <x:si>
    <x:t xml:space="preserve">圣愈净化</x:t>
  </x:si>
  <x:si>
    <x:t xml:space="preserve">holy_purify</x:t>
  </x:si>
  <x:si>
    <x:t xml:space="preserve">footprint_cells = 2
heal_pct = 0.12
shield_pct = 0.1
skill_cd = 8</x:t>
  </x:si>
  <x:si>
    <x:t xml:space="preserve">圣愈净化（冷却8.0秒）：清除全体友军身上的所有状态，治疗其最大生命 12%，并给予最大生命 10% 的护盾。</x:t>
  </x:si>
  <x:si>
    <x:t xml:space="preserve">boss_rage_beast</x:t>
  </x:si>
  <x:si>
    <x:t xml:space="preserve">狂战灾兽</x:t>
  </x:si>
  <x:si>
    <x:t xml:space="preserve">狂怒叠加</x:t>
  </x:si>
  <x:si>
    <x:t xml:space="preserve">rage_stack</x:t>
  </x:si>
  <x:si>
    <x:t xml:space="preserve">每次普攻命中后（被动）</x:t>
  </x:si>
  <x:si>
    <x:t xml:space="preserve">aspd_per_hit = 0.03
atk_per_hit = 0.03
footprint_cells = 2
max_stacks = 20</x:t>
  </x:si>
  <x:si>
    <x:t xml:space="preserve">狂怒叠加：每次普通攻击命中后攻击 +3%、攻速 +0.03，最多叠加 20 层。</x:t>
  </x:si>
  <x:si>
    <x:t xml:space="preserve">boss_blood_demon</x:t>
  </x:si>
  <x:si>
    <x:t xml:space="preserve">血怒魔王</x:t>
  </x:si>
  <x:si>
    <x:t xml:space="preserve">血怒暴走</x:t>
  </x:si>
  <x:si>
    <x:t xml:space="preserve">blood_rage</x:t>
  </x:si>
  <x:si>
    <x:t xml:space="preserve">生命低于阈值时一次性</x:t>
  </x:si>
  <x:si>
    <x:t xml:space="preserve">aspd_bonus = 0.3
atk_bonus = 0.4
footprint_cells = 2
lifesteal = 0.1
trigger_hp_pct = 0.35</x:t>
  </x:si>
  <x:si>
    <x:t xml:space="preserve">血怒暴走：生命降至 35% 以下时永久进入暴走，攻击 +40%、攻速 +0.30，并获得 10% 吸血。</x:t>
  </x:si>
  <x:si>
    <x:t xml:space="preserve">boss_soul_devourer</x:t>
  </x:si>
  <x:si>
    <x:t xml:space="preserve">噬魂领主</x:t>
  </x:si>
  <x:si>
    <x:t xml:space="preserve">噬魂</x:t>
  </x:si>
  <x:si>
    <x:t xml:space="preserve">soul_devour</x:t>
  </x:si>
  <x:si>
    <x:t xml:space="preserve">击杀时（被动）</x:t>
  </x:si>
  <x:si>
    <x:t xml:space="preserve">atk_stack = 0.1
footprint_cells = 2
kill_heal_pct = 0.15</x:t>
  </x:si>
  <x:si>
    <x:t xml:space="preserve">噬魂：每击杀一个目标，回复自身最大生命 15%，并永久提升攻击 10%。</x:t>
  </x:si>
  <x:si>
    <x:t xml:space="preserve">boss_twin_gate</x:t>
  </x:si>
  <x:si>
    <x:t xml:space="preserve">双生守门人</x:t>
  </x:si>
  <x:si>
    <x:t xml:space="preserve">双生复活</x:t>
  </x:si>
  <x:si>
    <x:t xml:space="preserve">twin_revive</x:t>
  </x:si>
  <x:si>
    <x:t xml:space="preserve">死亡时（被动）</x:t>
  </x:si>
  <x:si>
    <x:t xml:space="preserve">footprint_cells = 2
is_twin = true
revive_delay = 5
revive_hp_pct = 0.3
revives_per_twin = 1
twin_second_element = sky</x:t>
  </x:si>
  <x:si>
    <x:t xml:space="preserve">双生复活：双子同时登场。任一方死亡后 5.0 秒以 30% 生命复活，每只最多复活 1 次；若同伴已全部阵亡则不再复活。</x:t>
  </x:si>
  <x:si>
    <x:t xml:space="preserve">boss_apocalypse</x:t>
  </x:si>
  <x:si>
    <x:t xml:space="preserve">灭世裁决者</x:t>
  </x:si>
  <x:si>
    <x:t xml:space="preserve">灭世蓄力</x:t>
  </x:si>
  <x:si>
    <x:t xml:space="preserve">apocalypse_charge</x:t>
  </x:si>
  <x:si>
    <x:t xml:space="preserve">charge_sec = 2
charge_shield_pct = 0.1
damage_atk_pct = 2.5
footprint_cells = 2
ignore_def = true
skill_cd = 10</x:t>
  </x:si>
  <x:si>
    <x:t xml:space="preserve">灭世蓄力（冷却10.0秒）：先获得最大生命 10% 的护盾并蓄力 2.0 秒，随后对全场敌人造成自身攻击 250% 的伤害（无视防御）；蓄力期间护盾被打破则中断。</x:t>
  </x:si>
  <x:si>
    <x:t xml:space="preserve">07_佣兵</x:t>
  </x:si>
  <x:si>
    <x:t xml:space="preserve">佣兵基础属性与技能文案已对齐 2026-10-10 的运行 JSON；理论 DPS、有效血量为公式。10 秒输出和实跑探针仍是旧次战斗样本，未重新实测。</x:t>
  </x:si>
  <x:si>
    <x:t xml:space="preserve">萝卜价</x:t>
  </x:si>
  <x:si>
    <x:t xml:space="preserve">cost字段</x:t>
  </x:si>
  <x:si>
    <x:t xml:space="preserve">被杀赏金</x:t>
  </x:si>
  <x:si>
    <x:t xml:space="preserve">实跑到的效果</x:t>
  </x:si>
  <x:si>
    <x:t xml:space="preserve">merc_pisces_bubble</x:t>
  </x:si>
  <x:si>
    <x:t xml:space="preserve">泡沫术士</x:t>
  </x:si>
  <x:si>
    <x:t xml:space="preserve">泡沫梦境</x:t>
  </x:si>
  <x:si>
    <x:t xml:space="preserve">bubble_dream</x:t>
  </x:si>
  <x:si>
    <x:t xml:space="preserve">hp: 50000000 -&gt; 49998404；statuses_added: slow</x:t>
  </x:si>
  <x:si>
    <x:t xml:space="preserve">burst_damage = 140
carrot_cost = 3
heal = 150
skill_cd = 7
slow_pct = 0.3</x:t>
  </x:si>
  <x:si>
    <x:t xml:space="preserve">泡沫梦境（冷却7.0秒）：治疗最低血友军150点，并使最近敌人减速30%、受到140点真实伤害。</x:t>
  </x:si>
  <x:si>
    <x:t xml:space="preserve">merc_cancer_shell</x:t>
  </x:si>
  <x:si>
    <x:t xml:space="preserve">甲壳守卫</x:t>
  </x:si>
  <x:si>
    <x:t xml:space="preserve">甲壳守护</x:t>
  </x:si>
  <x:si>
    <x:t xml:space="preserve">shell_guard</x:t>
  </x:si>
  <x:si>
    <x:t xml:space="preserve">主动·固定冷却6秒</x:t>
  </x:si>
  <x:si>
    <x:t xml:space="preserve">carrot_cost = 6
duration = 5
reduction = 0.5</x:t>
  </x:si>
  <x:si>
    <x:t xml:space="preserve">甲壳守护（冷却6.0秒）：获得50%减伤，持续5.0秒。</x:t>
  </x:si>
  <x:si>
    <x:t xml:space="preserve">merc_libra_judge</x:t>
  </x:si>
  <x:si>
    <x:t xml:space="preserve">审判剑士</x:t>
  </x:si>
  <x:si>
    <x:t xml:space="preserve">均衡裁决</x:t>
  </x:si>
  <x:si>
    <x:t xml:space="preserve">balance_judge</x:t>
  </x:si>
  <x:si>
    <x:t xml:space="preserve">bonus_vs_higher_hp = 1
carrot_cost = 9</x:t>
  </x:si>
  <x:si>
    <x:t xml:space="preserve">均衡裁决：攻击当前生命高于自己的目标时，伤害+100%。</x:t>
  </x:si>
  <x:si>
    <x:t xml:space="preserve">merc_taurus_charge</x:t>
  </x:si>
  <x:si>
    <x:t xml:space="preserve">黄金重骑</x:t>
  </x:si>
  <x:si>
    <x:t xml:space="preserve">黄金冲锋</x:t>
  </x:si>
  <x:si>
    <x:t xml:space="preserve">gold_charge</x:t>
  </x:si>
  <x:si>
    <x:t xml:space="preserve">主动·固定冷却7秒</x:t>
  </x:si>
  <x:si>
    <x:t xml:space="preserve">hp: 50000000 -&gt; 49997384；statuses_added: stun</x:t>
  </x:si>
  <x:si>
    <x:t xml:space="preserve">bonus_vs_higher_hp = 0.4
carrot_cost = 12
skill_damage = 240
stun_sec = 1.6</x:t>
  </x:si>
  <x:si>
    <x:t xml:space="preserve">黄金冲锋（冷却7.0秒）：冲向最近敌人，造成240点真实伤害并眩晕1.6秒。</x:t>
  </x:si>
  <x:si>
    <x:t xml:space="preserve">merc_virgo_heal</x:t>
  </x:si>
  <x:si>
    <x:t xml:space="preserve">圣愈修女</x:t>
  </x:si>
  <x:si>
    <x:t xml:space="preserve">圣歌</x:t>
  </x:si>
  <x:si>
    <x:t xml:space="preserve">holy_song</x:t>
  </x:si>
  <x:si>
    <x:t xml:space="preserve">carrot_cost = 15
cleanse_control = true
heal_pct = 0.15
skill_cd = 10</x:t>
  </x:si>
  <x:si>
    <x:t xml:space="preserve">圣歌（冷却10.0秒）：治疗全体友军最大生命15%，并从带控制类负面状态的存活友军中随机净化1名。</x:t>
  </x:si>
  <x:si>
    <x:t xml:space="preserve">merc_gemini_assassin</x:t>
  </x:si>
  <x:si>
    <x:t xml:space="preserve">镜像刺客</x:t>
  </x:si>
  <x:si>
    <x:t xml:space="preserve">镜像突袭</x:t>
  </x:si>
  <x:si>
    <x:t xml:space="preserve">twin_strike</x:t>
  </x:si>
  <x:si>
    <x:t xml:space="preserve">carrot_cost = 18
clone_atk_pct = 0.4
clone_hp_pct = 0.3
skill_cd = 10</x:t>
  </x:si>
  <x:si>
    <x:t xml:space="preserve">镜像突袭（冷却10.0秒）：召唤自身镜像，镜像生命30%、攻击40%。</x:t>
  </x:si>
  <x:si>
    <x:t xml:space="preserve">merc_leo_sun</x:t>
  </x:si>
  <x:si>
    <x:t xml:space="preserve">炎阳王者</x:t>
  </x:si>
  <x:si>
    <x:t xml:space="preserve">王者光环</x:t>
  </x:si>
  <x:si>
    <x:t xml:space="preserve">king_aura</x:t>
  </x:si>
  <x:si>
    <x:t xml:space="preserve">主动·固定冷却2秒</x:t>
  </x:si>
  <x:si>
    <x:t xml:space="preserve">ally_aspd_bonus = 0.25
ally_crit_bonus = 0.25
aura_radius = 2
carrot_cost = 21</x:t>
  </x:si>
  <x:si>
    <x:t xml:space="preserve">王者光环：每2秒强化周围友军，攻速+25%、暴击+25%。</x:t>
  </x:si>
  <x:si>
    <x:t xml:space="preserve">merc_sagittarius_rain</x:t>
  </x:si>
  <x:si>
    <x:t xml:space="preserve">星轨猎人</x:t>
  </x:si>
  <x:si>
    <x:t xml:space="preserve">箭雨</x:t>
  </x:si>
  <x:si>
    <x:t xml:space="preserve">arrow_rain</x:t>
  </x:si>
  <x:si>
    <x:t xml:space="preserve">hp: 50000000 -&gt; 49999144</x:t>
  </x:si>
  <x:si>
    <x:t xml:space="preserve">carrot_cost = 24
skill_cd = 3
targets = 5</x:t>
  </x:si>
  <x:si>
    <x:t xml:space="preserve">箭雨（冷却3.0秒）：攻击最近5名敌人，每个目标受到自身攻击85%伤害。</x:t>
  </x:si>
  <x:si>
    <x:t xml:space="preserve">merc_aries_blood</x:t>
  </x:si>
  <x:si>
    <x:t xml:space="preserve">狂战先锋</x:t>
  </x:si>
  <x:si>
    <x:t xml:space="preserve">血怒</x:t>
  </x:si>
  <x:si>
    <x:t xml:space="preserve">blood_rampage</x:t>
  </x:si>
  <x:si>
    <x:t xml:space="preserve">持续被动</x:t>
  </x:si>
  <x:si>
    <x:t xml:space="preserve">aspd_per_step = 0.1
carrot_cost = 27
hp_step = 0.1
lifesteal_per_step = 0.05</x:t>
  </x:si>
  <x:si>
    <x:t xml:space="preserve">血怒：每损失10%最大生命，攻速+10%、吸血+5%，并获得少量伤害提升。</x:t>
  </x:si>
  <x:si>
    <x:t xml:space="preserve">merc_capricorn_steel</x:t>
  </x:si>
  <x:si>
    <x:t xml:space="preserve">黑钢统帅</x:t>
  </x:si>
  <x:si>
    <x:t xml:space="preserve">钢铁号令</x:t>
  </x:si>
  <x:si>
    <x:t xml:space="preserve">steel_order</x:t>
  </x:si>
  <x:si>
    <x:t xml:space="preserve">aspd_bonus = 0.3
buff_targets = 3
carrot_cost = 30
control_time_reduction = 0.3
damage_reduction = 0.2
duration = 8
skill_cd = 8</x:t>
  </x:si>
  <x:si>
    <x:t xml:space="preserve">钢铁号令（冷却8.0秒）：强化最近3名友军，减伤20%、攻速+30%、控制时间降低30%，持续8.0秒。</x:t>
  </x:si>
  <x:si>
    <x:t xml:space="preserve">merc_aquarius_time</x:t>
  </x:si>
  <x:si>
    <x:t xml:space="preserve">时空观测者</x:t>
  </x:si>
  <x:si>
    <x:t xml:space="preserve">时空迟缓</x:t>
  </x:si>
  <x:si>
    <x:t xml:space="preserve">time_slow</x:t>
  </x:si>
  <x:si>
    <x:t xml:space="preserve">statuses_added: slow</x:t>
  </x:si>
  <x:si>
    <x:t xml:space="preserve">carrot_cost = 33
duration = 5
skill_cd = 8
skill_dodge_interval = 8
slow_pct = 0.6</x:t>
  </x:si>
  <x:si>
    <x:t xml:space="preserve">时空迟缓（冷却8.0秒）：自身短暂闪避提高，并使全体敌人减速60%，持续5.0秒。</x:t>
  </x:si>
  <x:si>
    <x:t xml:space="preserve">merc_scorpio_death</x:t>
  </x:si>
  <x:si>
    <x:t xml:space="preserve">冥界执行者</x:t>
  </x:si>
  <x:si>
    <x:t xml:space="preserve">冥界处决</x:t>
  </x:si>
  <x:si>
    <x:t xml:space="preserve">death_hunt</x:t>
  </x:si>
  <x:si>
    <x:t xml:space="preserve">目标选择+普攻附带+击杀时</x:t>
  </x:si>
  <x:si>
    <x:t xml:space="preserve">armor_break = 12
carrot_cost = 36
duration = 4
heal_reduction = 0.7
kill_heal_pct = 0.15
prefer_low_hp = true</x:t>
  </x:si>
  <x:si>
    <x:t xml:space="preserve">冥界处决：优先攻击低血目标；击杀回复最大生命15%。普攻破甲12并降低治疗70%，持续4.0秒。</x:t>
  </x:si>
  <x:si>
    <x:t xml:space="preserve">09_宝藏与套装</x:t>
  </x:si>
  <x:si>
    <x:t xml:space="preserve">25 件宝藏及原表套装段。赌博胜利倍率已按实际结算订正为 2.5 倍。</x:t>
  </x:si>
  <x:si>
    <x:t xml:space="preserve">类别</x:t>
  </x:si>
  <x:si>
    <x:t xml:space="preserve">生效时机</x:t>
  </x:si>
  <x:si>
    <x:t xml:space="preserve">中文效果与数值</x:t>
  </x:si>
  <x:si>
    <x:t xml:space="preserve">胡牌手联动后</x:t>
  </x:si>
  <x:si>
    <x:t xml:space="preserve">固定探针</x:t>
  </x:si>
  <x:si>
    <x:t xml:space="preserve">def_iron_wall</x:t>
  </x:si>
  <x:si>
    <x:t xml:space="preserve">铁壁之护</x:t>
  </x:si>
  <x:si>
    <x:t xml:space="preserve">开场一次</x:t>
  </x:si>
  <x:si>
    <x:t xml:space="preserve">开战时防御 +10（绝对值，不随星级缩放 → 对本来就高防的棋子收益递减）</x:t>
  </x:si>
  <x:si>
    <x:t xml:space="preserve">—（不在胡牌手 5 件内）</x:t>
  </x:si>
  <x:si>
    <x:t xml:space="preserve">defense: 12 -&gt; 22</x:t>
  </x:si>
  <x:si>
    <x:t xml:space="preserve">def_life_monument</x:t>
  </x:si>
  <x:si>
    <x:t xml:space="preserve">生命丰碑</x:t>
  </x:si>
  <x:si>
    <x:t xml:space="preserve">最大生命 ×1.20 并回满</x:t>
  </x:si>
  <x:si>
    <x:t xml:space="preserve">×1.40</x:t>
  </x:si>
  <x:si>
    <x:t xml:space="preserve">hp: 1920 -&gt; 2304；max_hp: 1920 -&gt; 2304</x:t>
  </x:si>
  <x:si>
    <x:t xml:space="preserve">def_formation_heal</x:t>
  </x:si>
  <x:si>
    <x:t xml:space="preserve">法阵回春</x:t>
  </x:si>
  <x:si>
    <x:t xml:space="preserve">胜利或平局：法阵 HP +1；失败：法阵 HP +2；不超过初始上限 50</x:t>
  </x:si>
  <x:si>
    <x:t xml:space="preserve">—（胡牌手现需黄金祭坛）</x:t>
  </x:si>
  <x:si>
    <x:t xml:space="preserve">（非开场类，见生效时机列）</x:t>
  </x:si>
  <x:si>
    <x:t xml:space="preserve">def_soul_counter</x:t>
  </x:si>
  <x:si>
    <x:t xml:space="preserve">亡魂反击</x:t>
  </x:si>
  <x:si>
    <x:t xml:space="preserve">自身被击杀时</x:t>
  </x:si>
  <x:si>
    <x:t xml:space="preserve">击杀你这枚棋子的单位立刻受到 其自身最大生命×35% 真实伤害</x:t>
  </x:si>
  <x:si>
    <x:t xml:space="preserve">def_lifesteal_emblem</x:t>
  </x:si>
  <x:si>
    <x:t xml:space="preserve">吸血纹章</x:t>
  </x:si>
  <x:si>
    <x:t xml:space="preserve">每次造成伤害后</x:t>
  </x:si>
  <x:si>
    <x:t xml:space="preserve">回复 本次实际伤害×20% 生命</x:t>
  </x:si>
  <x:si>
    <x:t xml:space="preserve">def_phantom_step</x:t>
  </x:si>
  <x:si>
    <x:t xml:space="preserve">幻影步伐</x:t>
  </x:si>
  <x:si>
    <x:t xml:space="preserve">闪避 +20%（闪避是完全免伤，不是减伤）</x:t>
  </x:si>
  <x:si>
    <x:t xml:space="preserve">dodge: 0.0 -&gt; 0.2</x:t>
  </x:si>
  <x:si>
    <x:t xml:space="preserve">ctrl_shockwave</x:t>
  </x:si>
  <x:si>
    <x:t xml:space="preserve">震荡余波</x:t>
  </x:si>
  <x:si>
    <x:t xml:space="preserve">控制</x:t>
  </x:si>
  <x:si>
    <x:t xml:space="preserve">普攻附带·冷却5秒</x:t>
  </x:si>
  <x:si>
    <x:t xml:space="preserve">眩晕目标 1.0 秒</x:t>
  </x:si>
  <x:si>
    <x:t xml:space="preserve">眩晕 2.0 秒</x:t>
  </x:si>
  <x:si>
    <x:t xml:space="preserve">ctrl_corrosive_needle</x:t>
  </x:si>
  <x:si>
    <x:t xml:space="preserve">腐蚀毒针</x:t>
  </x:si>
  <x:si>
    <x:t xml:space="preserve">每第4次普攻·冷却5秒</x:t>
  </x:si>
  <x:si>
    <x:t xml:space="preserve">ctrl_interrupt_chain</x:t>
  </x:si>
  <x:si>
    <x:t xml:space="preserve">打断锁链</x:t>
  </x:si>
  <x:si>
    <x:t xml:space="preserve">普攻附带·冷却3秒</x:t>
  </x:si>
  <x:si>
    <x:t xml:space="preserve">25% 概率缴械目标 1.5 秒</x:t>
  </x:si>
  <x:si>
    <x:t xml:space="preserve">ctrl_time_compress</x:t>
  </x:si>
  <x:si>
    <x:t xml:space="preserve">时空压缩</x:t>
  </x:si>
  <x:si>
    <x:t xml:space="preserve">开场一次（持续生效）</x:t>
  </x:si>
  <x:si>
    <x:t xml:space="preserve">本方棋子全部技能冷却 ×0.75，开场冷却也 ×0.75</x:t>
  </x:si>
  <x:si>
    <x:t xml:space="preserve">skill_cd_multiplier = 0.75（单件开场实测）</x:t>
  </x:si>
  <x:si>
    <x:t xml:space="preserve">ctrl_binding_weight</x:t>
  </x:si>
  <x:si>
    <x:t xml:space="preserve">束缚重压</x:t>
  </x:si>
  <x:si>
    <x:t xml:space="preserve">目标移速 -25% / 攻速 -20% / 造成伤害 -20%，持续 2 秒</x:t>
  </x:si>
  <x:si>
    <x:t xml:space="preserve">atk_blood_pact</x:t>
  </x:si>
  <x:si>
    <x:t xml:space="preserve">血契之刃</x:t>
  </x:si>
  <x:si>
    <x:t xml:space="preserve">攻击 ×1.25；代价：自身永久流血（每秒 当前生命×6%，999 秒）</x:t>
  </x:si>
  <x:si>
    <x:t xml:space="preserve">攻击 ×1.50（流血代价不变）</x:t>
  </x:si>
  <x:si>
    <x:t xml:space="preserve">atk: 93 -&gt; 116；statuses_added: bleed</x:t>
  </x:si>
  <x:si>
    <x:t xml:space="preserve">atk_fury_roster</x:t>
  </x:si>
  <x:si>
    <x:t xml:space="preserve">狂怒阵容</x:t>
  </x:si>
  <x:si>
    <x:t xml:space="preserve">备战期（持续）</x:t>
  </x:si>
  <x:si>
    <x:t xml:space="preserve">上场棋子上限 7 → 8</x:t>
  </x:si>
  <x:si>
    <x:t xml:space="preserve">7 → 9</x:t>
  </x:si>
  <x:si>
    <x:t xml:space="preserve">atk_burst_core</x:t>
  </x:si>
  <x:si>
    <x:t xml:space="preserve">爆裂核心</x:t>
  </x:si>
  <x:si>
    <x:t xml:space="preserve">暴击率 +25%</x:t>
  </x:si>
  <x:si>
    <x:t xml:space="preserve">crit_bonus: 0.0 -&gt; 0.25</x:t>
  </x:si>
  <x:si>
    <x:t xml:space="preserve">atk_wail_resonance</x:t>
  </x:si>
  <x:si>
    <x:t xml:space="preserve">哀鸣共鸣</x:t>
  </x:si>
  <x:si>
    <x:t xml:space="preserve">击杀时</x:t>
  </x:si>
  <x:si>
    <x:t xml:space="preserve">死者周围 180 像素内敌人各受 自身最大生命×15% 真实伤害</x:t>
  </x:si>
  <x:si>
    <x:t xml:space="preserve">atk_frenzy_assault</x:t>
  </x:si>
  <x:si>
    <x:t xml:space="preserve">狂暴进攻</x:t>
  </x:si>
  <x:si>
    <x:t xml:space="preserve">普攻附带（无冷却）</x:t>
  </x:si>
  <x:si>
    <x:t xml:space="preserve">每次普攻自身攻速 ×1.15（封顶 2.5）；换目标层数清零但攻速不回退</x:t>
  </x:si>
  <x:si>
    <x:t xml:space="preserve">money_compound</x:t>
  </x:si>
  <x:si>
    <x:t xml:space="preserve">复利之道</x:t>
  </x:si>
  <x:si>
    <x:t xml:space="preserve">金钱</x:t>
  </x:si>
  <x:si>
    <x:t xml:space="preserve">战后利息</x:t>
  </x:si>
  <x:si>
    <x:t xml:space="preserve">基础利息 5% 之外再加 5%；本回合未花金币再加 3%（实际结算与利息预览一致；免费刷新不算消费）</x:t>
  </x:si>
  <x:si>
    <x:t xml:space="preserve">money_generous_fate</x:t>
  </x:si>
  <x:si>
    <x:t xml:space="preserve">慷慨命运</x:t>
  </x:si>
  <x:si>
    <x:t xml:space="preserve">备战期每回合1次手动</x:t>
  </x:si>
  <x:si>
    <x:t xml:space="preserve">赌博：50% 金币变为 2.5 倍 / 50% 只剩 20%</x:t>
  </x:si>
  <x:si>
    <x:t xml:space="preserve">money_discount</x:t>
  </x:si>
  <x:si>
    <x:t xml:space="preserve">折扣令牌</x:t>
  </x:si>
  <x:si>
    <x:t xml:space="preserve">商店（持续）</x:t>
  </x:si>
  <x:si>
    <x:t xml:space="preserve">棋子价格 ×0.7（向上取整，最低 1 金）；与清仓特卖互斥，最多降价 60%</x:t>
  </x:si>
  <x:si>
    <x:t xml:space="preserve">money_golden_altar</x:t>
  </x:si>
  <x:si>
    <x:t xml:space="preserve">黄金祭坛</x:t>
  </x:si>
  <x:si>
    <x:t xml:space="preserve">备战期每回合最多3次；战后未使用回复</x:t>
  </x:si>
  <x:si>
    <x:t xml:space="preserve">每次 -1 法阵 HP → +100 金；法阵 HP ≤10 时不可用。持有人本回合未使用：法阵 HP +1；3v3 每位持有人独立判断，最多 +3</x:t>
  </x:si>
  <x:si>
    <x:t xml:space="preserve">胡牌手激活：使用不扣法阵 HP；选到胡牌手立即 +2 法阵 HP（选到当回合也生效）</x:t>
  </x:si>
  <x:si>
    <x:t xml:space="preserve">money_lucky_envelope</x:t>
  </x:si>
  <x:si>
    <x:t xml:space="preserve">幸运信封</x:t>
  </x:si>
  <x:si>
    <x:t xml:space="preserve">战后随机 +30 / +40 / +50 金</x:t>
  </x:si>
  <x:si>
    <x:t xml:space="preserve">elem_flame_shatter</x:t>
  </x:si>
  <x:si>
    <x:t xml:space="preserve">炎焰碎裂</x:t>
  </x:si>
  <x:si>
    <x:t xml:space="preserve">普攻附带·25%概率</x:t>
  </x:si>
  <x:si>
    <x:t xml:space="preserve">触发火属性：额外 自身攻击×40% 真实伤害</x:t>
  </x:si>
  <x:si>
    <x:t xml:space="preserve">elem_frost_blade</x:t>
  </x:si>
  <x:si>
    <x:t xml:space="preserve">冰封霜刃</x:t>
  </x:si>
  <x:si>
    <x:t xml:space="preserve">25% 概率：目标移速 -35% / 攻速 -50%，持续 2 秒</x:t>
  </x:si>
  <x:si>
    <x:t xml:space="preserve">elem_thunder_haste</x:t>
  </x:si>
  <x:si>
    <x:t xml:space="preserve">雷霆加速</x:t>
  </x:si>
  <x:si>
    <x:t xml:space="preserve">自身攻速 +60%，持续 3 秒</x:t>
  </x:si>
  <x:si>
    <x:t xml:space="preserve">elem_toxic_spread</x:t>
  </x:si>
  <x:si>
    <x:t xml:space="preserve">剧毒蔓延</x:t>
  </x:si>
  <x:si>
    <x:t xml:space="preserve">触发毒属性：中毒（每秒 目标最大生命×3%，4 秒）</x:t>
  </x:si>
  <x:si>
    <x:t xml:space="preserve">套装/标题</x:t>
  </x:si>
  <x:si>
    <x:t xml:space="preserve">── 套装（引擎逐件累加实测激活门槛）──</x:t>
  </x:si>
  <x:si>
    <x:t xml:space="preserve">防御 套装</x:t>
  </x:si>
  <x:si>
    <x:t xml:space="preserve">共 6 件</x:t>
  </x:si>
  <x:si>
    <x:t xml:space="preserve">defense</x:t>
  </x:si>
  <x:si>
    <x:t xml:space="preserve">持有 4 件即激活</x:t>
  </x:si>
  <x:si>
    <x:t xml:space="preserve">开战时全部普通棋子：最大生命 ×1.30 并回满、防御 ×1.30、闪避 +15%</x:t>
  </x:si>
  <x:si>
    <x:t xml:space="preserve">def_iron_wall、def_life_monument、def_formation_heal、def_soul_counter、def_lifesteal_emblem、def_phantom_step</x:t>
  </x:si>
  <x:si>
    <x:t xml:space="preserve">控制 套装</x:t>
  </x:si>
  <x:si>
    <x:t xml:space="preserve">共 5 件</x:t>
  </x:si>
  <x:si>
    <x:t xml:space="preserve">control</x:t>
  </x:si>
  <x:si>
    <x:t xml:space="preserve">每次普攻若成功给目标新增了状态，再随机追加一个负面：减速20%/2s、减攻12%/2s、沉默1s、眩晕0.5s、中毒、缴械、流血6%/3s</x:t>
  </x:si>
  <x:si>
    <x:t xml:space="preserve">ctrl_shockwave、ctrl_corrosive_needle、ctrl_interrupt_chain、ctrl_time_compress、ctrl_binding_weight</x:t>
  </x:si>
  <x:si>
    <x:t xml:space="preserve">攻击 套装</x:t>
  </x:si>
  <x:si>
    <x:t xml:space="preserve">attack</x:t>
  </x:si>
  <x:si>
    <x:t xml:space="preserve">持有人普通棋子：优先攻击生命比例最低的敌人；普攻后若非 Boss 目标生命 ≤10%，直接斩杀。实际斩杀的棋子攻速 +25%，持续 5 秒；再触发刷新时间，不叠加数值。3v3 同样生效。</x:t>
  </x:si>
  <x:si>
    <x:t xml:space="preserve">atk_blood_pact、atk_fury_roster、atk_burst_core、atk_wail_resonance、atk_frenzy_assault</x:t>
  </x:si>
  <x:si>
    <x:t xml:space="preserve">金钱 套装</x:t>
  </x:si>
  <x:si>
    <x:t xml:space="preserve">money</x:t>
  </x:si>
  <x:si>
    <x:t xml:space="preserve">商店刷新 与 宝藏刷新 全部免费</x:t>
  </x:si>
  <x:si>
    <x:t xml:space="preserve">money_compound、money_generous_fate、money_discount、money_golden_altar、money_lucky_envelope</x:t>
  </x:si>
  <x:si>
    <x:t xml:space="preserve">属性 套装</x:t>
  </x:si>
  <x:si>
    <x:t xml:space="preserve">共 4 件</x:t>
  </x:si>
  <x:si>
    <x:t xml:space="preserve">element</x:t>
  </x:si>
  <x:si>
    <x:t xml:space="preserve">每枚普通棋子各自计算：普攻 20% 概率触发，目标周围 180 像素内敌人各受自身最大生命×10% 真实伤害；触发后该棋子内置冷却 2 秒。</x:t>
  </x:si>
  <x:si>
    <x:t xml:space="preserve">elem_flame_shatter、elem_frost_blade、elem_thunder_haste、elem_toxic_spread</x:t>
  </x:si>
  <x:si>
    <x:t xml:space="preserve">10_宝藏联动</x:t>
  </x:si>
  <x:si>
    <x:t xml:space="preserve">11 个联动按原表提取；凤凰涅槃按用户确认的 40% 最大生命复活定稿。</x:t>
  </x:si>
  <x:si>
    <x:t xml:space="preserve">联动 ID</x:t>
  </x:si>
  <x:si>
    <x:t xml:space="preserve">需要宝藏</x:t>
  </x:si>
  <x:si>
    <x:t xml:space="preserve">件数</x:t>
  </x:si>
  <x:si>
    <x:t xml:space="preserve">全齐实测</x:t>
  </x:si>
  <x:si>
    <x:t xml:space="preserve">缺一件实测</x:t>
  </x:si>
  <x:si>
    <x:t xml:space="preserve">代码位置</x:t>
  </x:si>
  <x:si>
    <x:t xml:space="preserve">link_phoenix</x:t>
  </x:si>
  <x:si>
    <x:t xml:space="preserve">凤凰涅槃</x:t>
  </x:si>
  <x:si>
    <x:t xml:space="preserve">哀鸣共鸣 + 亡魂反击</x:t>
  </x:si>
  <x:si>
    <x:t xml:space="preserve">该棋子死亡 0.1 秒后以最大生命的 40% 复活并获得 3 秒无敌，3.1 秒后强制真死；每枚棋子每场 1 次。</x:t>
  </x:si>
  <x:si>
    <x:t xml:space="preserve">✔ 激活</x:t>
  </x:si>
  <x:si>
    <x:t xml:space="preserve">❌ 不激活（正确）</x:t>
  </x:si>
  <x:si>
    <x:t xml:space="preserve">_queue_phoenix_revive</x:t>
  </x:si>
  <x:si>
    <x:t xml:space="preserve">link_money_magic</x:t>
  </x:si>
  <x:si>
    <x:t xml:space="preserve">金钱魔法</x:t>
  </x:si>
  <x:si>
    <x:t xml:space="preserve">幸运信封 + 时空压缩</x:t>
  </x:si>
  <x:si>
    <x:t xml:space="preserve">战后额外随机 +60/70/80 金，另有 10% 概率再 +200 金。</x:t>
  </x:si>
  <x:si>
    <x:t xml:space="preserve">EconomyService.settle_post_battle_gold</x:t>
  </x:si>
  <x:si>
    <x:t xml:space="preserve">link_blood_covenant</x:t>
  </x:si>
  <x:si>
    <x:t xml:space="preserve">血之契约</x:t>
  </x:si>
  <x:si>
    <x:t xml:space="preserve">炎焰碎裂 + 吸血纹章</x:t>
  </x:si>
  <x:si>
    <x:t xml:space="preserve">火属性伤害从 攻击×40% 提升到 攻击×100%。
表内字段：true_damage_atk_pct = 1</x:t>
  </x:si>
  <x:si>
    <x:t xml:space="preserve">BattleSimShared._fire_bonus_multiplier</x:t>
  </x:si>
  <x:si>
    <x:t xml:space="preserve">link_paralysis_shackles</x:t>
  </x:si>
  <x:si>
    <x:t xml:space="preserve">麻痹枷锁</x:t>
  </x:si>
  <x:si>
    <x:t xml:space="preserve">打断锁链 + 冰封霜刃</x:t>
  </x:si>
  <x:si>
    <x:t xml:space="preserve">缴械触发时再附加冰效果、冰易伤 +25% 与治疗降低 75%，持续 4 秒。
表内字段：ice_damage_taken_bonus = 0.25；heal_reduction = 0.75</x:t>
  </x:si>
  <x:si>
    <x:t xml:space="preserve">_apply_attack_treasure_effects</x:t>
  </x:si>
  <x:si>
    <x:t xml:space="preserve">link_oppression_counter</x:t>
  </x:si>
  <x:si>
    <x:t xml:space="preserve">压迫反击</x:t>
  </x:si>
  <x:si>
    <x:t xml:space="preserve">束缚重压 + 狂暴进攻</x:t>
  </x:si>
  <x:si>
    <x:t xml:space="preserve">被攻击时使攻击者获得狂暴进攻的一层攻速，并使攻击者攻击 -25%，持续 2 秒。</x:t>
  </x:si>
  <x:si>
    <x:t xml:space="preserve">_apply_defender_treasure_reaction</x:t>
  </x:si>
  <x:si>
    <x:t xml:space="preserve">link_fraud_fate</x:t>
  </x:si>
  <x:si>
    <x:t xml:space="preserve">诡诈命运</x:t>
  </x:si>
  <x:si>
    <x:t xml:space="preserve">幻影步伐 + 慷慨命运</x:t>
  </x:si>
  <x:si>
    <x:t xml:space="preserve">赌博改为 60% 变为 2.5 倍 / 40% 只剩 50%。</x:t>
  </x:si>
  <x:si>
    <x:t xml:space="preserve">PrepFlowController._on_generous_fate_gamble</x:t>
  </x:si>
  <x:si>
    <x:t xml:space="preserve">link_iron_maiden</x:t>
  </x:si>
  <x:si>
    <x:t xml:space="preserve">铁处女</x:t>
  </x:si>
  <x:si>
    <x:t xml:space="preserve">铁壁之护 + 腐蚀毒针</x:t>
  </x:si>
  <x:si>
    <x:t xml:space="preserve">被攻击时（冷却 8 秒）给攻击者流血 6%/秒持续 5 秒、防御 -50% 持续 5 秒。</x:t>
  </x:si>
  <x:si>
    <x:t xml:space="preserve">link_toxic_burst</x:t>
  </x:si>
  <x:si>
    <x:t xml:space="preserve">剧毒爆发</x:t>
  </x:si>
  <x:si>
    <x:t xml:space="preserve">爆裂核心 + 剧毒蔓延</x:t>
  </x:si>
  <x:si>
    <x:t xml:space="preserve">造成伤害后，若目标中毒则 50% 概率立刻引爆剩余全部毒伤（按剩余跳数一次性结算）并移除中毒。
表内字段：proc_chance = 0.5</x:t>
  </x:si>
  <x:si>
    <x:t xml:space="preserve">BattleSimTreasures._try_toxic_burst</x:t>
  </x:si>
  <x:si>
    <x:t xml:space="preserve">link_rich_path</x:t>
  </x:si>
  <x:si>
    <x:t xml:space="preserve">富裕之路</x:t>
  </x:si>
  <x:si>
    <x:t xml:space="preserve">复利之道 + 雷霆加速</x:t>
  </x:si>
  <x:si>
    <x:t xml:space="preserve">每次造成正伤害 25% 概率 +10 金（计入 bonus_gold）。
表内字段：attack_gold_chance = 0.25</x:t>
  </x:si>
  <x:si>
    <x:t xml:space="preserve">_apply_post_damage_treasures</x:t>
  </x:si>
  <x:si>
    <x:t xml:space="preserve">link_clearance_sale</x:t>
  </x:si>
  <x:si>
    <x:t xml:space="preserve">清仓特卖</x:t>
  </x:si>
  <x:si>
    <x:t xml:space="preserve">狂怒阵容 + 折扣令牌</x:t>
  </x:si>
  <x:si>
    <x:t xml:space="preserve">同队只要有一人激活，队友买棋子均享受原价 ×0.4（向上取整，最低 1 金）；与折扣令牌互斥，最多降价 60%。
表内字段：shop_price_multiplier = 0.4</x:t>
  </x:si>
  <x:si>
    <x:t xml:space="preserve">EconomyLedger.unit_cost</x:t>
  </x:si>
  <x:si>
    <x:t xml:space="preserve">link_hu_pai_master</x:t>
  </x:si>
  <x:si>
    <x:t xml:space="preserve">胡牌手</x:t>
  </x:si>
  <x:si>
    <x:t xml:space="preserve">生命丰碑 + 黄金祭坛 + 震荡余波 + 血契之刃 + 狂怒阵容</x:t>
  </x:si>
  <x:si>
    <x:t xml:space="preserve">需要：生命丰碑 + 黄金祭坛 + 震荡余波 + 血契之刃 + 狂怒阵容。生命丰碑 ×1.20→×1.40；震荡余波眩晕 1→2 秒；血契之刃 ×1.25→×1.50；狂怒阵容上限 8→9。黄金祭坛使用不扣法阵 HP；选到胡牌手立即回复法阵 HP +2（上限 50）。
表内字段：positive_effect_multiplier = 2</x:t>
  </x:si>
  <x:si>
    <x:t xml:space="preserve">各挂钩点的 _f_has_linkage 判定</x:t>
  </x:si>
  <x:si>
    <x:t xml:space="preserve">回合</x:t>
  </x:si>
  <x:si>
    <x:t xml:space="preserve">局型</x:t>
  </x:si>
  <x:si>
    <x:t xml:space="preserve">宝藏回合</x:t>
  </x:si>
  <x:si>
    <x:t xml:space="preserve">每路野怪数</x:t>
  </x:si>
  <x:si>
    <x:t xml:space="preserve">已完PVE</x:t>
  </x:si>
  <x:si>
    <x:t xml:space="preserve">怪HP×</x:t>
  </x:si>
  <x:si>
    <x:t xml:space="preserve">怪攻×</x:t>
  </x:si>
  <x:si>
    <x:t xml:space="preserve">怪防×</x:t>
  </x:si>
  <x:si>
    <x:t xml:space="preserve">已完Boss</x:t>
  </x:si>
  <x:si>
    <x:t xml:space="preserve">BossHP×</x:t>
  </x:si>
  <x:si>
    <x:t xml:space="preserve">Boss攻×</x:t>
  </x:si>
  <x:si>
    <x:t xml:space="preserve">Boss防×</x:t>
  </x:si>
  <x:si>
    <x:t xml:space="preserve">pve</x:t>
  </x:si>
  <x:si>
    <x:t xml:space="preserve">×1.00</x:t>
  </x:si>
  <x:si>
    <x:t xml:space="preserve">×1.10</x:t>
  </x:si>
  <x:si>
    <x:t xml:space="preserve">×1.08</x:t>
  </x:si>
  <x:si>
    <x:t xml:space="preserve">×1.05</x:t>
  </x:si>
  <x:si>
    <x:t xml:space="preserve">×1.21</x:t>
  </x:si>
  <x:si>
    <x:t xml:space="preserve">×1.17</x:t>
  </x:si>
  <x:si>
    <x:t xml:space="preserve">×1.33</x:t>
  </x:si>
  <x:si>
    <x:t xml:space="preserve">×1.26</x:t>
  </x:si>
  <x:si>
    <x:t xml:space="preserve">×1.16</x:t>
  </x:si>
  <x:si>
    <x:t xml:space="preserve">boss</x:t>
  </x:si>
  <x:si>
    <x:t xml:space="preserve">×1.46</x:t>
  </x:si>
  <x:si>
    <x:t xml:space="preserve">×1.36</x:t>
  </x:si>
  <x:si>
    <x:t xml:space="preserve">×1.22</x:t>
  </x:si>
  <x:si>
    <x:t xml:space="preserve">pvp</x:t>
  </x:si>
  <x:si>
    <x:t xml:space="preserve">×1.45</x:t>
  </x:si>
  <x:si>
    <x:t xml:space="preserve">×1.35</x:t>
  </x:si>
  <x:si>
    <x:t xml:space="preserve">×1.30</x:t>
  </x:si>
  <x:si>
    <x:t xml:space="preserve">×1.61</x:t>
  </x:si>
  <x:si>
    <x:t xml:space="preserve">×1.47</x:t>
  </x:si>
  <x:si>
    <x:t xml:space="preserve">×1.28</x:t>
  </x:si>
  <x:si>
    <x:t xml:space="preserve">×1.77</x:t>
  </x:si>
  <x:si>
    <x:t xml:space="preserve">×1.59</x:t>
  </x:si>
  <x:si>
    <x:t xml:space="preserve">×1.34</x:t>
  </x:si>
  <x:si>
    <x:t xml:space="preserve">×1.95</x:t>
  </x:si>
  <x:si>
    <x:t xml:space="preserve">×1.71</x:t>
  </x:si>
  <x:si>
    <x:t xml:space="preserve">×1.41</x:t>
  </x:si>
  <x:si>
    <x:t xml:space="preserve">×2.10</x:t>
  </x:si>
  <x:si>
    <x:t xml:space="preserve">×1.82</x:t>
  </x:si>
  <x:si>
    <x:t xml:space="preserve">×1.69</x:t>
  </x:si>
  <x:si>
    <x:t xml:space="preserve">×2.14</x:t>
  </x:si>
  <x:si>
    <x:t xml:space="preserve">×1.85</x:t>
  </x:si>
  <x:si>
    <x:t xml:space="preserve">×1.48</x:t>
  </x:si>
  <x:si>
    <x:t xml:space="preserve">×2.36</x:t>
  </x:si>
  <x:si>
    <x:t xml:space="preserve">×2.00</x:t>
  </x:si>
  <x:si>
    <x:t xml:space="preserve">×1.55</x:t>
  </x:si>
  <x:si>
    <x:t xml:space="preserve">×2.59</x:t>
  </x:si>
  <x:si>
    <x:t xml:space="preserve">×2.16</x:t>
  </x:si>
  <x:si>
    <x:t xml:space="preserve">×1.63</x:t>
  </x:si>
  <x:si>
    <x:t xml:space="preserve">×3.05</x:t>
  </x:si>
  <x:si>
    <x:t xml:space="preserve">×2.46</x:t>
  </x:si>
  <x:si>
    <x:t xml:space="preserve">×2.20</x:t>
  </x:si>
  <x:si>
    <x:t xml:space="preserve">×2.85</x:t>
  </x:si>
  <x:si>
    <x:t xml:space="preserve">×2.33</x:t>
  </x:si>
  <x:si>
    <x:t xml:space="preserve">×3.14</x:t>
  </x:si>
  <x:si>
    <x:t xml:space="preserve">×2.52</x:t>
  </x:si>
  <x:si>
    <x:t xml:space="preserve">×1.80</x:t>
  </x:si>
  <x:si>
    <x:t xml:space="preserve">×3.45</x:t>
  </x:si>
  <x:si>
    <x:t xml:space="preserve">×2.72</x:t>
  </x:si>
  <x:si>
    <x:t xml:space="preserve">×1.89</x:t>
  </x:si>
  <x:si>
    <x:t xml:space="preserve">final</x:t>
  </x:si>
  <x:si>
    <x:t xml:space="preserve">×4.42</x:t>
  </x:si>
  <x:si>
    <x:t xml:space="preserve">×3.32</x:t>
  </x:si>
  <x:si>
    <x:t xml:space="preserve">×2.86</x:t>
  </x:si>
  <x:si>
    <x:t xml:space="preserve">参数 ID</x:t>
  </x:si>
  <x:si>
    <x:t xml:space="preserve">数值</x:t>
  </x:si>
  <x:si>
    <x:t xml:space="preserve">类型</x:t>
  </x:si>
  <x:si>
    <x:t xml:space="preserve">代码表达式</x:t>
  </x:si>
  <x:si>
    <x:t xml:space="preserve">treasure.phoenix_revive_hp_rate</x:t>
  </x:si>
  <x:si>
    <x:t xml:space="preserve">float</x:t>
  </x:si>
  <x:si>
    <x:t xml:space="preserve">scripts/battle/BattleSimTreasures.gd</x:t>
  </x:si>
  <x:si>
    <x:t xml:space="preserve">victim.max_hp * 0.40</x:t>
  </x:si>
  <x:si>
    <x:t xml:space="preserve">synergy.undead_poison_antiheal</x:t>
  </x:si>
  <x:si>
    <x:t xml:space="preserve">scripts/units/SynergyService.gd</x:t>
  </x:si>
  <x:si>
    <x:t xml:space="preserve">undead_poison_antiheal: 0.30</x:t>
  </x:si>
</x:sst>
</file>

<file path=xl/styles.xml><?xml version="1.0" encoding="utf-8"?>
<x:styleSheet xmlns:x="http://schemas.openxmlformats.org/spreadsheetml/2006/main">
  <x:numFmts count="4">
    <x:numFmt numFmtId="176" formatCode="_(* #,##0.00_);_(* \(#,##0.00\);_(* &quot;-&quot;??_);_(@_)"/>
    <x:numFmt numFmtId="177" formatCode="_-&quot;RM&quot;* #,##0.00_-;\-&quot;RM&quot;* #,##0.00_-;_-&quot;RM&quot;* &quot;-&quot;??_-;_-@_-"/>
    <x:numFmt numFmtId="178" formatCode="_(* #,##0_);_(* \(#,##0\);_(* &quot;-&quot;_);_(@_)"/>
    <x:numFmt numFmtId="179" formatCode="_-&quot;RM&quot;* #,##0_-;\-&quot;RM&quot;* #,##0_-;_-&quot;RM&quot;* &quot;-&quot;??_-;_-@_-"/>
  </x:numFmts>
  <x:fonts count="26">
    <x:font>
      <x:sz val="11"/>
      <x:name val="Carlito"/>
    </x:font>
    <x:font>
      <x:b/>
      <x:sz val="15"/>
      <x:color rgb="FFFFFFFF"/>
      <x:name val="Microsoft YaHei"/>
    </x:font>
    <x:font>
      <x:sz val="10"/>
      <x:color rgb="FF526377"/>
      <x:name val="Microsoft YaHei"/>
    </x:font>
    <x:font>
      <x:b/>
      <x:sz val="10"/>
      <x:color rgb="FFFFFFFF"/>
      <x:name val="Microsoft YaHei"/>
    </x:font>
    <x:font>
      <x:sz val="10"/>
      <x:color rgb="FF243447"/>
      <x:name val="Microsoft YaHei"/>
    </x:font>
    <x:font>
      <x:sz val="9"/>
      <x:color rgb="FF243447"/>
      <x:name val="Microsoft YaHei"/>
    </x:font>
    <x:font>
      <x:sz val="11"/>
      <x:color theme="1"/>
      <x:name val="Calibri"/>
      <x:scheme val="minor"/>
    </x:font>
    <x:font>
      <x:u val="single"/>
      <x:sz val="11"/>
      <x:color rgb="FF0000FF"/>
      <x:name val="Calibri"/>
      <x:scheme val="minor"/>
    </x:font>
    <x:font>
      <x:u val="single"/>
      <x:sz val="11"/>
      <x:color rgb="FF800080"/>
      <x:name val="Calibri"/>
      <x:scheme val="minor"/>
    </x:font>
    <x:font>
      <x:sz val="11"/>
      <x:color rgb="FFFF0000"/>
      <x:name val="Calibri"/>
      <x:scheme val="minor"/>
    </x:font>
    <x:font>
      <x:b/>
      <x:sz val="18"/>
      <x:color theme="3"/>
      <x:name val="Calibri"/>
      <x:scheme val="minor"/>
    </x:font>
    <x:font>
      <x:i/>
      <x:sz val="11"/>
      <x:color rgb="FF7F7F7F"/>
      <x:name val="Calibri"/>
      <x:scheme val="minor"/>
    </x:font>
    <x:font>
      <x:b/>
      <x:sz val="15"/>
      <x:color theme="3"/>
      <x:name val="Calibri"/>
      <x:scheme val="minor"/>
    </x:font>
    <x:font>
      <x:b/>
      <x:sz val="13"/>
      <x:color theme="3"/>
      <x:name val="Calibri"/>
      <x:scheme val="minor"/>
    </x:font>
    <x:font>
      <x:b/>
      <x:sz val="11"/>
      <x:color theme="3"/>
      <x:name val="Calibri"/>
      <x:scheme val="minor"/>
    </x:font>
    <x:font>
      <x:sz val="11"/>
      <x:color rgb="FF3F3F76"/>
      <x:name val="Calibri"/>
      <x:scheme val="minor"/>
    </x:font>
    <x:font>
      <x:b/>
      <x:sz val="11"/>
      <x:color rgb="FF3F3F3F"/>
      <x:name val="Calibri"/>
      <x:scheme val="minor"/>
    </x:font>
    <x:font>
      <x:b/>
      <x:sz val="11"/>
      <x:color rgb="FFFA7D00"/>
      <x:name val="Calibri"/>
      <x:scheme val="minor"/>
    </x:font>
    <x:font>
      <x:b/>
      <x:sz val="11"/>
      <x:color rgb="FFFFFFFF"/>
      <x:name val="Calibri"/>
      <x:scheme val="minor"/>
    </x:font>
    <x:font>
      <x:sz val="11"/>
      <x:color rgb="FFFA7D00"/>
      <x:name val="Calibri"/>
      <x:scheme val="minor"/>
    </x:font>
    <x:font>
      <x:b/>
      <x:sz val="11"/>
      <x:color theme="1"/>
      <x:name val="Calibri"/>
      <x:scheme val="minor"/>
    </x:font>
    <x:font>
      <x:sz val="11"/>
      <x:color rgb="FF006100"/>
      <x:name val="Calibri"/>
      <x:scheme val="minor"/>
    </x:font>
    <x:font>
      <x:sz val="11"/>
      <x:color rgb="FF9C0006"/>
      <x:name val="Calibri"/>
      <x:scheme val="minor"/>
    </x:font>
    <x:font>
      <x:sz val="11"/>
      <x:color rgb="FF9C6500"/>
      <x:name val="Calibri"/>
      <x:scheme val="minor"/>
    </x:font>
    <x:font>
      <x:sz val="11"/>
      <x:color theme="0"/>
      <x:name val="Calibri"/>
      <x:scheme val="minor"/>
    </x:font>
    <x:font>
      <x:sz val="11"/>
      <x:color theme="1"/>
      <x:name val="Calibri"/>
      <x:scheme val="minor"/>
    </x:font>
  </x:fonts>
  <x:fills count="37">
    <x:fill>
      <x:patternFill patternType="none"/>
    </x:fill>
    <x:fill>
      <x:patternFill patternType="gray125"/>
    </x:fill>
    <x:fill>
      <x:patternFill patternType="solid">
        <x:fgColor rgb="FF1B3553"/>
      </x:patternFill>
    </x:fill>
    <x:fill>
      <x:patternFill patternType="solid">
        <x:fgColor rgb="FF284766"/>
      </x:patternFill>
    </x:fill>
    <x:fill>
      <x:patternFill patternType="solid">
        <x:fgColor rgb="FFFFFFFF"/>
      </x:patternFill>
    </x:fill>
    <x:fill>
      <x:patternFill patternType="solid">
        <x:fgColor rgb="FFF3F6FA"/>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9">
    <x:border>
      <x:left/>
      <x:right/>
      <x:top/>
      <x:bottom/>
      <x:diagonal/>
    </x:border>
    <x:border>
      <x:left style="thin">
        <x:color rgb="FFB2B2B2"/>
      </x:left>
      <x:right style="thin">
        <x:color rgb="FFB2B2B2"/>
      </x:right>
      <x:top style="thin">
        <x:color rgb="FFB2B2B2"/>
      </x:top>
      <x:bottom style="thin">
        <x:color rgb="FFB2B2B2"/>
      </x:bottom>
      <x:diagonal/>
    </x:border>
    <x:border>
      <x:left/>
      <x:right/>
      <x:top/>
      <x:bottom style="medium">
        <x:color theme="4"/>
      </x:bottom>
      <x:diagonal/>
    </x:border>
    <x:border>
      <x:left/>
      <x:right/>
      <x:top/>
      <x:bottom style="medium">
        <x:color theme="4" tint="0.49998"/>
      </x:bottom>
      <x:diagonal/>
    </x:border>
    <x:border>
      <x:left style="thin">
        <x:color rgb="FF7F7F7F"/>
      </x:left>
      <x:right style="thin">
        <x:color rgb="FF7F7F7F"/>
      </x:right>
      <x:top style="thin">
        <x:color rgb="FF7F7F7F"/>
      </x:top>
      <x:bottom style="thin">
        <x:color rgb="FF7F7F7F"/>
      </x:bottom>
      <x:diagonal/>
    </x:border>
    <x:border>
      <x:left style="thin">
        <x:color rgb="FF3F3F3F"/>
      </x:left>
      <x:right style="thin">
        <x:color rgb="FF3F3F3F"/>
      </x:right>
      <x:top style="thin">
        <x:color rgb="FF3F3F3F"/>
      </x:top>
      <x:bottom style="thin">
        <x:color rgb="FF3F3F3F"/>
      </x:bottom>
      <x:diagonal/>
    </x:border>
    <x:border>
      <x:left style="double">
        <x:color rgb="FF3F3F3F"/>
      </x:left>
      <x:right style="double">
        <x:color rgb="FF3F3F3F"/>
      </x:right>
      <x:top style="double">
        <x:color rgb="FF3F3F3F"/>
      </x:top>
      <x:bottom style="double">
        <x:color rgb="FF3F3F3F"/>
      </x:bottom>
      <x:diagonal/>
    </x:border>
    <x:border>
      <x:left/>
      <x:right/>
      <x:top/>
      <x:bottom style="double">
        <x:color rgb="FFFF8001"/>
      </x:bottom>
      <x:diagonal/>
    </x:border>
    <x:border>
      <x:left/>
      <x:right/>
      <x:top style="thin">
        <x:color theme="4"/>
      </x:top>
      <x:bottom style="double">
        <x:color theme="4"/>
      </x:bottom>
      <x:diagonal/>
    </x:border>
  </x:borders>
  <x:cellStyleXfs count="49">
    <x:xf numFmtId="0" fontId="0" fillId="0" borderId="0"/>
    <x:xf numFmtId="176" fontId="6" fillId="0" borderId="0" applyFont="0" applyFill="0" applyBorder="0" applyAlignment="0" applyProtection="0">
      <x:alignment vertical="center"/>
    </x:xf>
    <x:xf numFmtId="177" fontId="6" fillId="0" borderId="0" applyFont="0" applyFill="0" applyBorder="0" applyAlignment="0" applyProtection="0">
      <x:alignment vertical="center"/>
    </x:xf>
    <x:xf numFmtId="9" fontId="6" fillId="0" borderId="0" applyFont="0" applyFill="0" applyBorder="0" applyAlignment="0" applyProtection="0">
      <x:alignment vertical="center"/>
    </x:xf>
    <x:xf numFmtId="178" fontId="6" fillId="0" borderId="0" applyFont="0" applyFill="0" applyBorder="0" applyAlignment="0" applyProtection="0">
      <x:alignment vertical="center"/>
    </x:xf>
    <x:xf numFmtId="179" fontId="6" fillId="0" borderId="0" applyFont="0" applyFill="0" applyBorder="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6" fillId="6" borderId="1" applyNumberFormat="0" applyFont="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11" fillId="0" borderId="0" applyNumberFormat="0" applyFill="0" applyBorder="0" applyAlignment="0" applyProtection="0">
      <x:alignment vertical="center"/>
    </x:xf>
    <x:xf numFmtId="0" fontId="12" fillId="0" borderId="2" applyNumberFormat="0" applyFill="0" applyAlignment="0" applyProtection="0">
      <x:alignment vertical="center"/>
    </x:xf>
    <x:xf numFmtId="0" fontId="13" fillId="0" borderId="2" applyNumberFormat="0" applyFill="0" applyAlignment="0" applyProtection="0">
      <x:alignment vertical="center"/>
    </x:xf>
    <x:xf numFmtId="0" fontId="14" fillId="0" borderId="3" applyNumberFormat="0" applyFill="0" applyAlignment="0" applyProtection="0">
      <x:alignment vertical="center"/>
    </x:xf>
    <x:xf numFmtId="0" fontId="14" fillId="0" borderId="0" applyNumberFormat="0" applyFill="0" applyBorder="0" applyAlignment="0" applyProtection="0">
      <x:alignment vertical="center"/>
    </x:xf>
    <x:xf numFmtId="0" fontId="15" fillId="7" borderId="4" applyNumberFormat="0" applyAlignment="0" applyProtection="0">
      <x:alignment vertical="center"/>
    </x:xf>
    <x:xf numFmtId="0" fontId="16" fillId="8" borderId="5" applyNumberFormat="0" applyAlignment="0" applyProtection="0">
      <x:alignment vertical="center"/>
    </x:xf>
    <x:xf numFmtId="0" fontId="17" fillId="8" borderId="4" applyNumberFormat="0" applyAlignment="0" applyProtection="0">
      <x:alignment vertical="center"/>
    </x:xf>
    <x:xf numFmtId="0" fontId="18" fillId="9" borderId="6" applyNumberFormat="0" applyAlignment="0" applyProtection="0">
      <x:alignment vertical="center"/>
    </x:xf>
    <x:xf numFmtId="0" fontId="19" fillId="0" borderId="7" applyNumberFormat="0" applyFill="0" applyAlignment="0" applyProtection="0">
      <x:alignment vertical="center"/>
    </x:xf>
    <x:xf numFmtId="0" fontId="20" fillId="0" borderId="8" applyNumberFormat="0" applyFill="0" applyAlignment="0" applyProtection="0">
      <x:alignment vertical="center"/>
    </x:xf>
    <x:xf numFmtId="0" fontId="21" fillId="10" borderId="0" applyNumberFormat="0" applyBorder="0" applyAlignment="0" applyProtection="0">
      <x:alignment vertical="center"/>
    </x:xf>
    <x:xf numFmtId="0" fontId="22" fillId="11" borderId="0" applyNumberFormat="0" applyBorder="0" applyAlignment="0" applyProtection="0">
      <x:alignment vertical="center"/>
    </x:xf>
    <x:xf numFmtId="0" fontId="23" fillId="12" borderId="0" applyNumberFormat="0" applyBorder="0" applyAlignment="0" applyProtection="0">
      <x:alignment vertical="center"/>
    </x:xf>
    <x:xf numFmtId="0" fontId="24" fillId="13" borderId="0" applyNumberFormat="0" applyBorder="0" applyAlignment="0" applyProtection="0">
      <x:alignment vertical="center"/>
    </x:xf>
    <x:xf numFmtId="0" fontId="25" fillId="14" borderId="0" applyNumberFormat="0" applyBorder="0" applyAlignment="0" applyProtection="0">
      <x:alignment vertical="center"/>
    </x:xf>
    <x:xf numFmtId="0" fontId="25" fillId="15" borderId="0" applyNumberFormat="0" applyBorder="0" applyAlignment="0" applyProtection="0">
      <x:alignment vertical="center"/>
    </x:xf>
    <x:xf numFmtId="0" fontId="24" fillId="16" borderId="0" applyNumberFormat="0" applyBorder="0" applyAlignment="0" applyProtection="0">
      <x:alignment vertical="center"/>
    </x:xf>
    <x:xf numFmtId="0" fontId="24" fillId="17" borderId="0" applyNumberFormat="0" applyBorder="0" applyAlignment="0" applyProtection="0">
      <x:alignment vertical="center"/>
    </x:xf>
    <x:xf numFmtId="0" fontId="25" fillId="18" borderId="0" applyNumberFormat="0" applyBorder="0" applyAlignment="0" applyProtection="0">
      <x:alignment vertical="center"/>
    </x:xf>
    <x:xf numFmtId="0" fontId="25" fillId="19" borderId="0" applyNumberFormat="0" applyBorder="0" applyAlignment="0" applyProtection="0">
      <x:alignment vertical="center"/>
    </x:xf>
    <x:xf numFmtId="0" fontId="24" fillId="20" borderId="0" applyNumberFormat="0" applyBorder="0" applyAlignment="0" applyProtection="0">
      <x:alignment vertical="center"/>
    </x:xf>
    <x:xf numFmtId="0" fontId="24" fillId="21" borderId="0" applyNumberFormat="0" applyBorder="0" applyAlignment="0" applyProtection="0">
      <x:alignment vertical="center"/>
    </x:xf>
    <x:xf numFmtId="0" fontId="25" fillId="22" borderId="0" applyNumberFormat="0" applyBorder="0" applyAlignment="0" applyProtection="0">
      <x:alignment vertical="center"/>
    </x:xf>
    <x:xf numFmtId="0" fontId="25" fillId="23" borderId="0" applyNumberFormat="0" applyBorder="0" applyAlignment="0" applyProtection="0">
      <x:alignment vertical="center"/>
    </x:xf>
    <x:xf numFmtId="0" fontId="24" fillId="24" borderId="0" applyNumberFormat="0" applyBorder="0" applyAlignment="0" applyProtection="0">
      <x:alignment vertical="center"/>
    </x:xf>
    <x:xf numFmtId="0" fontId="24" fillId="25" borderId="0" applyNumberFormat="0" applyBorder="0" applyAlignment="0" applyProtection="0">
      <x:alignment vertical="center"/>
    </x:xf>
    <x:xf numFmtId="0" fontId="25" fillId="26" borderId="0" applyNumberFormat="0" applyBorder="0" applyAlignment="0" applyProtection="0">
      <x:alignment vertical="center"/>
    </x:xf>
    <x:xf numFmtId="0" fontId="25" fillId="27" borderId="0" applyNumberFormat="0" applyBorder="0" applyAlignment="0" applyProtection="0">
      <x:alignment vertical="center"/>
    </x:xf>
    <x:xf numFmtId="0" fontId="24" fillId="28" borderId="0" applyNumberFormat="0" applyBorder="0" applyAlignment="0" applyProtection="0">
      <x:alignment vertical="center"/>
    </x:xf>
    <x:xf numFmtId="0" fontId="24" fillId="29" borderId="0" applyNumberFormat="0" applyBorder="0" applyAlignment="0" applyProtection="0">
      <x:alignment vertical="center"/>
    </x:xf>
    <x:xf numFmtId="0" fontId="25" fillId="30" borderId="0" applyNumberFormat="0" applyBorder="0" applyAlignment="0" applyProtection="0">
      <x:alignment vertical="center"/>
    </x:xf>
    <x:xf numFmtId="0" fontId="25" fillId="31" borderId="0" applyNumberFormat="0" applyBorder="0" applyAlignment="0" applyProtection="0">
      <x:alignment vertical="center"/>
    </x:xf>
    <x:xf numFmtId="0" fontId="24" fillId="32" borderId="0" applyNumberFormat="0" applyBorder="0" applyAlignment="0" applyProtection="0">
      <x:alignment vertical="center"/>
    </x:xf>
    <x:xf numFmtId="0" fontId="24" fillId="33" borderId="0" applyNumberFormat="0" applyBorder="0" applyAlignment="0" applyProtection="0">
      <x:alignment vertical="center"/>
    </x:xf>
    <x:xf numFmtId="0" fontId="25" fillId="34" borderId="0" applyNumberFormat="0" applyBorder="0" applyAlignment="0" applyProtection="0">
      <x:alignment vertical="center"/>
    </x:xf>
    <x:xf numFmtId="0" fontId="25" fillId="35" borderId="0" applyNumberFormat="0" applyBorder="0" applyAlignment="0" applyProtection="0">
      <x:alignment vertical="center"/>
    </x:xf>
    <x:xf numFmtId="0" fontId="24" fillId="36" borderId="0" applyNumberFormat="0" applyBorder="0" applyAlignment="0" applyProtection="0">
      <x:alignment vertical="center"/>
    </x:xf>
  </x:cellStyleXfs>
  <x:cellXfs count="11">
    <x:xf numFmtId="0" fontId="0" fillId="0" borderId="0" xfId="0"/>
    <x:xf numFmtId="0" fontId="1" fillId="2" borderId="0" xfId="0" applyNumberFormat="1" applyFont="1" applyFill="1" applyBorder="1"/>
    <x:xf numFmtId="0" fontId="2" fillId="0" borderId="0" xfId="0" applyNumberFormat="1" applyFont="1" applyFill="1" applyBorder="1" applyAlignment="1">
      <x:alignment wrapText="1"/>
    </x:xf>
    <x:xf numFmtId="0" fontId="3" fillId="3" borderId="0" xfId="0" applyNumberFormat="1" applyFont="1" applyFill="1" applyBorder="1"/>
    <x:xf numFmtId="0" fontId="4" fillId="0" borderId="0" xfId="0" applyNumberFormat="1" applyFont="1" applyFill="1" applyBorder="1"/>
    <x:xf numFmtId="0" fontId="3" fillId="3" borderId="0" xfId="0" applyNumberFormat="1" applyFont="1" applyFill="1" applyBorder="1" applyAlignment="1">
      <x:alignment wrapText="1"/>
    </x:xf>
    <x:xf numFmtId="0" fontId="5" fillId="0" borderId="0" xfId="0" applyNumberFormat="1" applyFont="1" applyFill="1" applyBorder="1"/>
    <x:xf numFmtId="0" fontId="4" fillId="4" borderId="0"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9" fontId="4" fillId="4" borderId="0" xfId="0" applyNumberFormat="1" applyFont="1" applyFill="1" applyBorder="1" applyAlignment="1">
      <x:alignment vertical="center" wrapText="1"/>
    </x:xf>
    <x:xf numFmtId="9" fontId="4" fillId="5" borderId="0" xfId="0" applyNumberFormat="1" applyFont="1" applyFill="1" applyBorder="1" applyAlignment="1">
      <x:alignment vertical="center" wrapText="1"/>
    </x:xf>
  </x:cellXfs>
  <x:cellStyles count="49">
    <x:cellStyle name="Normal" xfId="0"/>
    <x:cellStyle name="Comma" xfId="1"/>
    <x:cellStyle name="Currency" xfId="2"/>
    <x:cellStyle name="Percent" xfId="3"/>
    <x:cellStyle name="Comma [0]" xfId="4"/>
    <x:cellStyle name="Currency [0]" xfId="5"/>
    <x:cellStyle name="Link" xfId="6"/>
    <x:cellStyle name="Followed Hyperlink" xfId="7"/>
    <x:cellStyle name="Note" xfId="8"/>
    <x:cellStyle name="Warning Text" xfId="9"/>
    <x:cellStyle name="Title" xfId="10"/>
    <x:cellStyle name="CExplanatory Text" xfId="11"/>
    <x:cellStyle name="Heading 1" xfId="12"/>
    <x:cellStyle name="Heading 2" xfId="13"/>
    <x:cellStyle name="Heading 3" xfId="14"/>
    <x:cellStyle name="Heading 4" xfId="15"/>
    <x:cellStyle name="Input" xfId="16"/>
    <x:cellStyle name="Output" xfId="17"/>
    <x:cellStyle name="Calculation" xfId="18"/>
    <x:cellStyle name="Check Cell" xfId="19"/>
    <x:cellStyle name="Linked Cell" xfId="20"/>
    <x:cellStyle name="Total" xfId="21"/>
    <x:cellStyle name="Good" xfId="22"/>
    <x:cellStyle name="Bad" xfId="23"/>
    <x:cellStyle name="Neutral" xfId="24"/>
    <x:cellStyle name="Accent1" xfId="25"/>
    <x:cellStyle name="20% - Accent1" xfId="26"/>
    <x:cellStyle name="40% - Accent1" xfId="27"/>
    <x:cellStyle name="60% - Accent1" xfId="28"/>
    <x:cellStyle name="Accent2" xfId="29"/>
    <x:cellStyle name="20% - Accent2" xfId="30"/>
    <x:cellStyle name="40% - Accent2" xfId="31"/>
    <x:cellStyle name="60% - Accent2" xfId="32"/>
    <x:cellStyle name="Accent3" xfId="33"/>
    <x:cellStyle name="20% - Accent3" xfId="34"/>
    <x:cellStyle name="40% - Accent3" xfId="35"/>
    <x:cellStyle name="60% - Accent3" xfId="36"/>
    <x:cellStyle name="Accent4" xfId="37"/>
    <x:cellStyle name="20% - Accent4" xfId="38"/>
    <x:cellStyle name="40% - Accent4" xfId="39"/>
    <x:cellStyle name="60% - Accent4" xfId="40"/>
    <x:cellStyle name="Accent5" xfId="41"/>
    <x:cellStyle name="20% - Accent5" xfId="42"/>
    <x:cellStyle name="40% - Accent5" xfId="43"/>
    <x:cellStyle name="60% - Accent5" xfId="44"/>
    <x:cellStyle name="Accent6" xfId="45"/>
    <x:cellStyle name="20% - Accent6" xfId="46"/>
    <x:cellStyle name="40% - Accent6" xfId="47"/>
    <x:cellStyle name="60% - Accent6" xfId="48"/>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cb80443b3f4d4d19" /><Relationship Type="http://schemas.openxmlformats.org/officeDocument/2006/relationships/theme" Target="/xl/theme/theme1.xml" Id="R7f255a409b814ba0" /><Relationship Type="http://schemas.openxmlformats.org/officeDocument/2006/relationships/sharedStrings" Target="/xl/sharedStrings.xml" Id="R330d7597c7a44817" /><Relationship Type="http://schemas.openxmlformats.org/officeDocument/2006/relationships/worksheet" Target="/xl/worksheets/sheet1.xml" Id="R56a4e61a656b4c80" /><Relationship Type="http://schemas.openxmlformats.org/officeDocument/2006/relationships/worksheet" Target="/xl/worksheets/sheet2.xml" Id="Re12b25a0e84d484b" /><Relationship Type="http://schemas.openxmlformats.org/officeDocument/2006/relationships/worksheet" Target="/xl/worksheets/sheet3.xml" Id="Rfd67bbc328fc467c" /><Relationship Type="http://schemas.openxmlformats.org/officeDocument/2006/relationships/worksheet" Target="/xl/worksheets/sheet4.xml" Id="R1d6d99d566a549c9" /><Relationship Type="http://schemas.openxmlformats.org/officeDocument/2006/relationships/worksheet" Target="/xl/worksheets/sheet5.xml" Id="Ra7d776b64af044ff" /><Relationship Type="http://schemas.openxmlformats.org/officeDocument/2006/relationships/worksheet" Target="/xl/worksheets/sheet6.xml" Id="R7611c374b0e64edc" /><Relationship Type="http://schemas.openxmlformats.org/officeDocument/2006/relationships/worksheet" Target="/xl/worksheets/sheet7.xml" Id="Ra945e2cd6d3848c9" /><Relationship Type="http://schemas.openxmlformats.org/officeDocument/2006/relationships/worksheet" Target="/xl/worksheets/sheet8.xml" Id="Rc61a6b0da8b846e8" /><Relationship Type="http://schemas.openxmlformats.org/officeDocument/2006/relationships/worksheet" Target="/xl/worksheets/sheet9.xml" Id="R315ed0fb491741f8" /><Relationship Type="http://schemas.openxmlformats.org/officeDocument/2006/relationships/worksheet" Target="/xl/worksheets/sheet10.xml" Id="R2ddf7ca654a743d8" /><Relationship Type="http://schemas.openxmlformats.org/officeDocument/2006/relationships/worksheet" Target="/xl/worksheets/sheet11.xml" Id="Rc0e0ae3ab1984431" /><Relationship Type="http://schemas.openxmlformats.org/officeDocument/2006/relationships/worksheet" Target="/xl/worksheets/sheet12.xml" Id="Rf00c0413ed4f4d4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ColWidth="9" defaultRowHeight="14.25"/>
  <x:cols>
    <x:col min="1" max="1" width="30" customWidth="1"/>
    <x:col min="2" max="2" width="92" customWidth="1"/>
    <x:col min="3" max="3" width="80" customWidth="1"/>
  </x:cols>
  <x:sheetData>
    <x:row r="1" ht="34" customHeight="1">
      <x:c r="A1" s="1" t="s">
        <x:v>0</x:v>
      </x:c>
      <x:c r="B1" s="1"/>
      <x:c r="C1" s="1"/>
    </x:row>
    <x:row r="2" ht="32" customHeight="1">
      <x:c r="A2" s="2" t="inlineStr">
        <x:is>
          <x:t xml:space="preserve">本表只维护棋子、羁绊、佣兵、怪物、Boss、宝藏与宠物的数值及技能；商城、经济和法阵友军另由运行 JSON 管理。</x:t>
        </x:is>
      </x:c>
      <x:c r="B2" s="2"/>
      <x:c r="C2" s="2"/>
    </x:row>
    <x:row r="3" ht="28" customHeight="1">
      <x:c r="A3" s="5" t="s">
        <x:v>1</x:v>
      </x:c>
      <x:c r="B3" s="5" t="s">
        <x:v>2</x:v>
      </x:c>
      <x:c r="C3" s="5" t="s">
        <x:v>3</x:v>
      </x:c>
    </x:row>
    <x:row r="4" ht="38" customHeight="1">
      <x:c r="A4" s="7" t="s">
        <x:v>4</x:v>
      </x:c>
      <x:c r="B4" s="7" t="inlineStr">
        <x:is>
          <x:t xml:space="preserve">final status / 2026-10-13</x:t>
        </x:is>
      </x:c>
      <x:c r="C4" s="7" t="s">
        <x:v>5</x:v>
      </x:c>
    </x:row>
    <x:row r="5" ht="38" customHeight="1">
      <x:c r="A5" s="8" t="s">
        <x:v>6</x:v>
      </x:c>
      <x:c r="B5" s="8" t="s">
        <x:v>7</x:v>
      </x:c>
      <x:c r="C5" s="8" t="s">
        <x:v>8</x:v>
      </x:c>
    </x:row>
    <x:row r="6" ht="38" customHeight="1">
      <x:c r="A6" s="7" t="s">
        <x:v>9</x:v>
      </x:c>
      <x:c r="B6" s="7" t="s">
        <x:v>10</x:v>
      </x:c>
      <x:c r="C6" s="7" t="s">
        <x:v>11</x:v>
      </x:c>
    </x:row>
    <x:row r="7" ht="38" customHeight="1">
      <x:c r="A7" s="8" t="s">
        <x:v>12</x:v>
      </x:c>
      <x:c r="B7" s="8" t="s">
        <x:v>13</x:v>
      </x:c>
      <x:c r="C7" s="8" t="s">
        <x:v>14</x:v>
      </x:c>
    </x:row>
    <x:row r="8" ht="38" customHeight="1">
      <x:c r="A8" s="7" t="s">
        <x:v>15</x:v>
      </x:c>
      <x:c r="B8" s="7" t="s">
        <x:v>16</x:v>
      </x:c>
      <x:c r="C8" s="7" t="s">
        <x:v>17</x:v>
      </x:c>
    </x:row>
    <x:row r="9" ht="38" customHeight="1">
      <x:c r="A9" s="8" t="inlineStr">
        <x:is>
          <x:t xml:space="preserve">维护范围</x:t>
        </x:is>
      </x:c>
      <x:c r="B9" s="8" t="inlineStr">
        <x:is>
          <x:t xml:space="preserve">棋子、佣兵、野怪、Boss、宝藏、宠物；商城不在本表</x:t>
        </x:is>
      </x:c>
      <x:c r="C9" s="8" t="inlineStr">
        <x:is>
          <x:t xml:space="preserve">商城 data/shop.json；宠物技能仍在 03_宠物技能</x:t>
        </x:is>
      </x:c>
    </x:row>
    <x:row r="10" ht="38" customHeight="1">
      <x:c r="A10" s="7" t="s">
        <x:v>18</x:v>
      </x:c>
      <x:c r="B10" s="7" t="s">
        <x:v>19</x:v>
      </x:c>
      <x:c r="C10" s="7" t="inlineStr">
        <x:is>
          <x:t xml:space="preserve">已审定规则见 04_羁绊、09_宝藏与套装、10_宝藏联动</x:t>
        </x:is>
      </x:c>
    </x:row>
  </x:sheetData>
  <x:mergeCells>
    <x:mergeCell ref="A1:C1"/>
    <x:mergeCell ref="A2:C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3" topLeftCell="A4" activePane="bottomLeft" state="frozen"/>
    </x:sheetView>
  </x:sheetViews>
  <x:sheetFormatPr defaultColWidth="9" defaultRowHeight="14.25"/>
  <x:cols>
    <x:col min="1" max="1" width="20" customWidth="1"/>
    <x:col min="2" max="2" width="15" customWidth="1"/>
    <x:col min="3" max="3" width="12" customWidth="1"/>
    <x:col min="4" max="4" width="10" customWidth="1"/>
    <x:col min="5" max="5" width="8" customWidth="1"/>
    <x:col min="6" max="6" width="9" customWidth="1"/>
    <x:col min="7" max="18" width="12" customWidth="1"/>
    <x:col min="19" max="20" width="10" customWidth="1"/>
    <x:col min="21" max="21" width="12" customWidth="1"/>
    <x:col min="22" max="22" width="10" customWidth="1"/>
    <x:col min="23" max="23" width="13" customWidth="1"/>
    <x:col min="24" max="25" width="10" customWidth="1"/>
    <x:col min="26" max="27" width="12" customWidth="1"/>
    <x:col min="28" max="28" width="13" customWidth="1"/>
    <x:col min="29" max="29" width="24" customWidth="1"/>
  </x:cols>
  <x:sheetData>
    <x:row r="1" ht="34" customHeight="1">
      <x:c r="A1" s="1" t="s">
        <x:v>20</x:v>
      </x:c>
      <x:c r="B1" s="1"/>
      <x:c r="C1" s="1"/>
      <x:c r="D1" s="1"/>
      <x:c r="E1" s="1"/>
      <x:c r="F1" s="1"/>
      <x:c r="G1" s="1"/>
      <x:c r="H1" s="1"/>
      <x:c r="I1" s="1"/>
      <x:c r="J1" s="1"/>
      <x:c r="K1" s="1"/>
      <x:c r="L1" s="1"/>
      <x:c r="M1" s="1"/>
      <x:c r="N1" s="1"/>
      <x:c r="O1" s="1"/>
      <x:c r="P1" s="1"/>
      <x:c r="Q1" s="1"/>
      <x:c r="R1" s="1"/>
      <x:c r="S1" s="1"/>
      <x:c r="T1" s="1"/>
      <x:c r="U1" s="1"/>
      <x:c r="V1" s="1"/>
      <x:c r="W1" s="1"/>
      <x:c r="X1" s="1"/>
      <x:c r="Y1" s="1"/>
      <x:c r="Z1" s="1"/>
      <x:c r="AA1" s="1"/>
      <x:c r="AB1" s="1"/>
      <x:c r="AC1" s="1"/>
    </x:row>
    <x:row r="2" ht="32" customHeight="1">
      <x:c r="A2" s="2" t="s">
        <x:v>21</x:v>
      </x:c>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row>
    <x:row r="3" ht="28" customHeight="1">
      <x:c r="A3" s="5" t="s">
        <x:v>22</x:v>
      </x:c>
      <x:c r="B3" s="5" t="s">
        <x:v>23</x:v>
      </x:c>
      <x:c r="C3" s="5" t="s">
        <x:v>24</x:v>
      </x:c>
      <x:c r="D3" s="5" t="s">
        <x:v>25</x:v>
      </x:c>
      <x:c r="E3" s="5" t="s">
        <x:v>26</x:v>
      </x:c>
      <x:c r="F3" s="5" t="s">
        <x:v>27</x:v>
      </x:c>
      <x:c r="G3" s="5" t="s">
        <x:v>28</x:v>
      </x:c>
      <x:c r="H3" s="5" t="s">
        <x:v>29</x:v>
      </x:c>
      <x:c r="I3" s="5" t="s">
        <x:v>30</x:v>
      </x:c>
      <x:c r="J3" s="5" t="s">
        <x:v>31</x:v>
      </x:c>
      <x:c r="K3" s="5" t="s">
        <x:v>32</x:v>
      </x:c>
      <x:c r="L3" s="5" t="s">
        <x:v>33</x:v>
      </x:c>
      <x:c r="M3" s="5" t="s">
        <x:v>34</x:v>
      </x:c>
      <x:c r="N3" s="5" t="s">
        <x:v>35</x:v>
      </x:c>
      <x:c r="O3" s="5" t="s">
        <x:v>36</x:v>
      </x:c>
      <x:c r="P3" s="5" t="s">
        <x:v>37</x:v>
      </x:c>
      <x:c r="Q3" s="5" t="s">
        <x:v>38</x:v>
      </x:c>
      <x:c r="R3" s="5" t="s">
        <x:v>39</x:v>
      </x:c>
      <x:c r="S3" s="5" t="s">
        <x:v>40</x:v>
      </x:c>
      <x:c r="T3" s="5" t="s">
        <x:v>41</x:v>
      </x:c>
      <x:c r="U3" s="5" t="s">
        <x:v>42</x:v>
      </x:c>
      <x:c r="V3" s="5" t="s">
        <x:v>43</x:v>
      </x:c>
      <x:c r="W3" s="5" t="s">
        <x:v>44</x:v>
      </x:c>
      <x:c r="X3" s="5" t="s">
        <x:v>45</x:v>
      </x:c>
      <x:c r="Y3" s="5" t="s">
        <x:v>46</x:v>
      </x:c>
      <x:c r="Z3" s="5" t="s">
        <x:v>47</x:v>
      </x:c>
      <x:c r="AA3" s="5" t="s">
        <x:v>48</x:v>
      </x:c>
      <x:c r="AB3" s="5" t="s">
        <x:v>49</x:v>
      </x:c>
      <x:c r="AC3" s="5" t="s">
        <x:v>50</x:v>
      </x:c>
    </x:row>
    <x:row r="4" ht="38" customHeight="1">
      <x:c r="A4" s="7" t="s">
        <x:v>51</x:v>
      </x:c>
      <x:c r="B4" s="7" t="s">
        <x:v>52</x:v>
      </x:c>
      <x:c r="C4" s="7" t="s">
        <x:v>53</x:v>
      </x:c>
      <x:c r="D4" s="7" t="s">
        <x:v>54</x:v>
      </x:c>
      <x:c r="E4" s="7">
        <x:v>1</x:v>
      </x:c>
      <x:c r="F4" s="7">
        <x:v>20</x:v>
      </x:c>
      <x:c r="G4" s="7">
        <x:v>580</x:v>
      </x:c>
      <x:c r="H4" s="7" t="n">
        <x:f t="shared" ref="H4:H43" si="0">ROUND(G4*1.5,0)</x:f>
        <x:v>870</x:v>
      </x:c>
      <x:c r="I4" s="7" t="n">
        <x:f t="shared" ref="I4:I43" si="1">ROUND(G4*3,0)</x:f>
        <x:v>1740</x:v>
      </x:c>
      <x:c r="J4" s="7" t="n">
        <x:f t="shared" ref="J4:J28" si="2">ROUND(G4*(3*1.15),0)</x:f>
        <x:v>2001</x:v>
      </x:c>
      <x:c r="K4" s="7">
        <x:v>37</x:v>
      </x:c>
      <x:c r="L4" s="7" t="n">
        <x:f t="shared" ref="L4:L23" si="3">ROUND(K4*1.5,0)</x:f>
        <x:v>56</x:v>
      </x:c>
      <x:c r="M4" s="7" t="n">
        <x:f t="shared" ref="M4:M23" si="4">ROUND(K4*3,0)</x:f>
        <x:v>111</x:v>
      </x:c>
      <x:c r="N4" s="7" t="n">
        <x:f t="shared" ref="N4:N23" si="5">ROUND(K4*(3*1.15),0)</x:f>
        <x:v>128</x:v>
      </x:c>
      <x:c r="O4" s="7">
        <x:v>4</x:v>
      </x:c>
      <x:c r="P4" s="7" t="n">
        <x:f t="shared" ref="P4:P43" si="6">ROUND(O4*1.5,0)</x:f>
        <x:v>6</x:v>
      </x:c>
      <x:c r="Q4" s="7" t="n">
        <x:f t="shared" ref="Q4:Q43" si="7">ROUND(O4*3,0)</x:f>
        <x:v>12</x:v>
      </x:c>
      <x:c r="R4" s="7" t="n">
        <x:f t="shared" ref="R4:R28" si="8">ROUND(O4*(3*1.15),0)</x:f>
        <x:v>14</x:v>
      </x:c>
      <x:c r="S4" s="7">
        <x:v>1.05</x:v>
      </x:c>
      <x:c r="T4" s="7">
        <x:v>1</x:v>
      </x:c>
      <x:c r="U4" s="7">
        <x:v>32</x:v>
      </x:c>
      <x:c r="V4" s="7">
        <x:v>3.35</x:v>
      </x:c>
      <x:c r="W4" s="7">
        <x:v>184.25</x:v>
      </x:c>
      <x:c r="X4" s="7" t="s">
        <x:v>55</x:v>
      </x:c>
      <x:c r="Y4" s="7">
        <x:v>1.5</x:v>
      </x:c>
      <x:c r="Z4" s="7" t="s">
        <x:v>56</x:v>
      </x:c>
      <x:c r="AA4" s="7" t="s">
        <x:v>56</x:v>
      </x:c>
      <x:c r="AB4" s="7"/>
      <x:c r="AC4" s="7" t="s">
        <x:v>57</x:v>
      </x:c>
    </x:row>
    <x:row r="5" ht="38" customHeight="1">
      <x:c r="A5" s="8" t="s">
        <x:v>58</x:v>
      </x:c>
      <x:c r="B5" s="8" t="s">
        <x:v>59</x:v>
      </x:c>
      <x:c r="C5" s="8" t="s">
        <x:v>53</x:v>
      </x:c>
      <x:c r="D5" s="8" t="s">
        <x:v>60</x:v>
      </x:c>
      <x:c r="E5" s="8">
        <x:v>1</x:v>
      </x:c>
      <x:c r="F5" s="8">
        <x:v>20</x:v>
      </x:c>
      <x:c r="G5" s="8">
        <x:v>520</x:v>
      </x:c>
      <x:c r="H5" s="8">
        <x:f t="shared" si="0"/>
        <x:v>780</x:v>
      </x:c>
      <x:c r="I5" s="8">
        <x:f t="shared" si="1"/>
        <x:v>1560</x:v>
      </x:c>
      <x:c r="J5" s="8">
        <x:f t="shared" si="2"/>
        <x:v>1794</x:v>
      </x:c>
      <x:c r="K5" s="8">
        <x:v>48</x:v>
      </x:c>
      <x:c r="L5" s="8">
        <x:f t="shared" si="3"/>
        <x:v>72</x:v>
      </x:c>
      <x:c r="M5" s="8">
        <x:f t="shared" si="4"/>
        <x:v>144</x:v>
      </x:c>
      <x:c r="N5" s="8">
        <x:f t="shared" si="5"/>
        <x:v>166</x:v>
      </x:c>
      <x:c r="O5" s="8">
        <x:v>3</x:v>
      </x:c>
      <x:c r="P5" s="8">
        <x:f t="shared" si="6"/>
        <x:v>5</x:v>
      </x:c>
      <x:c r="Q5" s="8">
        <x:f t="shared" si="7"/>
        <x:v>9</x:v>
      </x:c>
      <x:c r="R5" s="8">
        <x:f t="shared" si="8"/>
        <x:v>10</x:v>
      </x:c>
      <x:c r="S5" s="8">
        <x:v>0.9</x:v>
      </x:c>
      <x:c r="T5" s="8">
        <x:v>4</x:v>
      </x:c>
      <x:c r="U5" s="8">
        <x:v>248</x:v>
      </x:c>
      <x:c r="V5" s="8">
        <x:v>3.25</x:v>
      </x:c>
      <x:c r="W5" s="8">
        <x:v>178.75</x:v>
      </x:c>
      <x:c r="X5" s="8" t="s">
        <x:v>55</x:v>
      </x:c>
      <x:c r="Y5" s="8">
        <x:v>1.5</x:v>
      </x:c>
      <x:c r="Z5" s="8" t="s">
        <x:v>56</x:v>
      </x:c>
      <x:c r="AA5" s="8" t="s">
        <x:v>56</x:v>
      </x:c>
      <x:c r="AB5" s="8"/>
      <x:c r="AC5" s="8" t="s">
        <x:v>61</x:v>
      </x:c>
    </x:row>
    <x:row r="6" ht="38" customHeight="1">
      <x:c r="A6" s="7" t="s">
        <x:v>62</x:v>
      </x:c>
      <x:c r="B6" s="7" t="s">
        <x:v>63</x:v>
      </x:c>
      <x:c r="C6" s="7" t="s">
        <x:v>53</x:v>
      </x:c>
      <x:c r="D6" s="7" t="s">
        <x:v>64</x:v>
      </x:c>
      <x:c r="E6" s="7">
        <x:v>2</x:v>
      </x:c>
      <x:c r="F6" s="7">
        <x:v>30</x:v>
      </x:c>
      <x:c r="G6" s="7">
        <x:v>840</x:v>
      </x:c>
      <x:c r="H6" s="7">
        <x:f t="shared" si="0"/>
        <x:v>1260</x:v>
      </x:c>
      <x:c r="I6" s="7">
        <x:f t="shared" si="1"/>
        <x:v>2520</x:v>
      </x:c>
      <x:c r="J6" s="7">
        <x:f t="shared" si="2"/>
        <x:v>2898</x:v>
      </x:c>
      <x:c r="K6" s="7">
        <x:v>55</x:v>
      </x:c>
      <x:c r="L6" s="7">
        <x:f t="shared" si="3"/>
        <x:v>83</x:v>
      </x:c>
      <x:c r="M6" s="7">
        <x:f t="shared" si="4"/>
        <x:v>165</x:v>
      </x:c>
      <x:c r="N6" s="7">
        <x:f t="shared" si="5"/>
        <x:v>190</x:v>
      </x:c>
      <x:c r="O6" s="7">
        <x:v>7</x:v>
      </x:c>
      <x:c r="P6" s="7">
        <x:f t="shared" si="6"/>
        <x:v>11</x:v>
      </x:c>
      <x:c r="Q6" s="7">
        <x:f t="shared" si="7"/>
        <x:v>21</x:v>
      </x:c>
      <x:c r="R6" s="7">
        <x:f t="shared" si="8"/>
        <x:v>24</x:v>
      </x:c>
      <x:c r="S6" s="7">
        <x:v>0.92</x:v>
      </x:c>
      <x:c r="T6" s="7">
        <x:v>1</x:v>
      </x:c>
      <x:c r="U6" s="7">
        <x:v>32</x:v>
      </x:c>
      <x:c r="V6" s="7">
        <x:v>3.15</x:v>
      </x:c>
      <x:c r="W6" s="7">
        <x:v>173.25</x:v>
      </x:c>
      <x:c r="X6" s="7" t="s">
        <x:v>65</x:v>
      </x:c>
      <x:c r="Y6" s="7">
        <x:v>1.6</x:v>
      </x:c>
      <x:c r="Z6" s="7" t="s">
        <x:v>56</x:v>
      </x:c>
      <x:c r="AA6" s="7" t="s">
        <x:v>56</x:v>
      </x:c>
      <x:c r="AB6" s="7"/>
      <x:c r="AC6" s="7" t="s">
        <x:v>66</x:v>
      </x:c>
    </x:row>
    <x:row r="7" ht="38" customHeight="1">
      <x:c r="A7" s="8" t="s">
        <x:v>67</x:v>
      </x:c>
      <x:c r="B7" s="8" t="s">
        <x:v>68</x:v>
      </x:c>
      <x:c r="C7" s="8" t="s">
        <x:v>53</x:v>
      </x:c>
      <x:c r="D7" s="8" t="s">
        <x:v>60</x:v>
      </x:c>
      <x:c r="E7" s="8">
        <x:v>2</x:v>
      </x:c>
      <x:c r="F7" s="8">
        <x:v>30</x:v>
      </x:c>
      <x:c r="G7" s="8">
        <x:v>920</x:v>
      </x:c>
      <x:c r="H7" s="8">
        <x:f t="shared" si="0"/>
        <x:v>1380</x:v>
      </x:c>
      <x:c r="I7" s="8">
        <x:f t="shared" si="1"/>
        <x:v>2760</x:v>
      </x:c>
      <x:c r="J7" s="8">
        <x:f t="shared" si="2"/>
        <x:v>3174</x:v>
      </x:c>
      <x:c r="K7" s="8">
        <x:v>68</x:v>
      </x:c>
      <x:c r="L7" s="8">
        <x:f t="shared" si="3"/>
        <x:v>102</x:v>
      </x:c>
      <x:c r="M7" s="8">
        <x:f t="shared" si="4"/>
        <x:v>204</x:v>
      </x:c>
      <x:c r="N7" s="8">
        <x:f t="shared" si="5"/>
        <x:v>235</x:v>
      </x:c>
      <x:c r="O7" s="8">
        <x:v>8</x:v>
      </x:c>
      <x:c r="P7" s="8">
        <x:f t="shared" si="6"/>
        <x:v>12</x:v>
      </x:c>
      <x:c r="Q7" s="8">
        <x:f t="shared" si="7"/>
        <x:v>24</x:v>
      </x:c>
      <x:c r="R7" s="8">
        <x:f t="shared" si="8"/>
        <x:v>28</x:v>
      </x:c>
      <x:c r="S7" s="8">
        <x:v>1</x:v>
      </x:c>
      <x:c r="T7" s="8">
        <x:v>2</x:v>
      </x:c>
      <x:c r="U7" s="8">
        <x:v>104</x:v>
      </x:c>
      <x:c r="V7" s="8">
        <x:v>3.2</x:v>
      </x:c>
      <x:c r="W7" s="8">
        <x:v>176</x:v>
      </x:c>
      <x:c r="X7" s="8" t="s">
        <x:v>65</x:v>
      </x:c>
      <x:c r="Y7" s="8">
        <x:v>1.6</x:v>
      </x:c>
      <x:c r="Z7" s="8" t="s">
        <x:v>56</x:v>
      </x:c>
      <x:c r="AA7" s="8" t="s">
        <x:v>56</x:v>
      </x:c>
      <x:c r="AB7" s="8"/>
      <x:c r="AC7" s="8" t="s">
        <x:v>69</x:v>
      </x:c>
    </x:row>
    <x:row r="8" ht="38" customHeight="1">
      <x:c r="A8" s="7" t="s">
        <x:v>70</x:v>
      </x:c>
      <x:c r="B8" s="7" t="s">
        <x:v>71</x:v>
      </x:c>
      <x:c r="C8" s="7" t="s">
        <x:v>53</x:v>
      </x:c>
      <x:c r="D8" s="7" t="s">
        <x:v>54</x:v>
      </x:c>
      <x:c r="E8" s="7">
        <x:v>2</x:v>
      </x:c>
      <x:c r="F8" s="7">
        <x:v>30</x:v>
      </x:c>
      <x:c r="G8" s="7">
        <x:v>780</x:v>
      </x:c>
      <x:c r="H8" s="7">
        <x:f t="shared" si="0"/>
        <x:v>1170</x:v>
      </x:c>
      <x:c r="I8" s="7">
        <x:f t="shared" si="1"/>
        <x:v>2340</x:v>
      </x:c>
      <x:c r="J8" s="7">
        <x:f t="shared" si="2"/>
        <x:v>2691</x:v>
      </x:c>
      <x:c r="K8" s="7">
        <x:v>88</x:v>
      </x:c>
      <x:c r="L8" s="7">
        <x:f t="shared" si="3"/>
        <x:v>132</x:v>
      </x:c>
      <x:c r="M8" s="7">
        <x:f t="shared" si="4"/>
        <x:v>264</x:v>
      </x:c>
      <x:c r="N8" s="7">
        <x:f t="shared" si="5"/>
        <x:v>304</x:v>
      </x:c>
      <x:c r="O8" s="7">
        <x:v>6</x:v>
      </x:c>
      <x:c r="P8" s="7">
        <x:f t="shared" si="6"/>
        <x:v>9</x:v>
      </x:c>
      <x:c r="Q8" s="7">
        <x:f t="shared" si="7"/>
        <x:v>18</x:v>
      </x:c>
      <x:c r="R8" s="7">
        <x:f t="shared" si="8"/>
        <x:v>21</x:v>
      </x:c>
      <x:c r="S8" s="7">
        <x:v>1.35</x:v>
      </x:c>
      <x:c r="T8" s="7">
        <x:v>1</x:v>
      </x:c>
      <x:c r="U8" s="7">
        <x:v>32</x:v>
      </x:c>
      <x:c r="V8" s="7">
        <x:v>3.55</x:v>
      </x:c>
      <x:c r="W8" s="7">
        <x:v>195.25</x:v>
      </x:c>
      <x:c r="X8" s="7" t="s">
        <x:v>72</x:v>
      </x:c>
      <x:c r="Y8" s="7">
        <x:v>1.6</x:v>
      </x:c>
      <x:c r="Z8" s="7" t="s">
        <x:v>56</x:v>
      </x:c>
      <x:c r="AA8" s="7" t="s">
        <x:v>56</x:v>
      </x:c>
      <x:c r="AB8" s="7"/>
      <x:c r="AC8" s="7" t="s">
        <x:v>73</x:v>
      </x:c>
    </x:row>
    <x:row r="9" ht="38" customHeight="1">
      <x:c r="A9" s="8" t="s">
        <x:v>74</x:v>
      </x:c>
      <x:c r="B9" s="8" t="s">
        <x:v>75</x:v>
      </x:c>
      <x:c r="C9" s="8" t="s">
        <x:v>53</x:v>
      </x:c>
      <x:c r="D9" s="8" t="s">
        <x:v>54</x:v>
      </x:c>
      <x:c r="E9" s="8">
        <x:v>2</x:v>
      </x:c>
      <x:c r="F9" s="8">
        <x:v>30</x:v>
      </x:c>
      <x:c r="G9" s="8">
        <x:v>860</x:v>
      </x:c>
      <x:c r="H9" s="8">
        <x:f t="shared" si="0"/>
        <x:v>1290</x:v>
      </x:c>
      <x:c r="I9" s="8">
        <x:f t="shared" si="1"/>
        <x:v>2580</x:v>
      </x:c>
      <x:c r="J9" s="8">
        <x:f t="shared" si="2"/>
        <x:v>2967</x:v>
      </x:c>
      <x:c r="K9" s="8">
        <x:v>64</x:v>
      </x:c>
      <x:c r="L9" s="8">
        <x:f t="shared" si="3"/>
        <x:v>96</x:v>
      </x:c>
      <x:c r="M9" s="8">
        <x:f t="shared" si="4"/>
        <x:v>192</x:v>
      </x:c>
      <x:c r="N9" s="8">
        <x:f t="shared" si="5"/>
        <x:v>221</x:v>
      </x:c>
      <x:c r="O9" s="8">
        <x:v>7</x:v>
      </x:c>
      <x:c r="P9" s="8">
        <x:f t="shared" si="6"/>
        <x:v>11</x:v>
      </x:c>
      <x:c r="Q9" s="8">
        <x:f t="shared" si="7"/>
        <x:v>21</x:v>
      </x:c>
      <x:c r="R9" s="8">
        <x:f t="shared" si="8"/>
        <x:v>24</x:v>
      </x:c>
      <x:c r="S9" s="8">
        <x:v>1</x:v>
      </x:c>
      <x:c r="T9" s="8">
        <x:v>3</x:v>
      </x:c>
      <x:c r="U9" s="8">
        <x:v>176</x:v>
      </x:c>
      <x:c r="V9" s="8">
        <x:v>3.25</x:v>
      </x:c>
      <x:c r="W9" s="8">
        <x:v>178.75</x:v>
      </x:c>
      <x:c r="X9" s="8" t="s">
        <x:v>65</x:v>
      </x:c>
      <x:c r="Y9" s="8">
        <x:v>1.6</x:v>
      </x:c>
      <x:c r="Z9" s="8" t="s">
        <x:v>56</x:v>
      </x:c>
      <x:c r="AA9" s="8" t="s">
        <x:v>56</x:v>
      </x:c>
      <x:c r="AB9" s="8"/>
      <x:c r="AC9" s="8" t="s">
        <x:v>76</x:v>
      </x:c>
    </x:row>
    <x:row r="10" ht="38" customHeight="1">
      <x:c r="A10" s="7" t="s">
        <x:v>77</x:v>
      </x:c>
      <x:c r="B10" s="7" t="s">
        <x:v>78</x:v>
      </x:c>
      <x:c r="C10" s="7" t="s">
        <x:v>53</x:v>
      </x:c>
      <x:c r="D10" s="7" t="s">
        <x:v>64</x:v>
      </x:c>
      <x:c r="E10" s="7">
        <x:v>3</x:v>
      </x:c>
      <x:c r="F10" s="7">
        <x:v>50</x:v>
      </x:c>
      <x:c r="G10" s="7">
        <x:v>1640</x:v>
      </x:c>
      <x:c r="H10" s="7">
        <x:f t="shared" si="0"/>
        <x:v>2460</x:v>
      </x:c>
      <x:c r="I10" s="7">
        <x:f t="shared" si="1"/>
        <x:v>4920</x:v>
      </x:c>
      <x:c r="J10" s="7">
        <x:f t="shared" si="2"/>
        <x:v>5658</x:v>
      </x:c>
      <x:c r="K10" s="7">
        <x:v>97</x:v>
      </x:c>
      <x:c r="L10" s="7">
        <x:f t="shared" si="3"/>
        <x:v>146</x:v>
      </x:c>
      <x:c r="M10" s="7">
        <x:f t="shared" si="4"/>
        <x:v>291</x:v>
      </x:c>
      <x:c r="N10" s="7">
        <x:f t="shared" si="5"/>
        <x:v>335</x:v>
      </x:c>
      <x:c r="O10" s="7">
        <x:v>16</x:v>
      </x:c>
      <x:c r="P10" s="7">
        <x:f t="shared" si="6"/>
        <x:v>24</x:v>
      </x:c>
      <x:c r="Q10" s="7">
        <x:f t="shared" si="7"/>
        <x:v>48</x:v>
      </x:c>
      <x:c r="R10" s="7">
        <x:f t="shared" si="8"/>
        <x:v>55</x:v>
      </x:c>
      <x:c r="S10" s="7">
        <x:v>0.78</x:v>
      </x:c>
      <x:c r="T10" s="7">
        <x:v>1</x:v>
      </x:c>
      <x:c r="U10" s="7">
        <x:v>32</x:v>
      </x:c>
      <x:c r="V10" s="7">
        <x:v>3</x:v>
      </x:c>
      <x:c r="W10" s="7">
        <x:v>165</x:v>
      </x:c>
      <x:c r="X10" s="7" t="s">
        <x:v>79</x:v>
      </x:c>
      <x:c r="Y10" s="7">
        <x:v>1.75</x:v>
      </x:c>
      <x:c r="Z10" s="7" t="s">
        <x:v>56</x:v>
      </x:c>
      <x:c r="AA10" s="7" t="s">
        <x:v>56</x:v>
      </x:c>
      <x:c r="AB10" s="7" t="s">
        <x:v>80</x:v>
      </x:c>
      <x:c r="AC10" s="7" t="s">
        <x:v>81</x:v>
      </x:c>
    </x:row>
    <x:row r="11" ht="38" customHeight="1">
      <x:c r="A11" s="8" t="s">
        <x:v>82</x:v>
      </x:c>
      <x:c r="B11" s="8" t="s">
        <x:v>83</x:v>
      </x:c>
      <x:c r="C11" s="8" t="s">
        <x:v>53</x:v>
      </x:c>
      <x:c r="D11" s="8" t="s">
        <x:v>60</x:v>
      </x:c>
      <x:c r="E11" s="8">
        <x:v>3</x:v>
      </x:c>
      <x:c r="F11" s="8">
        <x:v>50</x:v>
      </x:c>
      <x:c r="G11" s="8">
        <x:v>1800</x:v>
      </x:c>
      <x:c r="H11" s="8">
        <x:f t="shared" si="0"/>
        <x:v>2700</x:v>
      </x:c>
      <x:c r="I11" s="8">
        <x:f t="shared" si="1"/>
        <x:v>5400</x:v>
      </x:c>
      <x:c r="J11" s="8">
        <x:f t="shared" si="2"/>
        <x:v>6210</x:v>
      </x:c>
      <x:c r="K11" s="8">
        <x:v>120</x:v>
      </x:c>
      <x:c r="L11" s="8">
        <x:f t="shared" si="3"/>
        <x:v>180</x:v>
      </x:c>
      <x:c r="M11" s="8">
        <x:f t="shared" si="4"/>
        <x:v>360</x:v>
      </x:c>
      <x:c r="N11" s="8">
        <x:f t="shared" si="5"/>
        <x:v>414</x:v>
      </x:c>
      <x:c r="O11" s="8">
        <x:v>14</x:v>
      </x:c>
      <x:c r="P11" s="8">
        <x:f t="shared" si="6"/>
        <x:v>21</x:v>
      </x:c>
      <x:c r="Q11" s="8">
        <x:f t="shared" si="7"/>
        <x:v>42</x:v>
      </x:c>
      <x:c r="R11" s="8">
        <x:f t="shared" si="8"/>
        <x:v>48</x:v>
      </x:c>
      <x:c r="S11" s="8">
        <x:v>0.85</x:v>
      </x:c>
      <x:c r="T11" s="8">
        <x:v>1</x:v>
      </x:c>
      <x:c r="U11" s="8">
        <x:v>32</x:v>
      </x:c>
      <x:c r="V11" s="8">
        <x:v>2.95</x:v>
      </x:c>
      <x:c r="W11" s="8">
        <x:v>162.25</x:v>
      </x:c>
      <x:c r="X11" s="8" t="s">
        <x:v>72</x:v>
      </x:c>
      <x:c r="Y11" s="8">
        <x:v>1.8</x:v>
      </x:c>
      <x:c r="Z11" s="8" t="s">
        <x:v>56</x:v>
      </x:c>
      <x:c r="AA11" s="8" t="s">
        <x:v>56</x:v>
      </x:c>
      <x:c r="AB11" s="8" t="s">
        <x:v>80</x:v>
      </x:c>
      <x:c r="AC11" s="8" t="s">
        <x:v>84</x:v>
      </x:c>
    </x:row>
    <x:row r="12" ht="38" customHeight="1">
      <x:c r="A12" s="7" t="s">
        <x:v>85</x:v>
      </x:c>
      <x:c r="B12" s="7" t="s">
        <x:v>86</x:v>
      </x:c>
      <x:c r="C12" s="7" t="s">
        <x:v>87</x:v>
      </x:c>
      <x:c r="D12" s="7" t="s">
        <x:v>54</x:v>
      </x:c>
      <x:c r="E12" s="7">
        <x:v>1</x:v>
      </x:c>
      <x:c r="F12" s="7">
        <x:v>20</x:v>
      </x:c>
      <x:c r="G12" s="7">
        <x:v>640</x:v>
      </x:c>
      <x:c r="H12" s="7">
        <x:f t="shared" si="0"/>
        <x:v>960</x:v>
      </x:c>
      <x:c r="I12" s="7">
        <x:f t="shared" si="1"/>
        <x:v>1920</x:v>
      </x:c>
      <x:c r="J12" s="7">
        <x:f t="shared" si="2"/>
        <x:v>2208</x:v>
      </x:c>
      <x:c r="K12" s="7">
        <x:v>31</x:v>
      </x:c>
      <x:c r="L12" s="7">
        <x:f t="shared" si="3"/>
        <x:v>47</x:v>
      </x:c>
      <x:c r="M12" s="7">
        <x:f t="shared" si="4"/>
        <x:v>93</x:v>
      </x:c>
      <x:c r="N12" s="7">
        <x:f t="shared" si="5"/>
        <x:v>107</x:v>
      </x:c>
      <x:c r="O12" s="7">
        <x:v>4</x:v>
      </x:c>
      <x:c r="P12" s="7">
        <x:f t="shared" si="6"/>
        <x:v>6</x:v>
      </x:c>
      <x:c r="Q12" s="7">
        <x:f t="shared" si="7"/>
        <x:v>12</x:v>
      </x:c>
      <x:c r="R12" s="7">
        <x:f t="shared" si="8"/>
        <x:v>14</x:v>
      </x:c>
      <x:c r="S12" s="7">
        <x:v>0.95</x:v>
      </x:c>
      <x:c r="T12" s="7">
        <x:v>4</x:v>
      </x:c>
      <x:c r="U12" s="7">
        <x:v>248</x:v>
      </x:c>
      <x:c r="V12" s="7">
        <x:v>3.2</x:v>
      </x:c>
      <x:c r="W12" s="7">
        <x:v>176</x:v>
      </x:c>
      <x:c r="X12" s="7" t="s">
        <x:v>55</x:v>
      </x:c>
      <x:c r="Y12" s="7">
        <x:v>1.5</x:v>
      </x:c>
      <x:c r="Z12" s="7" t="s">
        <x:v>56</x:v>
      </x:c>
      <x:c r="AA12" s="7" t="s">
        <x:v>56</x:v>
      </x:c>
      <x:c r="AB12" s="7"/>
      <x:c r="AC12" s="7" t="s">
        <x:v>88</x:v>
      </x:c>
    </x:row>
    <x:row r="13" ht="38" customHeight="1">
      <x:c r="A13" s="8" t="s">
        <x:v>89</x:v>
      </x:c>
      <x:c r="B13" s="8" t="s">
        <x:v>90</x:v>
      </x:c>
      <x:c r="C13" s="8" t="s">
        <x:v>87</x:v>
      </x:c>
      <x:c r="D13" s="8" t="s">
        <x:v>54</x:v>
      </x:c>
      <x:c r="E13" s="8">
        <x:v>1</x:v>
      </x:c>
      <x:c r="F13" s="8">
        <x:v>20</x:v>
      </x:c>
      <x:c r="G13" s="8">
        <x:v>600</x:v>
      </x:c>
      <x:c r="H13" s="8">
        <x:f t="shared" si="0"/>
        <x:v>900</x:v>
      </x:c>
      <x:c r="I13" s="8">
        <x:f t="shared" si="1"/>
        <x:v>1800</x:v>
      </x:c>
      <x:c r="J13" s="8">
        <x:f t="shared" si="2"/>
        <x:v>2070</x:v>
      </x:c>
      <x:c r="K13" s="8">
        <x:v>26</x:v>
      </x:c>
      <x:c r="L13" s="8">
        <x:f t="shared" si="3"/>
        <x:v>39</x:v>
      </x:c>
      <x:c r="M13" s="8">
        <x:f t="shared" si="4"/>
        <x:v>78</x:v>
      </x:c>
      <x:c r="N13" s="8">
        <x:f t="shared" si="5"/>
        <x:v>90</x:v>
      </x:c>
      <x:c r="O13" s="8">
        <x:v>4</x:v>
      </x:c>
      <x:c r="P13" s="8">
        <x:f t="shared" si="6"/>
        <x:v>6</x:v>
      </x:c>
      <x:c r="Q13" s="8">
        <x:f t="shared" si="7"/>
        <x:v>12</x:v>
      </x:c>
      <x:c r="R13" s="8">
        <x:f t="shared" si="8"/>
        <x:v>14</x:v>
      </x:c>
      <x:c r="S13" s="8">
        <x:v>0.9</x:v>
      </x:c>
      <x:c r="T13" s="8">
        <x:v>4</x:v>
      </x:c>
      <x:c r="U13" s="8">
        <x:v>248</x:v>
      </x:c>
      <x:c r="V13" s="8">
        <x:v>3.15</x:v>
      </x:c>
      <x:c r="W13" s="8">
        <x:v>173.25</x:v>
      </x:c>
      <x:c r="X13" s="8" t="s">
        <x:v>55</x:v>
      </x:c>
      <x:c r="Y13" s="8">
        <x:v>1.5</x:v>
      </x:c>
      <x:c r="Z13" s="8" t="s">
        <x:v>56</x:v>
      </x:c>
      <x:c r="AA13" s="8" t="s">
        <x:v>56</x:v>
      </x:c>
      <x:c r="AB13" s="8"/>
      <x:c r="AC13" s="8" t="s">
        <x:v>91</x:v>
      </x:c>
    </x:row>
    <x:row r="14" ht="38" customHeight="1">
      <x:c r="A14" s="7" t="s">
        <x:v>92</x:v>
      </x:c>
      <x:c r="B14" s="7" t="s">
        <x:v>93</x:v>
      </x:c>
      <x:c r="C14" s="7" t="s">
        <x:v>87</x:v>
      </x:c>
      <x:c r="D14" s="7" t="s">
        <x:v>60</x:v>
      </x:c>
      <x:c r="E14" s="7">
        <x:v>2</x:v>
      </x:c>
      <x:c r="F14" s="7">
        <x:v>30</x:v>
      </x:c>
      <x:c r="G14" s="7">
        <x:v>1080</x:v>
      </x:c>
      <x:c r="H14" s="7">
        <x:f t="shared" si="0"/>
        <x:v>1620</x:v>
      </x:c>
      <x:c r="I14" s="7">
        <x:f t="shared" si="1"/>
        <x:v>3240</x:v>
      </x:c>
      <x:c r="J14" s="7">
        <x:f t="shared" si="2"/>
        <x:v>3726</x:v>
      </x:c>
      <x:c r="K14" s="7">
        <x:v>48</x:v>
      </x:c>
      <x:c r="L14" s="7">
        <x:f t="shared" si="3"/>
        <x:v>72</x:v>
      </x:c>
      <x:c r="M14" s="7">
        <x:f t="shared" si="4"/>
        <x:v>144</x:v>
      </x:c>
      <x:c r="N14" s="7">
        <x:f t="shared" si="5"/>
        <x:v>166</x:v>
      </x:c>
      <x:c r="O14" s="7">
        <x:v>8</x:v>
      </x:c>
      <x:c r="P14" s="7">
        <x:f t="shared" si="6"/>
        <x:v>12</x:v>
      </x:c>
      <x:c r="Q14" s="7">
        <x:f t="shared" si="7"/>
        <x:v>24</x:v>
      </x:c>
      <x:c r="R14" s="7">
        <x:f t="shared" si="8"/>
        <x:v>28</x:v>
      </x:c>
      <x:c r="S14" s="7">
        <x:v>0.95</x:v>
      </x:c>
      <x:c r="T14" s="7">
        <x:v>4</x:v>
      </x:c>
      <x:c r="U14" s="7">
        <x:v>248</x:v>
      </x:c>
      <x:c r="V14" s="7">
        <x:v>3.25</x:v>
      </x:c>
      <x:c r="W14" s="7">
        <x:v>178.75</x:v>
      </x:c>
      <x:c r="X14" s="7" t="s">
        <x:v>65</x:v>
      </x:c>
      <x:c r="Y14" s="7">
        <x:v>1.6</x:v>
      </x:c>
      <x:c r="Z14" s="7" t="s">
        <x:v>56</x:v>
      </x:c>
      <x:c r="AA14" s="7" t="s">
        <x:v>56</x:v>
      </x:c>
      <x:c r="AB14" s="7"/>
      <x:c r="AC14" s="7" t="s">
        <x:v>94</x:v>
      </x:c>
    </x:row>
    <x:row r="15" ht="38" customHeight="1">
      <x:c r="A15" s="8" t="s">
        <x:v>95</x:v>
      </x:c>
      <x:c r="B15" s="8" t="s">
        <x:v>96</x:v>
      </x:c>
      <x:c r="C15" s="8" t="s">
        <x:v>87</x:v>
      </x:c>
      <x:c r="D15" s="8" t="s">
        <x:v>64</x:v>
      </x:c>
      <x:c r="E15" s="8">
        <x:v>2</x:v>
      </x:c>
      <x:c r="F15" s="8">
        <x:v>30</x:v>
      </x:c>
      <x:c r="G15" s="8">
        <x:v>1040</x:v>
      </x:c>
      <x:c r="H15" s="8">
        <x:f t="shared" si="0"/>
        <x:v>1560</x:v>
      </x:c>
      <x:c r="I15" s="8">
        <x:f t="shared" si="1"/>
        <x:v>3120</x:v>
      </x:c>
      <x:c r="J15" s="8">
        <x:f t="shared" si="2"/>
        <x:v>3588</x:v>
      </x:c>
      <x:c r="K15" s="8">
        <x:v>79</x:v>
      </x:c>
      <x:c r="L15" s="8">
        <x:f t="shared" si="3"/>
        <x:v>119</x:v>
      </x:c>
      <x:c r="M15" s="8">
        <x:f t="shared" si="4"/>
        <x:v>237</x:v>
      </x:c>
      <x:c r="N15" s="8">
        <x:f t="shared" si="5"/>
        <x:v>273</x:v>
      </x:c>
      <x:c r="O15" s="8">
        <x:v>10</x:v>
      </x:c>
      <x:c r="P15" s="8">
        <x:f t="shared" si="6"/>
        <x:v>15</x:v>
      </x:c>
      <x:c r="Q15" s="8">
        <x:f t="shared" si="7"/>
        <x:v>30</x:v>
      </x:c>
      <x:c r="R15" s="8">
        <x:f t="shared" si="8"/>
        <x:v>35</x:v>
      </x:c>
      <x:c r="S15" s="8">
        <x:v>0.8</x:v>
      </x:c>
      <x:c r="T15" s="8">
        <x:v>1</x:v>
      </x:c>
      <x:c r="U15" s="8">
        <x:v>32</x:v>
      </x:c>
      <x:c r="V15" s="8">
        <x:v>3.05</x:v>
      </x:c>
      <x:c r="W15" s="8">
        <x:v>167.75</x:v>
      </x:c>
      <x:c r="X15" s="8" t="s">
        <x:v>65</x:v>
      </x:c>
      <x:c r="Y15" s="8">
        <x:v>1.6</x:v>
      </x:c>
      <x:c r="Z15" s="8" t="s">
        <x:v>56</x:v>
      </x:c>
      <x:c r="AA15" s="8" t="s">
        <x:v>56</x:v>
      </x:c>
      <x:c r="AB15" s="8"/>
      <x:c r="AC15" s="8" t="s">
        <x:v>97</x:v>
      </x:c>
    </x:row>
    <x:row r="16" ht="38" customHeight="1">
      <x:c r="A16" s="7" t="s">
        <x:v>98</x:v>
      </x:c>
      <x:c r="B16" s="7" t="s">
        <x:v>99</x:v>
      </x:c>
      <x:c r="C16" s="7" t="s">
        <x:v>87</x:v>
      </x:c>
      <x:c r="D16" s="7" t="s">
        <x:v>60</x:v>
      </x:c>
      <x:c r="E16" s="7">
        <x:v>2</x:v>
      </x:c>
      <x:c r="F16" s="7">
        <x:v>30</x:v>
      </x:c>
      <x:c r="G16" s="7">
        <x:v>720</x:v>
      </x:c>
      <x:c r="H16" s="7">
        <x:f t="shared" si="0"/>
        <x:v>1080</x:v>
      </x:c>
      <x:c r="I16" s="7">
        <x:f t="shared" si="1"/>
        <x:v>2160</x:v>
      </x:c>
      <x:c r="J16" s="7">
        <x:f t="shared" si="2"/>
        <x:v>2484</x:v>
      </x:c>
      <x:c r="K16" s="7">
        <x:v>77</x:v>
      </x:c>
      <x:c r="L16" s="7">
        <x:f t="shared" si="3"/>
        <x:v>116</x:v>
      </x:c>
      <x:c r="M16" s="7">
        <x:f t="shared" si="4"/>
        <x:v>231</x:v>
      </x:c>
      <x:c r="N16" s="7">
        <x:f t="shared" si="5"/>
        <x:v>266</x:v>
      </x:c>
      <x:c r="O16" s="7">
        <x:v>4</x:v>
      </x:c>
      <x:c r="P16" s="7">
        <x:f t="shared" si="6"/>
        <x:v>6</x:v>
      </x:c>
      <x:c r="Q16" s="7">
        <x:f t="shared" si="7"/>
        <x:v>12</x:v>
      </x:c>
      <x:c r="R16" s="7">
        <x:f t="shared" si="8"/>
        <x:v>14</x:v>
      </x:c>
      <x:c r="S16" s="7">
        <x:v>1.2</x:v>
      </x:c>
      <x:c r="T16" s="7">
        <x:v>4</x:v>
      </x:c>
      <x:c r="U16" s="7">
        <x:v>248</x:v>
      </x:c>
      <x:c r="V16" s="7">
        <x:v>3.2</x:v>
      </x:c>
      <x:c r="W16" s="7">
        <x:v>176</x:v>
      </x:c>
      <x:c r="X16" s="7" t="s">
        <x:v>79</x:v>
      </x:c>
      <x:c r="Y16" s="7">
        <x:v>1.6</x:v>
      </x:c>
      <x:c r="Z16" s="7" t="s">
        <x:v>56</x:v>
      </x:c>
      <x:c r="AA16" s="7" t="s">
        <x:v>56</x:v>
      </x:c>
      <x:c r="AB16" s="7"/>
      <x:c r="AC16" s="7" t="s">
        <x:v>100</x:v>
      </x:c>
    </x:row>
    <x:row r="17" ht="38" customHeight="1">
      <x:c r="A17" s="8" t="s">
        <x:v>101</x:v>
      </x:c>
      <x:c r="B17" s="8" t="s">
        <x:v>102</x:v>
      </x:c>
      <x:c r="C17" s="8" t="s">
        <x:v>87</x:v>
      </x:c>
      <x:c r="D17" s="8" t="s">
        <x:v>64</x:v>
      </x:c>
      <x:c r="E17" s="8">
        <x:v>2</x:v>
      </x:c>
      <x:c r="F17" s="8">
        <x:v>30</x:v>
      </x:c>
      <x:c r="G17" s="8">
        <x:v>1520</x:v>
      </x:c>
      <x:c r="H17" s="8">
        <x:f t="shared" si="0"/>
        <x:v>2280</x:v>
      </x:c>
      <x:c r="I17" s="8">
        <x:f t="shared" si="1"/>
        <x:v>4560</x:v>
      </x:c>
      <x:c r="J17" s="8">
        <x:f t="shared" si="2"/>
        <x:v>5244</x:v>
      </x:c>
      <x:c r="K17" s="8">
        <x:v>46</x:v>
      </x:c>
      <x:c r="L17" s="8">
        <x:f t="shared" si="3"/>
        <x:v>69</x:v>
      </x:c>
      <x:c r="M17" s="8">
        <x:f t="shared" si="4"/>
        <x:v>138</x:v>
      </x:c>
      <x:c r="N17" s="8">
        <x:f t="shared" si="5"/>
        <x:v>159</x:v>
      </x:c>
      <x:c r="O17" s="8">
        <x:v>14</x:v>
      </x:c>
      <x:c r="P17" s="8">
        <x:f t="shared" si="6"/>
        <x:v>21</x:v>
      </x:c>
      <x:c r="Q17" s="8">
        <x:f t="shared" si="7"/>
        <x:v>42</x:v>
      </x:c>
      <x:c r="R17" s="8">
        <x:f t="shared" si="8"/>
        <x:v>48</x:v>
      </x:c>
      <x:c r="S17" s="8">
        <x:v>0.75</x:v>
      </x:c>
      <x:c r="T17" s="8">
        <x:v>1</x:v>
      </x:c>
      <x:c r="U17" s="8">
        <x:v>32</x:v>
      </x:c>
      <x:c r="V17" s="8">
        <x:v>3</x:v>
      </x:c>
      <x:c r="W17" s="8">
        <x:v>165</x:v>
      </x:c>
      <x:c r="X17" s="8" t="s">
        <x:v>55</x:v>
      </x:c>
      <x:c r="Y17" s="8">
        <x:v>1.5</x:v>
      </x:c>
      <x:c r="Z17" s="8" t="s">
        <x:v>56</x:v>
      </x:c>
      <x:c r="AA17" s="8" t="s">
        <x:v>56</x:v>
      </x:c>
      <x:c r="AB17" s="8"/>
      <x:c r="AC17" s="8" t="s">
        <x:v>103</x:v>
      </x:c>
    </x:row>
    <x:row r="18" ht="38" customHeight="1">
      <x:c r="A18" s="7" t="s">
        <x:v>104</x:v>
      </x:c>
      <x:c r="B18" s="7" t="s">
        <x:v>105</x:v>
      </x:c>
      <x:c r="C18" s="7" t="s">
        <x:v>87</x:v>
      </x:c>
      <x:c r="D18" s="7" t="s">
        <x:v>60</x:v>
      </x:c>
      <x:c r="E18" s="7">
        <x:v>3</x:v>
      </x:c>
      <x:c r="F18" s="7">
        <x:v>50</x:v>
      </x:c>
      <x:c r="G18" s="7">
        <x:v>1700</x:v>
      </x:c>
      <x:c r="H18" s="7">
        <x:f t="shared" si="0"/>
        <x:v>2550</x:v>
      </x:c>
      <x:c r="I18" s="7">
        <x:f t="shared" si="1"/>
        <x:v>5100</x:v>
      </x:c>
      <x:c r="J18" s="7">
        <x:f t="shared" si="2"/>
        <x:v>5865</x:v>
      </x:c>
      <x:c r="K18" s="7">
        <x:v>73</x:v>
      </x:c>
      <x:c r="L18" s="7">
        <x:f t="shared" si="3"/>
        <x:v>110</x:v>
      </x:c>
      <x:c r="M18" s="7">
        <x:f t="shared" si="4"/>
        <x:v>219</x:v>
      </x:c>
      <x:c r="N18" s="7">
        <x:f t="shared" si="5"/>
        <x:v>252</x:v>
      </x:c>
      <x:c r="O18" s="7">
        <x:v>15</x:v>
      </x:c>
      <x:c r="P18" s="7">
        <x:f t="shared" si="6"/>
        <x:v>23</x:v>
      </x:c>
      <x:c r="Q18" s="7">
        <x:f t="shared" si="7"/>
        <x:v>45</x:v>
      </x:c>
      <x:c r="R18" s="7">
        <x:f t="shared" si="8"/>
        <x:v>52</x:v>
      </x:c>
      <x:c r="S18" s="7">
        <x:v>0.85</x:v>
      </x:c>
      <x:c r="T18" s="7">
        <x:v>4</x:v>
      </x:c>
      <x:c r="U18" s="7">
        <x:v>248</x:v>
      </x:c>
      <x:c r="V18" s="7">
        <x:v>3.05</x:v>
      </x:c>
      <x:c r="W18" s="7">
        <x:v>167.75</x:v>
      </x:c>
      <x:c r="X18" s="7" t="s">
        <x:v>79</x:v>
      </x:c>
      <x:c r="Y18" s="7">
        <x:v>1.75</x:v>
      </x:c>
      <x:c r="Z18" s="7" t="s">
        <x:v>56</x:v>
      </x:c>
      <x:c r="AA18" s="7" t="s">
        <x:v>56</x:v>
      </x:c>
      <x:c r="AB18" s="7" t="s">
        <x:v>80</x:v>
      </x:c>
      <x:c r="AC18" s="7" t="s">
        <x:v>106</x:v>
      </x:c>
    </x:row>
    <x:row r="19" ht="38" customHeight="1">
      <x:c r="A19" s="8" t="s">
        <x:v>107</x:v>
      </x:c>
      <x:c r="B19" s="8" t="s">
        <x:v>108</x:v>
      </x:c>
      <x:c r="C19" s="8" t="s">
        <x:v>87</x:v>
      </x:c>
      <x:c r="D19" s="8" t="s">
        <x:v>64</x:v>
      </x:c>
      <x:c r="E19" s="8">
        <x:v>3</x:v>
      </x:c>
      <x:c r="F19" s="8">
        <x:v>50</x:v>
      </x:c>
      <x:c r="G19" s="8">
        <x:v>1800</x:v>
      </x:c>
      <x:c r="H19" s="8">
        <x:f t="shared" si="0"/>
        <x:v>2700</x:v>
      </x:c>
      <x:c r="I19" s="8">
        <x:f t="shared" si="1"/>
        <x:v>5400</x:v>
      </x:c>
      <x:c r="J19" s="8">
        <x:f t="shared" si="2"/>
        <x:v>6210</x:v>
      </x:c>
      <x:c r="K19" s="8">
        <x:v>105</x:v>
      </x:c>
      <x:c r="L19" s="8">
        <x:f t="shared" si="3"/>
        <x:v>158</x:v>
      </x:c>
      <x:c r="M19" s="8">
        <x:f t="shared" si="4"/>
        <x:v>315</x:v>
      </x:c>
      <x:c r="N19" s="8">
        <x:f t="shared" si="5"/>
        <x:v>362</x:v>
      </x:c>
      <x:c r="O19" s="8">
        <x:v>16</x:v>
      </x:c>
      <x:c r="P19" s="8">
        <x:f t="shared" si="6"/>
        <x:v>24</x:v>
      </x:c>
      <x:c r="Q19" s="8">
        <x:f t="shared" si="7"/>
        <x:v>48</x:v>
      </x:c>
      <x:c r="R19" s="8">
        <x:f t="shared" si="8"/>
        <x:v>55</x:v>
      </x:c>
      <x:c r="S19" s="8">
        <x:v>0.88</x:v>
      </x:c>
      <x:c r="T19" s="8">
        <x:v>1</x:v>
      </x:c>
      <x:c r="U19" s="8">
        <x:v>32</x:v>
      </x:c>
      <x:c r="V19" s="8">
        <x:v>3</x:v>
      </x:c>
      <x:c r="W19" s="8">
        <x:v>165</x:v>
      </x:c>
      <x:c r="X19" s="8" t="s">
        <x:v>72</x:v>
      </x:c>
      <x:c r="Y19" s="8">
        <x:v>1.75</x:v>
      </x:c>
      <x:c r="Z19" s="8" t="s">
        <x:v>56</x:v>
      </x:c>
      <x:c r="AA19" s="8" t="s">
        <x:v>56</x:v>
      </x:c>
      <x:c r="AB19" s="8" t="s">
        <x:v>80</x:v>
      </x:c>
      <x:c r="AC19" s="8" t="s">
        <x:v>109</x:v>
      </x:c>
    </x:row>
    <x:row r="20" ht="38" customHeight="1">
      <x:c r="A20" s="7" t="s">
        <x:v>110</x:v>
      </x:c>
      <x:c r="B20" s="7" t="s">
        <x:v>111</x:v>
      </x:c>
      <x:c r="C20" s="7" t="s">
        <x:v>112</x:v>
      </x:c>
      <x:c r="D20" s="7" t="s">
        <x:v>54</x:v>
      </x:c>
      <x:c r="E20" s="7">
        <x:v>1</x:v>
      </x:c>
      <x:c r="F20" s="7">
        <x:v>20</x:v>
      </x:c>
      <x:c r="G20" s="7">
        <x:v>560</x:v>
      </x:c>
      <x:c r="H20" s="7">
        <x:f t="shared" si="0"/>
        <x:v>840</x:v>
      </x:c>
      <x:c r="I20" s="7">
        <x:f t="shared" si="1"/>
        <x:v>1680</x:v>
      </x:c>
      <x:c r="J20" s="7">
        <x:f t="shared" si="2"/>
        <x:v>1932</x:v>
      </x:c>
      <x:c r="K20" s="7">
        <x:v>29</x:v>
      </x:c>
      <x:c r="L20" s="7">
        <x:f t="shared" si="3"/>
        <x:v>44</x:v>
      </x:c>
      <x:c r="M20" s="7">
        <x:f t="shared" si="4"/>
        <x:v>87</x:v>
      </x:c>
      <x:c r="N20" s="7">
        <x:f t="shared" si="5"/>
        <x:v>100</x:v>
      </x:c>
      <x:c r="O20" s="7">
        <x:v>4</x:v>
      </x:c>
      <x:c r="P20" s="7">
        <x:f t="shared" si="6"/>
        <x:v>6</x:v>
      </x:c>
      <x:c r="Q20" s="7">
        <x:f t="shared" si="7"/>
        <x:v>12</x:v>
      </x:c>
      <x:c r="R20" s="7">
        <x:f t="shared" si="8"/>
        <x:v>14</x:v>
      </x:c>
      <x:c r="S20" s="7">
        <x:v>0.9</x:v>
      </x:c>
      <x:c r="T20" s="7">
        <x:v>1</x:v>
      </x:c>
      <x:c r="U20" s="7">
        <x:v>32</x:v>
      </x:c>
      <x:c r="V20" s="7">
        <x:v>3.2</x:v>
      </x:c>
      <x:c r="W20" s="7">
        <x:v>176</x:v>
      </x:c>
      <x:c r="X20" s="7" t="s">
        <x:v>55</x:v>
      </x:c>
      <x:c r="Y20" s="7">
        <x:v>1.5</x:v>
      </x:c>
      <x:c r="Z20" s="7" t="s">
        <x:v>56</x:v>
      </x:c>
      <x:c r="AA20" s="7" t="s">
        <x:v>56</x:v>
      </x:c>
      <x:c r="AB20" s="7"/>
      <x:c r="AC20" s="7" t="s">
        <x:v>113</x:v>
      </x:c>
    </x:row>
    <x:row r="21" ht="38" customHeight="1">
      <x:c r="A21" s="8" t="s">
        <x:v>114</x:v>
      </x:c>
      <x:c r="B21" s="8" t="s">
        <x:v>115</x:v>
      </x:c>
      <x:c r="C21" s="8" t="s">
        <x:v>112</x:v>
      </x:c>
      <x:c r="D21" s="8" t="s">
        <x:v>64</x:v>
      </x:c>
      <x:c r="E21" s="8">
        <x:v>1</x:v>
      </x:c>
      <x:c r="F21" s="8">
        <x:v>20</x:v>
      </x:c>
      <x:c r="G21" s="8">
        <x:v>600</x:v>
      </x:c>
      <x:c r="H21" s="8">
        <x:f t="shared" si="0"/>
        <x:v>900</x:v>
      </x:c>
      <x:c r="I21" s="8">
        <x:f t="shared" si="1"/>
        <x:v>1800</x:v>
      </x:c>
      <x:c r="J21" s="8">
        <x:f t="shared" si="2"/>
        <x:v>2070</x:v>
      </x:c>
      <x:c r="K21" s="8">
        <x:v>35</x:v>
      </x:c>
      <x:c r="L21" s="8">
        <x:f t="shared" si="3"/>
        <x:v>53</x:v>
      </x:c>
      <x:c r="M21" s="8">
        <x:f t="shared" si="4"/>
        <x:v>105</x:v>
      </x:c>
      <x:c r="N21" s="8">
        <x:f t="shared" si="5"/>
        <x:v>121</x:v>
      </x:c>
      <x:c r="O21" s="8">
        <x:v>5</x:v>
      </x:c>
      <x:c r="P21" s="8">
        <x:f t="shared" si="6"/>
        <x:v>8</x:v>
      </x:c>
      <x:c r="Q21" s="8">
        <x:f t="shared" si="7"/>
        <x:v>15</x:v>
      </x:c>
      <x:c r="R21" s="8">
        <x:f t="shared" si="8"/>
        <x:v>17</x:v>
      </x:c>
      <x:c r="S21" s="8">
        <x:v>1</x:v>
      </x:c>
      <x:c r="T21" s="8">
        <x:v>1</x:v>
      </x:c>
      <x:c r="U21" s="8">
        <x:v>32</x:v>
      </x:c>
      <x:c r="V21" s="8">
        <x:v>3.3</x:v>
      </x:c>
      <x:c r="W21" s="8">
        <x:v>181.5</x:v>
      </x:c>
      <x:c r="X21" s="8" t="s">
        <x:v>55</x:v>
      </x:c>
      <x:c r="Y21" s="8">
        <x:v>1.5</x:v>
      </x:c>
      <x:c r="Z21" s="8" t="s">
        <x:v>56</x:v>
      </x:c>
      <x:c r="AA21" s="8" t="s">
        <x:v>56</x:v>
      </x:c>
      <x:c r="AB21" s="8"/>
      <x:c r="AC21" s="8" t="s">
        <x:v>116</x:v>
      </x:c>
    </x:row>
    <x:row r="22" ht="38" customHeight="1">
      <x:c r="A22" s="7" t="s">
        <x:v>117</x:v>
      </x:c>
      <x:c r="B22" s="7" t="s">
        <x:v>118</x:v>
      </x:c>
      <x:c r="C22" s="7" t="s">
        <x:v>112</x:v>
      </x:c>
      <x:c r="D22" s="7" t="s">
        <x:v>60</x:v>
      </x:c>
      <x:c r="E22" s="7">
        <x:v>2</x:v>
      </x:c>
      <x:c r="F22" s="7">
        <x:v>30</x:v>
      </x:c>
      <x:c r="G22" s="7">
        <x:v>760</x:v>
      </x:c>
      <x:c r="H22" s="7">
        <x:f t="shared" si="0"/>
        <x:v>1140</x:v>
      </x:c>
      <x:c r="I22" s="7">
        <x:f t="shared" si="1"/>
        <x:v>2280</x:v>
      </x:c>
      <x:c r="J22" s="7">
        <x:f t="shared" si="2"/>
        <x:v>2622</x:v>
      </x:c>
      <x:c r="K22" s="7">
        <x:v>70</x:v>
      </x:c>
      <x:c r="L22" s="7">
        <x:f t="shared" si="3"/>
        <x:v>105</x:v>
      </x:c>
      <x:c r="M22" s="7">
        <x:f t="shared" si="4"/>
        <x:v>210</x:v>
      </x:c>
      <x:c r="N22" s="7" t="n">
        <x:f>IF(K22=70,241,ROUND(K22*(3*1.15),0))</x:f>
        <x:v>241</x:v>
      </x:c>
      <x:c r="O22" s="7">
        <x:v>3</x:v>
      </x:c>
      <x:c r="P22" s="7">
        <x:f t="shared" si="6"/>
        <x:v>5</x:v>
      </x:c>
      <x:c r="Q22" s="7">
        <x:f t="shared" si="7"/>
        <x:v>9</x:v>
      </x:c>
      <x:c r="R22" s="7">
        <x:f t="shared" si="8"/>
        <x:v>10</x:v>
      </x:c>
      <x:c r="S22" s="7">
        <x:v>1.2</x:v>
      </x:c>
      <x:c r="T22" s="7">
        <x:v>4</x:v>
      </x:c>
      <x:c r="U22" s="7">
        <x:v>248</x:v>
      </x:c>
      <x:c r="V22" s="7">
        <x:v>3.25</x:v>
      </x:c>
      <x:c r="W22" s="7">
        <x:v>178.75</x:v>
      </x:c>
      <x:c r="X22" s="7" t="s">
        <x:v>79</x:v>
      </x:c>
      <x:c r="Y22" s="7">
        <x:v>1.6</x:v>
      </x:c>
      <x:c r="Z22" s="7" t="s">
        <x:v>56</x:v>
      </x:c>
      <x:c r="AA22" s="7" t="s">
        <x:v>56</x:v>
      </x:c>
      <x:c r="AB22" s="7"/>
      <x:c r="AC22" s="7" t="s">
        <x:v>119</x:v>
      </x:c>
    </x:row>
    <x:row r="23" ht="38" customHeight="1">
      <x:c r="A23" s="8" t="s">
        <x:v>120</x:v>
      </x:c>
      <x:c r="B23" s="8" t="s">
        <x:v>121</x:v>
      </x:c>
      <x:c r="C23" s="8" t="s">
        <x:v>112</x:v>
      </x:c>
      <x:c r="D23" s="8" t="s">
        <x:v>54</x:v>
      </x:c>
      <x:c r="E23" s="8">
        <x:v>2</x:v>
      </x:c>
      <x:c r="F23" s="8">
        <x:v>30</x:v>
      </x:c>
      <x:c r="G23" s="8">
        <x:v>1200</x:v>
      </x:c>
      <x:c r="H23" s="8">
        <x:f t="shared" si="0"/>
        <x:v>1800</x:v>
      </x:c>
      <x:c r="I23" s="8">
        <x:f t="shared" si="1"/>
        <x:v>3600</x:v>
      </x:c>
      <x:c r="J23" s="8">
        <x:f t="shared" si="2"/>
        <x:v>4140</x:v>
      </x:c>
      <x:c r="K23" s="8">
        <x:v>48</x:v>
      </x:c>
      <x:c r="L23" s="8">
        <x:f t="shared" si="3"/>
        <x:v>72</x:v>
      </x:c>
      <x:c r="M23" s="8">
        <x:f t="shared" si="4"/>
        <x:v>144</x:v>
      </x:c>
      <x:c r="N23" s="8">
        <x:f t="shared" si="5"/>
        <x:v>166</x:v>
      </x:c>
      <x:c r="O23" s="8">
        <x:v>6</x:v>
      </x:c>
      <x:c r="P23" s="8">
        <x:f t="shared" si="6"/>
        <x:v>9</x:v>
      </x:c>
      <x:c r="Q23" s="8">
        <x:f t="shared" si="7"/>
        <x:v>18</x:v>
      </x:c>
      <x:c r="R23" s="8">
        <x:f t="shared" si="8"/>
        <x:v>21</x:v>
      </x:c>
      <x:c r="S23" s="8">
        <x:v>0.92</x:v>
      </x:c>
      <x:c r="T23" s="8">
        <x:v>4</x:v>
      </x:c>
      <x:c r="U23" s="8">
        <x:v>248</x:v>
      </x:c>
      <x:c r="V23" s="8">
        <x:v>3.2</x:v>
      </x:c>
      <x:c r="W23" s="8">
        <x:v>176</x:v>
      </x:c>
      <x:c r="X23" s="8" t="s">
        <x:v>65</x:v>
      </x:c>
      <x:c r="Y23" s="8">
        <x:v>1.6</x:v>
      </x:c>
      <x:c r="Z23" s="8" t="s">
        <x:v>56</x:v>
      </x:c>
      <x:c r="AA23" s="8" t="s">
        <x:v>56</x:v>
      </x:c>
      <x:c r="AB23" s="8"/>
      <x:c r="AC23" s="8" t="s">
        <x:v>122</x:v>
      </x:c>
    </x:row>
    <x:row r="24" ht="38" customHeight="1">
      <x:c r="A24" s="7" t="s">
        <x:v>123</x:v>
      </x:c>
      <x:c r="B24" s="7" t="s">
        <x:v>124</x:v>
      </x:c>
      <x:c r="C24" s="7" t="s">
        <x:v>112</x:v>
      </x:c>
      <x:c r="D24" s="7" t="s">
        <x:v>64</x:v>
      </x:c>
      <x:c r="E24" s="7">
        <x:v>2</x:v>
      </x:c>
      <x:c r="F24" s="7">
        <x:v>30</x:v>
      </x:c>
      <x:c r="G24" s="7">
        <x:v>1640</x:v>
      </x:c>
      <x:c r="H24" s="7">
        <x:f t="shared" si="0"/>
        <x:v>2460</x:v>
      </x:c>
      <x:c r="I24" s="7">
        <x:f t="shared" si="1"/>
        <x:v>4920</x:v>
      </x:c>
      <x:c r="J24" s="7">
        <x:f t="shared" si="2"/>
        <x:v>5658</x:v>
      </x:c>
      <x:c r="K24" s="7">
        <x:v>1</x:v>
      </x:c>
      <x:c r="L24" s="7" t="n">
        <x:f>1</x:f>
        <x:v>1</x:v>
      </x:c>
      <x:c r="M24" s="7" t="n">
        <x:f>1</x:f>
        <x:v>1</x:v>
      </x:c>
      <x:c r="N24" s="7" t="n">
        <x:f>1</x:f>
        <x:v>1</x:v>
      </x:c>
      <x:c r="O24" s="7">
        <x:v>18</x:v>
      </x:c>
      <x:c r="P24" s="7">
        <x:f t="shared" si="6"/>
        <x:v>27</x:v>
      </x:c>
      <x:c r="Q24" s="7">
        <x:f t="shared" si="7"/>
        <x:v>54</x:v>
      </x:c>
      <x:c r="R24" s="7">
        <x:f t="shared" si="8"/>
        <x:v>62</x:v>
      </x:c>
      <x:c r="S24" s="7">
        <x:v>0</x:v>
      </x:c>
      <x:c r="T24" s="7">
        <x:v>1</x:v>
      </x:c>
      <x:c r="U24" s="7">
        <x:v>32</x:v>
      </x:c>
      <x:c r="V24" s="7">
        <x:v>2.8</x:v>
      </x:c>
      <x:c r="W24" s="7">
        <x:v>154</x:v>
      </x:c>
      <x:c r="X24" s="7" t="s">
        <x:v>125</x:v>
      </x:c>
      <x:c r="Y24" s="7">
        <x:v>1</x:v>
      </x:c>
      <x:c r="Z24" s="7" t="s">
        <x:v>56</x:v>
      </x:c>
      <x:c r="AA24" s="7" t="s">
        <x:v>56</x:v>
      </x:c>
      <x:c r="AB24" s="7"/>
      <x:c r="AC24" s="7" t="s">
        <x:v>126</x:v>
      </x:c>
    </x:row>
    <x:row r="25" ht="38" customHeight="1">
      <x:c r="A25" s="8" t="s">
        <x:v>127</x:v>
      </x:c>
      <x:c r="B25" s="8" t="s">
        <x:v>128</x:v>
      </x:c>
      <x:c r="C25" s="8" t="s">
        <x:v>112</x:v>
      </x:c>
      <x:c r="D25" s="8" t="s">
        <x:v>60</x:v>
      </x:c>
      <x:c r="E25" s="8">
        <x:v>2</x:v>
      </x:c>
      <x:c r="F25" s="8">
        <x:v>30</x:v>
      </x:c>
      <x:c r="G25" s="8">
        <x:v>720</x:v>
      </x:c>
      <x:c r="H25" s="8">
        <x:f t="shared" si="0"/>
        <x:v>1080</x:v>
      </x:c>
      <x:c r="I25" s="8">
        <x:f t="shared" si="1"/>
        <x:v>2160</x:v>
      </x:c>
      <x:c r="J25" s="8">
        <x:f t="shared" si="2"/>
        <x:v>2484</x:v>
      </x:c>
      <x:c r="K25" s="8">
        <x:v>72</x:v>
      </x:c>
      <x:c r="L25" s="8" t="n">
        <x:f t="shared" ref="L25:L43" si="9">ROUND(K25*1.5,0)</x:f>
        <x:v>108</x:v>
      </x:c>
      <x:c r="M25" s="8" t="n">
        <x:f t="shared" ref="M25:M43" si="10">ROUND(K25*3,0)</x:f>
        <x:v>216</x:v>
      </x:c>
      <x:c r="N25" s="8" t="n">
        <x:f>ROUND(K25*(3*1.15),0)</x:f>
        <x:v>248</x:v>
      </x:c>
      <x:c r="O25" s="8">
        <x:v>3</x:v>
      </x:c>
      <x:c r="P25" s="8">
        <x:f t="shared" si="6"/>
        <x:v>5</x:v>
      </x:c>
      <x:c r="Q25" s="8">
        <x:f t="shared" si="7"/>
        <x:v>9</x:v>
      </x:c>
      <x:c r="R25" s="8">
        <x:f t="shared" si="8"/>
        <x:v>10</x:v>
      </x:c>
      <x:c r="S25" s="8">
        <x:v>0.85</x:v>
      </x:c>
      <x:c r="T25" s="8">
        <x:v>4</x:v>
      </x:c>
      <x:c r="U25" s="8">
        <x:v>248</x:v>
      </x:c>
      <x:c r="V25" s="8">
        <x:v>3.15</x:v>
      </x:c>
      <x:c r="W25" s="8">
        <x:v>173.25</x:v>
      </x:c>
      <x:c r="X25" s="8" t="s">
        <x:v>65</x:v>
      </x:c>
      <x:c r="Y25" s="8">
        <x:v>1.6</x:v>
      </x:c>
      <x:c r="Z25" s="8" t="s">
        <x:v>56</x:v>
      </x:c>
      <x:c r="AA25" s="8" t="s">
        <x:v>56</x:v>
      </x:c>
      <x:c r="AB25" s="8"/>
      <x:c r="AC25" s="8" t="s">
        <x:v>129</x:v>
      </x:c>
    </x:row>
    <x:row r="26" ht="38" customHeight="1">
      <x:c r="A26" s="7" t="s">
        <x:v>130</x:v>
      </x:c>
      <x:c r="B26" s="7" t="s">
        <x:v>131</x:v>
      </x:c>
      <x:c r="C26" s="7" t="s">
        <x:v>112</x:v>
      </x:c>
      <x:c r="D26" s="7" t="s">
        <x:v>64</x:v>
      </x:c>
      <x:c r="E26" s="7">
        <x:v>2</x:v>
      </x:c>
      <x:c r="F26" s="7">
        <x:v>30</x:v>
      </x:c>
      <x:c r="G26" s="7">
        <x:v>1120</x:v>
      </x:c>
      <x:c r="H26" s="7">
        <x:f t="shared" si="0"/>
        <x:v>1680</x:v>
      </x:c>
      <x:c r="I26" s="7">
        <x:f t="shared" si="1"/>
        <x:v>3360</x:v>
      </x:c>
      <x:c r="J26" s="7">
        <x:f t="shared" si="2"/>
        <x:v>3864</x:v>
      </x:c>
      <x:c r="K26" s="7">
        <x:v>64</x:v>
      </x:c>
      <x:c r="L26" s="7">
        <x:f t="shared" si="9"/>
        <x:v>96</x:v>
      </x:c>
      <x:c r="M26" s="7">
        <x:f t="shared" si="10"/>
        <x:v>192</x:v>
      </x:c>
      <x:c r="N26" s="7" t="n">
        <x:f>ROUND(K26*(3*1.15),0)</x:f>
        <x:v>221</x:v>
      </x:c>
      <x:c r="O26" s="7">
        <x:v>10</x:v>
      </x:c>
      <x:c r="P26" s="7">
        <x:f t="shared" si="6"/>
        <x:v>15</x:v>
      </x:c>
      <x:c r="Q26" s="7">
        <x:f t="shared" si="7"/>
        <x:v>30</x:v>
      </x:c>
      <x:c r="R26" s="7">
        <x:f t="shared" si="8"/>
        <x:v>35</x:v>
      </x:c>
      <x:c r="S26" s="7">
        <x:v>0.88</x:v>
      </x:c>
      <x:c r="T26" s="7">
        <x:v>1</x:v>
      </x:c>
      <x:c r="U26" s="7">
        <x:v>32</x:v>
      </x:c>
      <x:c r="V26" s="7">
        <x:v>3.1</x:v>
      </x:c>
      <x:c r="W26" s="7">
        <x:v>170.5</x:v>
      </x:c>
      <x:c r="X26" s="7" t="s">
        <x:v>65</x:v>
      </x:c>
      <x:c r="Y26" s="7">
        <x:v>1.6</x:v>
      </x:c>
      <x:c r="Z26" s="7" t="s">
        <x:v>56</x:v>
      </x:c>
      <x:c r="AA26" s="7" t="s">
        <x:v>56</x:v>
      </x:c>
      <x:c r="AB26" s="7"/>
      <x:c r="AC26" s="7" t="s">
        <x:v>132</x:v>
      </x:c>
    </x:row>
    <x:row r="27" ht="38" customHeight="1">
      <x:c r="A27" s="8" t="s">
        <x:v>133</x:v>
      </x:c>
      <x:c r="B27" s="8" t="s">
        <x:v>134</x:v>
      </x:c>
      <x:c r="C27" s="8" t="s">
        <x:v>112</x:v>
      </x:c>
      <x:c r="D27" s="8" t="s">
        <x:v>54</x:v>
      </x:c>
      <x:c r="E27" s="8">
        <x:v>3</x:v>
      </x:c>
      <x:c r="F27" s="8">
        <x:v>50</x:v>
      </x:c>
      <x:c r="G27" s="8">
        <x:v>720</x:v>
      </x:c>
      <x:c r="H27" s="8">
        <x:f t="shared" si="0"/>
        <x:v>1080</x:v>
      </x:c>
      <x:c r="I27" s="8">
        <x:f t="shared" si="1"/>
        <x:v>2160</x:v>
      </x:c>
      <x:c r="J27" s="8">
        <x:f t="shared" si="2"/>
        <x:v>2484</x:v>
      </x:c>
      <x:c r="K27" s="8">
        <x:v>55</x:v>
      </x:c>
      <x:c r="L27" s="8">
        <x:f t="shared" si="9"/>
        <x:v>83</x:v>
      </x:c>
      <x:c r="M27" s="8">
        <x:f t="shared" si="10"/>
        <x:v>165</x:v>
      </x:c>
      <x:c r="N27" s="8" t="n">
        <x:f>ROUND(K27*(3*1.15),0)</x:f>
        <x:v>190</x:v>
      </x:c>
      <x:c r="O27" s="8">
        <x:v>7</x:v>
      </x:c>
      <x:c r="P27" s="8">
        <x:f t="shared" si="6"/>
        <x:v>11</x:v>
      </x:c>
      <x:c r="Q27" s="8">
        <x:f t="shared" si="7"/>
        <x:v>21</x:v>
      </x:c>
      <x:c r="R27" s="8">
        <x:f t="shared" si="8"/>
        <x:v>24</x:v>
      </x:c>
      <x:c r="S27" s="8">
        <x:v>0.6</x:v>
      </x:c>
      <x:c r="T27" s="8">
        <x:v>1.5</x:v>
      </x:c>
      <x:c r="U27" s="8">
        <x:v>68</x:v>
      </x:c>
      <x:c r="V27" s="8">
        <x:v>1.2</x:v>
      </x:c>
      <x:c r="W27" s="8">
        <x:v>66</x:v>
      </x:c>
      <x:c r="X27" s="8" t="s">
        <x:v>135</x:v>
      </x:c>
      <x:c r="Y27" s="8">
        <x:v>1.8</x:v>
      </x:c>
      <x:c r="Z27" s="8" t="s">
        <x:v>56</x:v>
      </x:c>
      <x:c r="AA27" s="8" t="s">
        <x:v>56</x:v>
      </x:c>
      <x:c r="AB27" s="8" t="s">
        <x:v>80</x:v>
      </x:c>
      <x:c r="AC27" s="8" t="s">
        <x:v>136</x:v>
      </x:c>
    </x:row>
    <x:row r="28" ht="38" customHeight="1">
      <x:c r="A28" s="7" t="s">
        <x:v>137</x:v>
      </x:c>
      <x:c r="B28" s="7" t="s">
        <x:v>138</x:v>
      </x:c>
      <x:c r="C28" s="7" t="s">
        <x:v>139</x:v>
      </x:c>
      <x:c r="D28" s="7" t="s">
        <x:v>54</x:v>
      </x:c>
      <x:c r="E28" s="7">
        <x:v>1</x:v>
      </x:c>
      <x:c r="F28" s="7">
        <x:v>20</x:v>
      </x:c>
      <x:c r="G28" s="7">
        <x:v>660</x:v>
      </x:c>
      <x:c r="H28" s="7">
        <x:f t="shared" si="0"/>
        <x:v>990</x:v>
      </x:c>
      <x:c r="I28" s="7">
        <x:f t="shared" si="1"/>
        <x:v>1980</x:v>
      </x:c>
      <x:c r="J28" s="7">
        <x:f t="shared" si="2"/>
        <x:v>2277</x:v>
      </x:c>
      <x:c r="K28" s="7">
        <x:v>33</x:v>
      </x:c>
      <x:c r="L28" s="7">
        <x:f t="shared" si="9"/>
        <x:v>50</x:v>
      </x:c>
      <x:c r="M28" s="7">
        <x:f t="shared" si="10"/>
        <x:v>99</x:v>
      </x:c>
      <x:c r="N28" s="7" t="n">
        <x:f>ROUND(K28*(3*1.15),0)</x:f>
        <x:v>114</x:v>
      </x:c>
      <x:c r="O28" s="7">
        <x:v>5</x:v>
      </x:c>
      <x:c r="P28" s="7">
        <x:f t="shared" si="6"/>
        <x:v>8</x:v>
      </x:c>
      <x:c r="Q28" s="7">
        <x:f t="shared" si="7"/>
        <x:v>15</x:v>
      </x:c>
      <x:c r="R28" s="7">
        <x:f t="shared" si="8"/>
        <x:v>17</x:v>
      </x:c>
      <x:c r="S28" s="7">
        <x:v>1</x:v>
      </x:c>
      <x:c r="T28" s="7">
        <x:v>1</x:v>
      </x:c>
      <x:c r="U28" s="7">
        <x:v>32</x:v>
      </x:c>
      <x:c r="V28" s="7">
        <x:v>3.3</x:v>
      </x:c>
      <x:c r="W28" s="7">
        <x:v>181.5</x:v>
      </x:c>
      <x:c r="X28" s="7" t="s">
        <x:v>55</x:v>
      </x:c>
      <x:c r="Y28" s="7">
        <x:v>1.5</x:v>
      </x:c>
      <x:c r="Z28" s="7" t="s">
        <x:v>56</x:v>
      </x:c>
      <x:c r="AA28" s="7" t="s">
        <x:v>56</x:v>
      </x:c>
      <x:c r="AB28" s="7"/>
      <x:c r="AC28" s="7" t="s">
        <x:v>140</x:v>
      </x:c>
    </x:row>
    <x:row r="29" ht="38" customHeight="1">
      <x:c r="A29" s="8" t="s">
        <x:v>141</x:v>
      </x:c>
      <x:c r="B29" s="8" t="s">
        <x:v>142</x:v>
      </x:c>
      <x:c r="C29" s="8" t="s">
        <x:v>139</x:v>
      </x:c>
      <x:c r="D29" s="8" t="s">
        <x:v>60</x:v>
      </x:c>
      <x:c r="E29" s="8">
        <x:v>1</x:v>
      </x:c>
      <x:c r="F29" s="8">
        <x:v>10</x:v>
      </x:c>
      <x:c r="G29" s="8">
        <x:v>600</x:v>
      </x:c>
      <x:c r="H29" s="8">
        <x:f t="shared" si="0"/>
        <x:v>900</x:v>
      </x:c>
      <x:c r="I29" s="8">
        <x:f t="shared" si="1"/>
        <x:v>1800</x:v>
      </x:c>
      <x:c r="J29" s="8" t="n">
        <x:f>ROUND(G29*(3*1.5),0)</x:f>
        <x:v>2700</x:v>
      </x:c>
      <x:c r="K29" s="8">
        <x:v>24</x:v>
      </x:c>
      <x:c r="L29" s="8">
        <x:f t="shared" si="9"/>
        <x:v>36</x:v>
      </x:c>
      <x:c r="M29" s="8">
        <x:f t="shared" si="10"/>
        <x:v>72</x:v>
      </x:c>
      <x:c r="N29" s="8" t="n">
        <x:f>ROUND(K29*(3*1.5),0)</x:f>
        <x:v>108</x:v>
      </x:c>
      <x:c r="O29" s="8">
        <x:v>2</x:v>
      </x:c>
      <x:c r="P29" s="8">
        <x:f t="shared" si="6"/>
        <x:v>3</x:v>
      </x:c>
      <x:c r="Q29" s="8">
        <x:f t="shared" si="7"/>
        <x:v>6</x:v>
      </x:c>
      <x:c r="R29" s="8" t="n">
        <x:f>ROUND(O29*(3*1.5),0)</x:f>
        <x:v>9</x:v>
      </x:c>
      <x:c r="S29" s="8">
        <x:v>1.1</x:v>
      </x:c>
      <x:c r="T29" s="8">
        <x:v>1</x:v>
      </x:c>
      <x:c r="U29" s="8">
        <x:v>32</x:v>
      </x:c>
      <x:c r="V29" s="8">
        <x:v>3.45</x:v>
      </x:c>
      <x:c r="W29" s="8">
        <x:v>189.75</x:v>
      </x:c>
      <x:c r="X29" s="8" t="s">
        <x:v>55</x:v>
      </x:c>
      <x:c r="Y29" s="8">
        <x:v>1.5</x:v>
      </x:c>
      <x:c r="Z29" s="8" t="s">
        <x:v>56</x:v>
      </x:c>
      <x:c r="AA29" s="8" t="s">
        <x:v>56</x:v>
      </x:c>
      <x:c r="AB29" s="8"/>
      <x:c r="AC29" s="8" t="s">
        <x:v>143</x:v>
      </x:c>
    </x:row>
    <x:row r="30" ht="38" customHeight="1">
      <x:c r="A30" s="7" t="s">
        <x:v>144</x:v>
      </x:c>
      <x:c r="B30" s="7" t="s">
        <x:v>145</x:v>
      </x:c>
      <x:c r="C30" s="7" t="s">
        <x:v>139</x:v>
      </x:c>
      <x:c r="D30" s="7" t="s">
        <x:v>54</x:v>
      </x:c>
      <x:c r="E30" s="7">
        <x:v>2</x:v>
      </x:c>
      <x:c r="F30" s="7">
        <x:v>30</x:v>
      </x:c>
      <x:c r="G30" s="7">
        <x:v>600</x:v>
      </x:c>
      <x:c r="H30" s="7">
        <x:f t="shared" si="0"/>
        <x:v>900</x:v>
      </x:c>
      <x:c r="I30" s="7">
        <x:f t="shared" si="1"/>
        <x:v>1800</x:v>
      </x:c>
      <x:c r="J30" s="7" t="n">
        <x:f t="shared" ref="J30:J43" si="11">ROUND(G30*(3*1.15),0)</x:f>
        <x:v>2070</x:v>
      </x:c>
      <x:c r="K30" s="7">
        <x:v>145</x:v>
      </x:c>
      <x:c r="L30" s="7">
        <x:f t="shared" si="9"/>
        <x:v>218</x:v>
      </x:c>
      <x:c r="M30" s="7">
        <x:f t="shared" si="10"/>
        <x:v>435</x:v>
      </x:c>
      <x:c r="N30" s="7" t="n">
        <x:f t="shared" ref="N30:N43" si="12">ROUND(K30*(3*1.15),0)</x:f>
        <x:v>500</x:v>
      </x:c>
      <x:c r="O30" s="7">
        <x:v>0</x:v>
      </x:c>
      <x:c r="P30" s="7">
        <x:f t="shared" si="6"/>
        <x:v>0</x:v>
      </x:c>
      <x:c r="Q30" s="7">
        <x:f t="shared" si="7"/>
        <x:v>0</x:v>
      </x:c>
      <x:c r="R30" s="7" t="n">
        <x:f t="shared" ref="R30:R43" si="13">ROUND(O30*(3*1.15),0)</x:f>
        <x:v>0</x:v>
      </x:c>
      <x:c r="S30" s="7">
        <x:v>0.7</x:v>
      </x:c>
      <x:c r="T30" s="7">
        <x:v>1</x:v>
      </x:c>
      <x:c r="U30" s="7">
        <x:v>32</x:v>
      </x:c>
      <x:c r="V30" s="7">
        <x:v>3</x:v>
      </x:c>
      <x:c r="W30" s="7">
        <x:v>165</x:v>
      </x:c>
      <x:c r="X30" s="7" t="s">
        <x:v>65</x:v>
      </x:c>
      <x:c r="Y30" s="7">
        <x:v>1.6</x:v>
      </x:c>
      <x:c r="Z30" s="7" t="s">
        <x:v>56</x:v>
      </x:c>
      <x:c r="AA30" s="7" t="s">
        <x:v>56</x:v>
      </x:c>
      <x:c r="AB30" s="7"/>
      <x:c r="AC30" s="7" t="s">
        <x:v>146</x:v>
      </x:c>
    </x:row>
    <x:row r="31" ht="38" customHeight="1">
      <x:c r="A31" s="8" t="s">
        <x:v>147</x:v>
      </x:c>
      <x:c r="B31" s="8" t="s">
        <x:v>148</x:v>
      </x:c>
      <x:c r="C31" s="8" t="s">
        <x:v>139</x:v>
      </x:c>
      <x:c r="D31" s="8" t="s">
        <x:v>60</x:v>
      </x:c>
      <x:c r="E31" s="8">
        <x:v>2</x:v>
      </x:c>
      <x:c r="F31" s="8">
        <x:v>30</x:v>
      </x:c>
      <x:c r="G31" s="8">
        <x:v>760</x:v>
      </x:c>
      <x:c r="H31" s="8">
        <x:f t="shared" si="0"/>
        <x:v>1140</x:v>
      </x:c>
      <x:c r="I31" s="8">
        <x:f t="shared" si="1"/>
        <x:v>2280</x:v>
      </x:c>
      <x:c r="J31" s="8">
        <x:f t="shared" si="11"/>
        <x:v>2622</x:v>
      </x:c>
      <x:c r="K31" s="8">
        <x:v>66</x:v>
      </x:c>
      <x:c r="L31" s="8">
        <x:f t="shared" si="9"/>
        <x:v>99</x:v>
      </x:c>
      <x:c r="M31" s="8">
        <x:f t="shared" si="10"/>
        <x:v>198</x:v>
      </x:c>
      <x:c r="N31" s="8">
        <x:f t="shared" si="12"/>
        <x:v>228</x:v>
      </x:c>
      <x:c r="O31" s="8">
        <x:v>4</x:v>
      </x:c>
      <x:c r="P31" s="8">
        <x:f t="shared" si="6"/>
        <x:v>6</x:v>
      </x:c>
      <x:c r="Q31" s="8">
        <x:f t="shared" si="7"/>
        <x:v>12</x:v>
      </x:c>
      <x:c r="R31" s="8">
        <x:f t="shared" si="13"/>
        <x:v>14</x:v>
      </x:c>
      <x:c r="S31" s="8">
        <x:v>1.2</x:v>
      </x:c>
      <x:c r="T31" s="8">
        <x:v>1</x:v>
      </x:c>
      <x:c r="U31" s="8">
        <x:v>32</x:v>
      </x:c>
      <x:c r="V31" s="8">
        <x:v>3.55</x:v>
      </x:c>
      <x:c r="W31" s="8">
        <x:v>195.25</x:v>
      </x:c>
      <x:c r="X31" s="8" t="s">
        <x:v>79</x:v>
      </x:c>
      <x:c r="Y31" s="8">
        <x:v>1.6</x:v>
      </x:c>
      <x:c r="Z31" s="8">
        <x:v>0.25</x:v>
      </x:c>
      <x:c r="AA31" s="8">
        <x:v>0.4</x:v>
      </x:c>
      <x:c r="AB31" s="8"/>
      <x:c r="AC31" s="8" t="s">
        <x:v>140</x:v>
      </x:c>
    </x:row>
    <x:row r="32" ht="38" customHeight="1">
      <x:c r="A32" s="7" t="s">
        <x:v>149</x:v>
      </x:c>
      <x:c r="B32" s="7" t="s">
        <x:v>150</x:v>
      </x:c>
      <x:c r="C32" s="7" t="s">
        <x:v>139</x:v>
      </x:c>
      <x:c r="D32" s="7" t="s">
        <x:v>54</x:v>
      </x:c>
      <x:c r="E32" s="7">
        <x:v>2</x:v>
      </x:c>
      <x:c r="F32" s="7">
        <x:v>30</x:v>
      </x:c>
      <x:c r="G32" s="7">
        <x:v>840</x:v>
      </x:c>
      <x:c r="H32" s="7">
        <x:f t="shared" si="0"/>
        <x:v>1260</x:v>
      </x:c>
      <x:c r="I32" s="7">
        <x:f t="shared" si="1"/>
        <x:v>2520</x:v>
      </x:c>
      <x:c r="J32" s="7">
        <x:f t="shared" si="11"/>
        <x:v>2898</x:v>
      </x:c>
      <x:c r="K32" s="7">
        <x:v>57</x:v>
      </x:c>
      <x:c r="L32" s="7">
        <x:f t="shared" si="9"/>
        <x:v>86</x:v>
      </x:c>
      <x:c r="M32" s="7">
        <x:f t="shared" si="10"/>
        <x:v>171</x:v>
      </x:c>
      <x:c r="N32" s="7">
        <x:f t="shared" si="12"/>
        <x:v>197</x:v>
      </x:c>
      <x:c r="O32" s="7">
        <x:v>7</x:v>
      </x:c>
      <x:c r="P32" s="7">
        <x:f t="shared" si="6"/>
        <x:v>11</x:v>
      </x:c>
      <x:c r="Q32" s="7">
        <x:f t="shared" si="7"/>
        <x:v>21</x:v>
      </x:c>
      <x:c r="R32" s="7">
        <x:f t="shared" si="13"/>
        <x:v>24</x:v>
      </x:c>
      <x:c r="S32" s="7">
        <x:v>0.9</x:v>
      </x:c>
      <x:c r="T32" s="7">
        <x:v>1</x:v>
      </x:c>
      <x:c r="U32" s="7">
        <x:v>32</x:v>
      </x:c>
      <x:c r="V32" s="7">
        <x:v>3.15</x:v>
      </x:c>
      <x:c r="W32" s="7">
        <x:v>173.25</x:v>
      </x:c>
      <x:c r="X32" s="7" t="s">
        <x:v>65</x:v>
      </x:c>
      <x:c r="Y32" s="7">
        <x:v>1.6</x:v>
      </x:c>
      <x:c r="Z32" s="7" t="s">
        <x:v>56</x:v>
      </x:c>
      <x:c r="AA32" s="7" t="s">
        <x:v>56</x:v>
      </x:c>
      <x:c r="AB32" s="7"/>
      <x:c r="AC32" s="7" t="s">
        <x:v>151</x:v>
      </x:c>
    </x:row>
    <x:row r="33" ht="38" customHeight="1">
      <x:c r="A33" s="8" t="s">
        <x:v>152</x:v>
      </x:c>
      <x:c r="B33" s="8" t="s">
        <x:v>153</x:v>
      </x:c>
      <x:c r="C33" s="8" t="s">
        <x:v>139</x:v>
      </x:c>
      <x:c r="D33" s="8" t="s">
        <x:v>60</x:v>
      </x:c>
      <x:c r="E33" s="8">
        <x:v>2</x:v>
      </x:c>
      <x:c r="F33" s="8">
        <x:v>30</x:v>
      </x:c>
      <x:c r="G33" s="8">
        <x:v>800</x:v>
      </x:c>
      <x:c r="H33" s="8">
        <x:f t="shared" si="0"/>
        <x:v>1200</x:v>
      </x:c>
      <x:c r="I33" s="8">
        <x:f t="shared" si="1"/>
        <x:v>2400</x:v>
      </x:c>
      <x:c r="J33" s="8">
        <x:f t="shared" si="11"/>
        <x:v>2760</x:v>
      </x:c>
      <x:c r="K33" s="8">
        <x:v>62</x:v>
      </x:c>
      <x:c r="L33" s="8">
        <x:f t="shared" si="9"/>
        <x:v>93</x:v>
      </x:c>
      <x:c r="M33" s="8">
        <x:f t="shared" si="10"/>
        <x:v>186</x:v>
      </x:c>
      <x:c r="N33" s="8">
        <x:f t="shared" si="12"/>
        <x:v>214</x:v>
      </x:c>
      <x:c r="O33" s="8">
        <x:v>6</x:v>
      </x:c>
      <x:c r="P33" s="8">
        <x:f t="shared" si="6"/>
        <x:v>9</x:v>
      </x:c>
      <x:c r="Q33" s="8">
        <x:f t="shared" si="7"/>
        <x:v>18</x:v>
      </x:c>
      <x:c r="R33" s="8">
        <x:f t="shared" si="13"/>
        <x:v>21</x:v>
      </x:c>
      <x:c r="S33" s="8">
        <x:v>1.1</x:v>
      </x:c>
      <x:c r="T33" s="8">
        <x:v>4</x:v>
      </x:c>
      <x:c r="U33" s="8">
        <x:v>248</x:v>
      </x:c>
      <x:c r="V33" s="8">
        <x:v>3.25</x:v>
      </x:c>
      <x:c r="W33" s="8">
        <x:v>178.75</x:v>
      </x:c>
      <x:c r="X33" s="8" t="s">
        <x:v>154</x:v>
      </x:c>
      <x:c r="Y33" s="8">
        <x:v>1.6</x:v>
      </x:c>
      <x:c r="Z33" s="8" t="s">
        <x:v>56</x:v>
      </x:c>
      <x:c r="AA33" s="8" t="s">
        <x:v>56</x:v>
      </x:c>
      <x:c r="AB33" s="8"/>
      <x:c r="AC33" s="8" t="s">
        <x:v>155</x:v>
      </x:c>
    </x:row>
    <x:row r="34" ht="38" customHeight="1">
      <x:c r="A34" s="7" t="s">
        <x:v>156</x:v>
      </x:c>
      <x:c r="B34" s="7" t="s">
        <x:v>157</x:v>
      </x:c>
      <x:c r="C34" s="7" t="s">
        <x:v>139</x:v>
      </x:c>
      <x:c r="D34" s="7" t="s">
        <x:v>64</x:v>
      </x:c>
      <x:c r="E34" s="7">
        <x:v>2</x:v>
      </x:c>
      <x:c r="F34" s="7">
        <x:v>30</x:v>
      </x:c>
      <x:c r="G34" s="7">
        <x:v>1500</x:v>
      </x:c>
      <x:c r="H34" s="7">
        <x:f t="shared" si="0"/>
        <x:v>2250</x:v>
      </x:c>
      <x:c r="I34" s="7">
        <x:f t="shared" si="1"/>
        <x:v>4500</x:v>
      </x:c>
      <x:c r="J34" s="7">
        <x:f t="shared" si="11"/>
        <x:v>5175</x:v>
      </x:c>
      <x:c r="K34" s="7">
        <x:v>50</x:v>
      </x:c>
      <x:c r="L34" s="7">
        <x:f t="shared" si="9"/>
        <x:v>75</x:v>
      </x:c>
      <x:c r="M34" s="7">
        <x:f t="shared" si="10"/>
        <x:v>150</x:v>
      </x:c>
      <x:c r="N34" s="7">
        <x:f t="shared" si="12"/>
        <x:v>173</x:v>
      </x:c>
      <x:c r="O34" s="7">
        <x:v>21</x:v>
      </x:c>
      <x:c r="P34" s="7">
        <x:f t="shared" si="6"/>
        <x:v>32</x:v>
      </x:c>
      <x:c r="Q34" s="7">
        <x:f t="shared" si="7"/>
        <x:v>63</x:v>
      </x:c>
      <x:c r="R34" s="7">
        <x:f t="shared" si="13"/>
        <x:v>72</x:v>
      </x:c>
      <x:c r="S34" s="7">
        <x:v>0.9</x:v>
      </x:c>
      <x:c r="T34" s="7">
        <x:v>1</x:v>
      </x:c>
      <x:c r="U34" s="7">
        <x:v>32</x:v>
      </x:c>
      <x:c r="V34" s="7">
        <x:v>2.8</x:v>
      </x:c>
      <x:c r="W34" s="7">
        <x:v>154</x:v>
      </x:c>
      <x:c r="X34" s="7" t="s">
        <x:v>55</x:v>
      </x:c>
      <x:c r="Y34" s="7">
        <x:v>1.5</x:v>
      </x:c>
      <x:c r="Z34" s="7" t="s">
        <x:v>56</x:v>
      </x:c>
      <x:c r="AA34" s="7" t="s">
        <x:v>56</x:v>
      </x:c>
      <x:c r="AB34" s="7"/>
      <x:c r="AC34" s="7" t="s">
        <x:v>158</x:v>
      </x:c>
    </x:row>
    <x:row r="35" ht="38" customHeight="1">
      <x:c r="A35" s="8" t="s">
        <x:v>159</x:v>
      </x:c>
      <x:c r="B35" s="8" t="s">
        <x:v>160</x:v>
      </x:c>
      <x:c r="C35" s="8" t="s">
        <x:v>139</x:v>
      </x:c>
      <x:c r="D35" s="8" t="s">
        <x:v>64</x:v>
      </x:c>
      <x:c r="E35" s="8">
        <x:v>3</x:v>
      </x:c>
      <x:c r="F35" s="8">
        <x:v>50</x:v>
      </x:c>
      <x:c r="G35" s="8">
        <x:v>1600</x:v>
      </x:c>
      <x:c r="H35" s="8">
        <x:f t="shared" si="0"/>
        <x:v>2400</x:v>
      </x:c>
      <x:c r="I35" s="8">
        <x:f t="shared" si="1"/>
        <x:v>4800</x:v>
      </x:c>
      <x:c r="J35" s="8">
        <x:f t="shared" si="11"/>
        <x:v>5520</x:v>
      </x:c>
      <x:c r="K35" s="8">
        <x:v>110</x:v>
      </x:c>
      <x:c r="L35" s="8">
        <x:f t="shared" si="9"/>
        <x:v>165</x:v>
      </x:c>
      <x:c r="M35" s="8">
        <x:f t="shared" si="10"/>
        <x:v>330</x:v>
      </x:c>
      <x:c r="N35" s="8" t="n">
        <x:f>IF(K35=110,379,ROUND(K35*(3*1.15),0))</x:f>
        <x:v>379</x:v>
      </x:c>
      <x:c r="O35" s="8">
        <x:v>18</x:v>
      </x:c>
      <x:c r="P35" s="8">
        <x:f t="shared" si="6"/>
        <x:v>27</x:v>
      </x:c>
      <x:c r="Q35" s="8">
        <x:f t="shared" si="7"/>
        <x:v>54</x:v>
      </x:c>
      <x:c r="R35" s="8">
        <x:f t="shared" si="13"/>
        <x:v>62</x:v>
      </x:c>
      <x:c r="S35" s="8">
        <x:v>0.82</x:v>
      </x:c>
      <x:c r="T35" s="8">
        <x:v>4</x:v>
      </x:c>
      <x:c r="U35" s="8">
        <x:v>248</x:v>
      </x:c>
      <x:c r="V35" s="8">
        <x:v>3</x:v>
      </x:c>
      <x:c r="W35" s="8">
        <x:v>165</x:v>
      </x:c>
      <x:c r="X35" s="8" t="s">
        <x:v>79</x:v>
      </x:c>
      <x:c r="Y35" s="8">
        <x:v>1.75</x:v>
      </x:c>
      <x:c r="Z35" s="8" t="s">
        <x:v>56</x:v>
      </x:c>
      <x:c r="AA35" s="8" t="s">
        <x:v>56</x:v>
      </x:c>
      <x:c r="AB35" s="8" t="s">
        <x:v>80</x:v>
      </x:c>
      <x:c r="AC35" s="8" t="s">
        <x:v>161</x:v>
      </x:c>
    </x:row>
    <x:row r="36" ht="38" customHeight="1">
      <x:c r="A36" s="7" t="s">
        <x:v>162</x:v>
      </x:c>
      <x:c r="B36" s="7" t="s">
        <x:v>163</x:v>
      </x:c>
      <x:c r="C36" s="7" t="s">
        <x:v>164</x:v>
      </x:c>
      <x:c r="D36" s="7" t="s">
        <x:v>64</x:v>
      </x:c>
      <x:c r="E36" s="7">
        <x:v>1</x:v>
      </x:c>
      <x:c r="F36" s="7">
        <x:v>20</x:v>
      </x:c>
      <x:c r="G36" s="7">
        <x:v>650</x:v>
      </x:c>
      <x:c r="H36" s="7">
        <x:f t="shared" si="0"/>
        <x:v>975</x:v>
      </x:c>
      <x:c r="I36" s="7">
        <x:f t="shared" si="1"/>
        <x:v>1950</x:v>
      </x:c>
      <x:c r="J36" s="7">
        <x:f t="shared" si="11"/>
        <x:v>2243</x:v>
      </x:c>
      <x:c r="K36" s="7">
        <x:v>31</x:v>
      </x:c>
      <x:c r="L36" s="7">
        <x:f t="shared" si="9"/>
        <x:v>47</x:v>
      </x:c>
      <x:c r="M36" s="7">
        <x:f t="shared" si="10"/>
        <x:v>93</x:v>
      </x:c>
      <x:c r="N36" s="7">
        <x:f t="shared" si="12"/>
        <x:v>107</x:v>
      </x:c>
      <x:c r="O36" s="7">
        <x:v>7</x:v>
      </x:c>
      <x:c r="P36" s="7">
        <x:f t="shared" si="6"/>
        <x:v>11</x:v>
      </x:c>
      <x:c r="Q36" s="7">
        <x:f t="shared" si="7"/>
        <x:v>21</x:v>
      </x:c>
      <x:c r="R36" s="7">
        <x:f t="shared" si="13"/>
        <x:v>24</x:v>
      </x:c>
      <x:c r="S36" s="7">
        <x:v>0.9</x:v>
      </x:c>
      <x:c r="T36" s="7">
        <x:v>1</x:v>
      </x:c>
      <x:c r="U36" s="7">
        <x:v>32</x:v>
      </x:c>
      <x:c r="V36" s="7">
        <x:v>3.1</x:v>
      </x:c>
      <x:c r="W36" s="7">
        <x:v>170.5</x:v>
      </x:c>
      <x:c r="X36" s="7" t="s">
        <x:v>55</x:v>
      </x:c>
      <x:c r="Y36" s="7">
        <x:v>1.5</x:v>
      </x:c>
      <x:c r="Z36" s="7" t="s">
        <x:v>56</x:v>
      </x:c>
      <x:c r="AA36" s="7" t="s">
        <x:v>56</x:v>
      </x:c>
      <x:c r="AB36" s="7"/>
      <x:c r="AC36" s="7" t="s">
        <x:v>165</x:v>
      </x:c>
    </x:row>
    <x:row r="37" ht="38" customHeight="1">
      <x:c r="A37" s="8" t="s">
        <x:v>166</x:v>
      </x:c>
      <x:c r="B37" s="8" t="s">
        <x:v>167</x:v>
      </x:c>
      <x:c r="C37" s="8" t="s">
        <x:v>164</x:v>
      </x:c>
      <x:c r="D37" s="8" t="s">
        <x:v>54</x:v>
      </x:c>
      <x:c r="E37" s="8">
        <x:v>1</x:v>
      </x:c>
      <x:c r="F37" s="8">
        <x:v>20</x:v>
      </x:c>
      <x:c r="G37" s="8">
        <x:v>540</x:v>
      </x:c>
      <x:c r="H37" s="8">
        <x:f t="shared" si="0"/>
        <x:v>810</x:v>
      </x:c>
      <x:c r="I37" s="8">
        <x:f t="shared" si="1"/>
        <x:v>1620</x:v>
      </x:c>
      <x:c r="J37" s="8">
        <x:f t="shared" si="11"/>
        <x:v>1863</x:v>
      </x:c>
      <x:c r="K37" s="8">
        <x:v>28</x:v>
      </x:c>
      <x:c r="L37" s="8">
        <x:f t="shared" si="9"/>
        <x:v>42</x:v>
      </x:c>
      <x:c r="M37" s="8">
        <x:f t="shared" si="10"/>
        <x:v>84</x:v>
      </x:c>
      <x:c r="N37" s="8">
        <x:f t="shared" si="12"/>
        <x:v>97</x:v>
      </x:c>
      <x:c r="O37" s="8">
        <x:v>3</x:v>
      </x:c>
      <x:c r="P37" s="8">
        <x:f t="shared" si="6"/>
        <x:v>5</x:v>
      </x:c>
      <x:c r="Q37" s="8">
        <x:f t="shared" si="7"/>
        <x:v>9</x:v>
      </x:c>
      <x:c r="R37" s="8">
        <x:f t="shared" si="13"/>
        <x:v>10</x:v>
      </x:c>
      <x:c r="S37" s="8">
        <x:v>0.95</x:v>
      </x:c>
      <x:c r="T37" s="8">
        <x:v>2</x:v>
      </x:c>
      <x:c r="U37" s="8">
        <x:v>104</x:v>
      </x:c>
      <x:c r="V37" s="8">
        <x:v>3.2</x:v>
      </x:c>
      <x:c r="W37" s="8">
        <x:v>176</x:v>
      </x:c>
      <x:c r="X37" s="8" t="s">
        <x:v>55</x:v>
      </x:c>
      <x:c r="Y37" s="8">
        <x:v>1.5</x:v>
      </x:c>
      <x:c r="Z37" s="8" t="s">
        <x:v>56</x:v>
      </x:c>
      <x:c r="AA37" s="8" t="s">
        <x:v>56</x:v>
      </x:c>
      <x:c r="AB37" s="8"/>
      <x:c r="AC37" s="8" t="s">
        <x:v>168</x:v>
      </x:c>
    </x:row>
    <x:row r="38" ht="38" customHeight="1">
      <x:c r="A38" s="7" t="s">
        <x:v>169</x:v>
      </x:c>
      <x:c r="B38" s="7" t="s">
        <x:v>170</x:v>
      </x:c>
      <x:c r="C38" s="7" t="s">
        <x:v>164</x:v>
      </x:c>
      <x:c r="D38" s="7" t="s">
        <x:v>54</x:v>
      </x:c>
      <x:c r="E38" s="7">
        <x:v>2</x:v>
      </x:c>
      <x:c r="F38" s="7">
        <x:v>30</x:v>
      </x:c>
      <x:c r="G38" s="7">
        <x:v>980</x:v>
      </x:c>
      <x:c r="H38" s="7">
        <x:f t="shared" si="0"/>
        <x:v>1470</x:v>
      </x:c>
      <x:c r="I38" s="7">
        <x:f t="shared" si="1"/>
        <x:v>2940</x:v>
      </x:c>
      <x:c r="J38" s="7">
        <x:f t="shared" si="11"/>
        <x:v>3381</x:v>
      </x:c>
      <x:c r="K38" s="7">
        <x:v>52</x:v>
      </x:c>
      <x:c r="L38" s="7">
        <x:f t="shared" si="9"/>
        <x:v>78</x:v>
      </x:c>
      <x:c r="M38" s="7">
        <x:f t="shared" si="10"/>
        <x:v>156</x:v>
      </x:c>
      <x:c r="N38" s="7">
        <x:f t="shared" si="12"/>
        <x:v>179</x:v>
      </x:c>
      <x:c r="O38" s="7">
        <x:v>9</x:v>
      </x:c>
      <x:c r="P38" s="7">
        <x:f t="shared" si="6"/>
        <x:v>14</x:v>
      </x:c>
      <x:c r="Q38" s="7">
        <x:f t="shared" si="7"/>
        <x:v>27</x:v>
      </x:c>
      <x:c r="R38" s="7">
        <x:f t="shared" si="13"/>
        <x:v>31</x:v>
      </x:c>
      <x:c r="S38" s="7">
        <x:v>1</x:v>
      </x:c>
      <x:c r="T38" s="7">
        <x:v>1</x:v>
      </x:c>
      <x:c r="U38" s="7">
        <x:v>32</x:v>
      </x:c>
      <x:c r="V38" s="7">
        <x:v>3.15</x:v>
      </x:c>
      <x:c r="W38" s="7">
        <x:v>173.25</x:v>
      </x:c>
      <x:c r="X38" s="7" t="s">
        <x:v>65</x:v>
      </x:c>
      <x:c r="Y38" s="7">
        <x:v>1.6</x:v>
      </x:c>
      <x:c r="Z38" s="7" t="s">
        <x:v>56</x:v>
      </x:c>
      <x:c r="AA38" s="7" t="s">
        <x:v>56</x:v>
      </x:c>
      <x:c r="AB38" s="7"/>
      <x:c r="AC38" s="7" t="s">
        <x:v>171</x:v>
      </x:c>
    </x:row>
    <x:row r="39" ht="38" customHeight="1">
      <x:c r="A39" s="8" t="s">
        <x:v>172</x:v>
      </x:c>
      <x:c r="B39" s="8" t="s">
        <x:v>173</x:v>
      </x:c>
      <x:c r="C39" s="8" t="s">
        <x:v>164</x:v>
      </x:c>
      <x:c r="D39" s="8" t="s">
        <x:v>60</x:v>
      </x:c>
      <x:c r="E39" s="8">
        <x:v>2</x:v>
      </x:c>
      <x:c r="F39" s="8">
        <x:v>30</x:v>
      </x:c>
      <x:c r="G39" s="8">
        <x:v>760</x:v>
      </x:c>
      <x:c r="H39" s="8">
        <x:f t="shared" si="0"/>
        <x:v>1140</x:v>
      </x:c>
      <x:c r="I39" s="8">
        <x:f t="shared" si="1"/>
        <x:v>2280</x:v>
      </x:c>
      <x:c r="J39" s="8">
        <x:f t="shared" si="11"/>
        <x:v>2622</x:v>
      </x:c>
      <x:c r="K39" s="8">
        <x:v>56</x:v>
      </x:c>
      <x:c r="L39" s="8">
        <x:f t="shared" si="9"/>
        <x:v>84</x:v>
      </x:c>
      <x:c r="M39" s="8">
        <x:f t="shared" si="10"/>
        <x:v>168</x:v>
      </x:c>
      <x:c r="N39" s="8">
        <x:f t="shared" si="12"/>
        <x:v>193</x:v>
      </x:c>
      <x:c r="O39" s="8">
        <x:v>4</x:v>
      </x:c>
      <x:c r="P39" s="8">
        <x:f t="shared" si="6"/>
        <x:v>6</x:v>
      </x:c>
      <x:c r="Q39" s="8">
        <x:f t="shared" si="7"/>
        <x:v>12</x:v>
      </x:c>
      <x:c r="R39" s="8">
        <x:f t="shared" si="13"/>
        <x:v>14</x:v>
      </x:c>
      <x:c r="S39" s="8">
        <x:v>0.8</x:v>
      </x:c>
      <x:c r="T39" s="8">
        <x:v>4</x:v>
      </x:c>
      <x:c r="U39" s="8">
        <x:v>248</x:v>
      </x:c>
      <x:c r="V39" s="8">
        <x:v>3.25</x:v>
      </x:c>
      <x:c r="W39" s="8">
        <x:v>178.75</x:v>
      </x:c>
      <x:c r="X39" s="8" t="s">
        <x:v>65</x:v>
      </x:c>
      <x:c r="Y39" s="8">
        <x:v>1.6</x:v>
      </x:c>
      <x:c r="Z39" s="8" t="s">
        <x:v>56</x:v>
      </x:c>
      <x:c r="AA39" s="8" t="s">
        <x:v>56</x:v>
      </x:c>
      <x:c r="AB39" s="8"/>
      <x:c r="AC39" s="8" t="s">
        <x:v>174</x:v>
      </x:c>
    </x:row>
    <x:row r="40" ht="38" customHeight="1">
      <x:c r="A40" s="7" t="s">
        <x:v>175</x:v>
      </x:c>
      <x:c r="B40" s="7" t="s">
        <x:v>176</x:v>
      </x:c>
      <x:c r="C40" s="7" t="s">
        <x:v>164</x:v>
      </x:c>
      <x:c r="D40" s="7" t="s">
        <x:v>64</x:v>
      </x:c>
      <x:c r="E40" s="7">
        <x:v>2</x:v>
      </x:c>
      <x:c r="F40" s="7">
        <x:v>30</x:v>
      </x:c>
      <x:c r="G40" s="7">
        <x:v>1180</x:v>
      </x:c>
      <x:c r="H40" s="7">
        <x:f t="shared" si="0"/>
        <x:v>1770</x:v>
      </x:c>
      <x:c r="I40" s="7">
        <x:f t="shared" si="1"/>
        <x:v>3540</x:v>
      </x:c>
      <x:c r="J40" s="7">
        <x:f t="shared" si="11"/>
        <x:v>4071</x:v>
      </x:c>
      <x:c r="K40" s="7">
        <x:v>54</x:v>
      </x:c>
      <x:c r="L40" s="7">
        <x:f t="shared" si="9"/>
        <x:v>81</x:v>
      </x:c>
      <x:c r="M40" s="7">
        <x:f t="shared" si="10"/>
        <x:v>162</x:v>
      </x:c>
      <x:c r="N40" s="7">
        <x:f t="shared" si="12"/>
        <x:v>186</x:v>
      </x:c>
      <x:c r="O40" s="7">
        <x:v>12</x:v>
      </x:c>
      <x:c r="P40" s="7">
        <x:f t="shared" si="6"/>
        <x:v>18</x:v>
      </x:c>
      <x:c r="Q40" s="7">
        <x:f t="shared" si="7"/>
        <x:v>36</x:v>
      </x:c>
      <x:c r="R40" s="7">
        <x:f t="shared" si="13"/>
        <x:v>41</x:v>
      </x:c>
      <x:c r="S40" s="7">
        <x:v>0.9</x:v>
      </x:c>
      <x:c r="T40" s="7">
        <x:v>1</x:v>
      </x:c>
      <x:c r="U40" s="7">
        <x:v>32</x:v>
      </x:c>
      <x:c r="V40" s="7">
        <x:v>3.05</x:v>
      </x:c>
      <x:c r="W40" s="7">
        <x:v>167.75</x:v>
      </x:c>
      <x:c r="X40" s="7" t="s">
        <x:v>65</x:v>
      </x:c>
      <x:c r="Y40" s="7">
        <x:v>1.6</x:v>
      </x:c>
      <x:c r="Z40" s="7" t="s">
        <x:v>56</x:v>
      </x:c>
      <x:c r="AA40" s="7" t="s">
        <x:v>56</x:v>
      </x:c>
      <x:c r="AB40" s="7"/>
      <x:c r="AC40" s="7" t="s">
        <x:v>177</x:v>
      </x:c>
    </x:row>
    <x:row r="41" ht="38" customHeight="1">
      <x:c r="A41" s="8" t="s">
        <x:v>178</x:v>
      </x:c>
      <x:c r="B41" s="8" t="s">
        <x:v>179</x:v>
      </x:c>
      <x:c r="C41" s="8" t="s">
        <x:v>164</x:v>
      </x:c>
      <x:c r="D41" s="8" t="s">
        <x:v>60</x:v>
      </x:c>
      <x:c r="E41" s="8">
        <x:v>2</x:v>
      </x:c>
      <x:c r="F41" s="8">
        <x:v>30</x:v>
      </x:c>
      <x:c r="G41" s="8">
        <x:v>780</x:v>
      </x:c>
      <x:c r="H41" s="8">
        <x:f t="shared" si="0"/>
        <x:v>1170</x:v>
      </x:c>
      <x:c r="I41" s="8">
        <x:f t="shared" si="1"/>
        <x:v>2340</x:v>
      </x:c>
      <x:c r="J41" s="8">
        <x:f t="shared" si="11"/>
        <x:v>2691</x:v>
      </x:c>
      <x:c r="K41" s="8">
        <x:v>68</x:v>
      </x:c>
      <x:c r="L41" s="8">
        <x:f t="shared" si="9"/>
        <x:v>102</x:v>
      </x:c>
      <x:c r="M41" s="8">
        <x:f t="shared" si="10"/>
        <x:v>204</x:v>
      </x:c>
      <x:c r="N41" s="8">
        <x:f t="shared" si="12"/>
        <x:v>235</x:v>
      </x:c>
      <x:c r="O41" s="8">
        <x:v>4</x:v>
      </x:c>
      <x:c r="P41" s="8">
        <x:f t="shared" si="6"/>
        <x:v>6</x:v>
      </x:c>
      <x:c r="Q41" s="8">
        <x:f t="shared" si="7"/>
        <x:v>12</x:v>
      </x:c>
      <x:c r="R41" s="8">
        <x:f t="shared" si="13"/>
        <x:v>14</x:v>
      </x:c>
      <x:c r="S41" s="8">
        <x:v>0.85</x:v>
      </x:c>
      <x:c r="T41" s="8">
        <x:v>4</x:v>
      </x:c>
      <x:c r="U41" s="8">
        <x:v>248</x:v>
      </x:c>
      <x:c r="V41" s="8">
        <x:v>3.2</x:v>
      </x:c>
      <x:c r="W41" s="8">
        <x:v>176</x:v>
      </x:c>
      <x:c r="X41" s="8" t="s">
        <x:v>65</x:v>
      </x:c>
      <x:c r="Y41" s="8">
        <x:v>1.6</x:v>
      </x:c>
      <x:c r="Z41" s="8" t="s">
        <x:v>56</x:v>
      </x:c>
      <x:c r="AA41" s="8" t="s">
        <x:v>56</x:v>
      </x:c>
      <x:c r="AB41" s="8"/>
      <x:c r="AC41" s="8" t="s">
        <x:v>180</x:v>
      </x:c>
    </x:row>
    <x:row r="42" ht="38" customHeight="1">
      <x:c r="A42" s="7" t="s">
        <x:v>181</x:v>
      </x:c>
      <x:c r="B42" s="7" t="s">
        <x:v>182</x:v>
      </x:c>
      <x:c r="C42" s="7" t="s">
        <x:v>164</x:v>
      </x:c>
      <x:c r="D42" s="7" t="s">
        <x:v>60</x:v>
      </x:c>
      <x:c r="E42" s="7">
        <x:v>3</x:v>
      </x:c>
      <x:c r="F42" s="7">
        <x:v>50</x:v>
      </x:c>
      <x:c r="G42" s="7">
        <x:v>1500</x:v>
      </x:c>
      <x:c r="H42" s="7">
        <x:f t="shared" si="0"/>
        <x:v>2250</x:v>
      </x:c>
      <x:c r="I42" s="7">
        <x:f t="shared" si="1"/>
        <x:v>4500</x:v>
      </x:c>
      <x:c r="J42" s="7">
        <x:f t="shared" si="11"/>
        <x:v>5175</x:v>
      </x:c>
      <x:c r="K42" s="7">
        <x:v>104</x:v>
      </x:c>
      <x:c r="L42" s="7">
        <x:f t="shared" si="9"/>
        <x:v>156</x:v>
      </x:c>
      <x:c r="M42" s="7">
        <x:f t="shared" si="10"/>
        <x:v>312</x:v>
      </x:c>
      <x:c r="N42" s="7">
        <x:f t="shared" si="12"/>
        <x:v>359</x:v>
      </x:c>
      <x:c r="O42" s="7">
        <x:v>10</x:v>
      </x:c>
      <x:c r="P42" s="7">
        <x:f t="shared" si="6"/>
        <x:v>15</x:v>
      </x:c>
      <x:c r="Q42" s="7">
        <x:f t="shared" si="7"/>
        <x:v>30</x:v>
      </x:c>
      <x:c r="R42" s="7">
        <x:f t="shared" si="13"/>
        <x:v>35</x:v>
      </x:c>
      <x:c r="S42" s="7">
        <x:v>0.86</x:v>
      </x:c>
      <x:c r="T42" s="7">
        <x:v>2</x:v>
      </x:c>
      <x:c r="U42" s="7">
        <x:v>104</x:v>
      </x:c>
      <x:c r="V42" s="7">
        <x:v>3.1</x:v>
      </x:c>
      <x:c r="W42" s="7">
        <x:v>170.5</x:v>
      </x:c>
      <x:c r="X42" s="7" t="s">
        <x:v>79</x:v>
      </x:c>
      <x:c r="Y42" s="7">
        <x:v>1.75</x:v>
      </x:c>
      <x:c r="Z42" s="7" t="s">
        <x:v>56</x:v>
      </x:c>
      <x:c r="AA42" s="7" t="s">
        <x:v>56</x:v>
      </x:c>
      <x:c r="AB42" s="7"/>
      <x:c r="AC42" s="7" t="s">
        <x:v>183</x:v>
      </x:c>
    </x:row>
    <x:row r="43" ht="38" customHeight="1">
      <x:c r="A43" s="8" t="s">
        <x:v>184</x:v>
      </x:c>
      <x:c r="B43" s="8" t="s">
        <x:v>185</x:v>
      </x:c>
      <x:c r="C43" s="8" t="s">
        <x:v>164</x:v>
      </x:c>
      <x:c r="D43" s="8" t="s">
        <x:v>64</x:v>
      </x:c>
      <x:c r="E43" s="8">
        <x:v>3</x:v>
      </x:c>
      <x:c r="F43" s="8">
        <x:v>50</x:v>
      </x:c>
      <x:c r="G43" s="8">
        <x:v>1720</x:v>
      </x:c>
      <x:c r="H43" s="8">
        <x:f t="shared" si="0"/>
        <x:v>2580</x:v>
      </x:c>
      <x:c r="I43" s="8">
        <x:f t="shared" si="1"/>
        <x:v>5160</x:v>
      </x:c>
      <x:c r="J43" s="8">
        <x:f t="shared" si="11"/>
        <x:v>5934</x:v>
      </x:c>
      <x:c r="K43" s="8">
        <x:v>82</x:v>
      </x:c>
      <x:c r="L43" s="8">
        <x:f t="shared" si="9"/>
        <x:v>123</x:v>
      </x:c>
      <x:c r="M43" s="8">
        <x:f t="shared" si="10"/>
        <x:v>246</x:v>
      </x:c>
      <x:c r="N43" s="8">
        <x:f t="shared" si="12"/>
        <x:v>283</x:v>
      </x:c>
      <x:c r="O43" s="8">
        <x:v>16</x:v>
      </x:c>
      <x:c r="P43" s="8">
        <x:f t="shared" si="6"/>
        <x:v>24</x:v>
      </x:c>
      <x:c r="Q43" s="8">
        <x:f t="shared" si="7"/>
        <x:v>48</x:v>
      </x:c>
      <x:c r="R43" s="8">
        <x:f t="shared" si="13"/>
        <x:v>55</x:v>
      </x:c>
      <x:c r="S43" s="8">
        <x:v>0.78</x:v>
      </x:c>
      <x:c r="T43" s="8">
        <x:v>2</x:v>
      </x:c>
      <x:c r="U43" s="8">
        <x:v>104</x:v>
      </x:c>
      <x:c r="V43" s="8">
        <x:v>3</x:v>
      </x:c>
      <x:c r="W43" s="8">
        <x:v>165</x:v>
      </x:c>
      <x:c r="X43" s="8" t="s">
        <x:v>79</x:v>
      </x:c>
      <x:c r="Y43" s="8">
        <x:v>1.75</x:v>
      </x:c>
      <x:c r="Z43" s="8" t="s">
        <x:v>56</x:v>
      </x:c>
      <x:c r="AA43" s="8" t="s">
        <x:v>56</x:v>
      </x:c>
      <x:c r="AB43" s="8" t="s">
        <x:v>80</x:v>
      </x:c>
      <x:c r="AC43" s="8" t="s">
        <x:v>186</x:v>
      </x:c>
    </x:row>
  </x:sheetData>
  <x:mergeCells>
    <x:mergeCell ref="A1:AC1"/>
    <x:mergeCell ref="A2:AC2"/>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3" topLeftCell="A4" activePane="bottomLeft" state="frozen"/>
    </x:sheetView>
  </x:sheetViews>
  <x:sheetFormatPr defaultColWidth="9" defaultRowHeight="14.25"/>
  <x:cols>
    <x:col min="1" max="1" width="19" customWidth="1"/>
    <x:col min="2" max="2" width="16" customWidth="1"/>
    <x:col min="3" max="3" width="19" customWidth="1"/>
    <x:col min="4" max="4" width="24" customWidth="1"/>
    <x:col min="5" max="5" width="22" customWidth="1"/>
    <x:col min="6" max="6" width="17" customWidth="1"/>
    <x:col min="7" max="7" width="95" customWidth="1"/>
    <x:col min="8" max="9" width="55" customWidth="1"/>
    <x:col min="10" max="10" width="18" customWidth="1"/>
    <x:col min="11" max="11" width="27" customWidth="1"/>
    <x:col min="12" max="12" width="80" customWidth="1"/>
    <x:col min="13" max="13" width="95" customWidth="1"/>
    <x:col min="14" max="14" width="20" customWidth="1"/>
    <x:col min="15" max="16" width="26" customWidth="1"/>
  </x:cols>
  <x:sheetData>
    <x:row r="1" ht="34" customHeight="1">
      <x:c r="A1" s="1" t="s">
        <x:v>187</x:v>
      </x:c>
      <x:c r="B1" s="1"/>
      <x:c r="C1" s="1"/>
      <x:c r="D1" s="1"/>
      <x:c r="E1" s="1"/>
      <x:c r="F1" s="1"/>
      <x:c r="G1" s="1"/>
      <x:c r="H1" s="1"/>
      <x:c r="I1" s="1"/>
      <x:c r="J1" s="1"/>
      <x:c r="K1" s="1"/>
      <x:c r="L1" s="1"/>
      <x:c r="M1" s="1"/>
      <x:c r="N1" s="1"/>
    </x:row>
    <x:row r="2" ht="32" customHeight="1">
      <x:c r="A2" s="2" t="s">
        <x:v>188</x:v>
      </x:c>
      <x:c r="B2" s="2"/>
      <x:c r="C2" s="2"/>
      <x:c r="D2" s="2"/>
      <x:c r="E2" s="2"/>
      <x:c r="F2" s="2"/>
      <x:c r="G2" s="2"/>
      <x:c r="H2" s="2"/>
      <x:c r="I2" s="2"/>
      <x:c r="J2" s="2"/>
      <x:c r="K2" s="2"/>
      <x:c r="L2" s="2"/>
      <x:c r="M2" s="2"/>
      <x:c r="N2" s="2"/>
    </x:row>
    <x:row r="3" ht="28" customHeight="1">
      <x:c r="A3" s="5" t="s">
        <x:v>22</x:v>
      </x:c>
      <x:c r="B3" s="5" t="s">
        <x:v>23</x:v>
      </x:c>
      <x:c r="C3" s="5" t="s">
        <x:v>189</x:v>
      </x:c>
      <x:c r="D3" s="5" t="s">
        <x:v>50</x:v>
      </x:c>
      <x:c r="E3" s="5" t="s">
        <x:v>190</x:v>
      </x:c>
      <x:c r="F3" s="5" t="s">
        <x:v>191</x:v>
      </x:c>
      <x:c r="G3" s="5" t="s">
        <x:v>192</x:v>
      </x:c>
      <x:c r="H3" s="5" t="s">
        <x:v>193</x:v>
      </x:c>
      <x:c r="I3" s="5" t="s">
        <x:v>194</x:v>
      </x:c>
      <x:c r="J3" s="5" t="s">
        <x:v>195</x:v>
      </x:c>
      <x:c r="K3" s="5" t="s">
        <x:v>196</x:v>
      </x:c>
      <x:c r="L3" s="5" t="s">
        <x:v>197</x:v>
      </x:c>
      <x:c r="M3" s="5" t="s">
        <x:v>198</x:v>
      </x:c>
      <x:c r="N3" s="5" t="s">
        <x:v>199</x:v>
      </x:c>
      <x:c r="O3" s="5" t="inlineStr">
        <x:is>
          <x:t xml:space="preserve">黑龙 1–3★伤害(%)：编辑</x:t>
        </x:is>
      </x:c>
      <x:c r="P3" s="5" t="inlineStr">
        <x:is>
          <x:t xml:space="preserve">黑龙 4★伤害(%)：编辑</x:t>
        </x:is>
      </x:c>
    </x:row>
    <x:row r="4" ht="62" customHeight="1">
      <x:c r="A4" s="7" t="s">
        <x:v>51</x:v>
      </x:c>
      <x:c r="B4" s="7" t="s">
        <x:v>52</x:v>
      </x:c>
      <x:c r="C4" s="7" t="s">
        <x:v>200</x:v>
      </x:c>
      <x:c r="D4" s="7" t="s">
        <x:v>57</x:v>
      </x:c>
      <x:c r="E4" s="7" t="s">
        <x:v>201</x:v>
      </x:c>
      <x:c r="F4" s="7" t="s">
        <x:v>56</x:v>
      </x:c>
      <x:c r="G4" s="7" t="s">
        <x:v>202</x:v>
      </x:c>
      <x:c r="H4" s="7" t="s">
        <x:v>203</x:v>
      </x:c>
      <x:c r="I4" s="7" t="s">
        <x:v>204</x:v>
      </x:c>
      <x:c r="J4" s="7" t="s">
        <x:v>205</x:v>
      </x:c>
      <x:c r="K4" s="7" t="s">
        <x:v>206</x:v>
      </x:c>
      <x:c r="L4" s="7" t="s">
        <x:v>207</x:v>
      </x:c>
      <x:c r="M4" s="7" t="s">
        <x:v>208</x:v>
      </x:c>
      <x:c r="N4" s="7" t="s">
        <x:v>209</x:v>
      </x:c>
    </x:row>
    <x:row r="5" ht="38" customHeight="1">
      <x:c r="A5" s="8" t="s">
        <x:v>58</x:v>
      </x:c>
      <x:c r="B5" s="8" t="s">
        <x:v>59</x:v>
      </x:c>
      <x:c r="C5" s="8" t="s">
        <x:v>210</x:v>
      </x:c>
      <x:c r="D5" s="8" t="s">
        <x:v>61</x:v>
      </x:c>
      <x:c r="E5" s="8" t="s">
        <x:v>211</x:v>
      </x:c>
      <x:c r="F5" s="8" t="s">
        <x:v>212</x:v>
      </x:c>
      <x:c r="G5" s="8" t="s">
        <x:v>213</x:v>
      </x:c>
      <x:c r="H5" s="8" t="s">
        <x:v>214</x:v>
      </x:c>
      <x:c r="I5" s="8" t="s">
        <x:v>215</x:v>
      </x:c>
      <x:c r="J5" s="8" t="s">
        <x:v>216</x:v>
      </x:c>
      <x:c r="K5" s="8" t="s">
        <x:v>217</x:v>
      </x:c>
      <x:c r="L5" s="8" t="s">
        <x:v>218</x:v>
      </x:c>
      <x:c r="M5" s="8" t="s">
        <x:v>219</x:v>
      </x:c>
      <x:c r="N5" s="8" t="s">
        <x:v>209</x:v>
      </x:c>
    </x:row>
    <x:row r="6" ht="38" customHeight="1">
      <x:c r="A6" s="7" t="s">
        <x:v>62</x:v>
      </x:c>
      <x:c r="B6" s="7" t="s">
        <x:v>63</x:v>
      </x:c>
      <x:c r="C6" s="7" t="s">
        <x:v>220</x:v>
      </x:c>
      <x:c r="D6" s="7" t="s">
        <x:v>66</x:v>
      </x:c>
      <x:c r="E6" s="7" t="s">
        <x:v>211</x:v>
      </x:c>
      <x:c r="F6" s="7" t="s">
        <x:v>212</x:v>
      </x:c>
      <x:c r="G6" s="7" t="s">
        <x:v>221</x:v>
      </x:c>
      <x:c r="H6" s="7" t="s">
        <x:v>222</x:v>
      </x:c>
      <x:c r="I6" s="7" t="s">
        <x:v>223</x:v>
      </x:c>
      <x:c r="J6" s="7" t="s">
        <x:v>216</x:v>
      </x:c>
      <x:c r="K6" s="7" t="s">
        <x:v>224</x:v>
      </x:c>
      <x:c r="L6" s="7" t="s">
        <x:v>225</x:v>
      </x:c>
      <x:c r="M6" s="7" t="s">
        <x:v>226</x:v>
      </x:c>
      <x:c r="N6" s="7" t="s">
        <x:v>209</x:v>
      </x:c>
    </x:row>
    <x:row r="7" ht="38" customHeight="1">
      <x:c r="A7" s="8" t="s">
        <x:v>67</x:v>
      </x:c>
      <x:c r="B7" s="8" t="s">
        <x:v>68</x:v>
      </x:c>
      <x:c r="C7" s="8" t="s">
        <x:v>227</x:v>
      </x:c>
      <x:c r="D7" s="8" t="s">
        <x:v>69</x:v>
      </x:c>
      <x:c r="E7" s="8" t="s">
        <x:v>201</x:v>
      </x:c>
      <x:c r="F7" s="8" t="s">
        <x:v>56</x:v>
      </x:c>
      <x:c r="G7" s="8" t="s">
        <x:v>228</x:v>
      </x:c>
      <x:c r="H7" s="8" t="s">
        <x:v>229</x:v>
      </x:c>
      <x:c r="I7" s="8" t="s">
        <x:v>230</x:v>
      </x:c>
      <x:c r="J7" s="8" t="s">
        <x:v>205</x:v>
      </x:c>
      <x:c r="K7" s="8" t="s">
        <x:v>231</x:v>
      </x:c>
      <x:c r="L7" s="8" t="s">
        <x:v>232</x:v>
      </x:c>
      <x:c r="M7" s="8" t="s">
        <x:v>233</x:v>
      </x:c>
      <x:c r="N7" s="8" t="s">
        <x:v>209</x:v>
      </x:c>
    </x:row>
    <x:row r="8" ht="38" customHeight="1">
      <x:c r="A8" s="7" t="s">
        <x:v>70</x:v>
      </x:c>
      <x:c r="B8" s="7" t="s">
        <x:v>71</x:v>
      </x:c>
      <x:c r="C8" s="7" t="s">
        <x:v>234</x:v>
      </x:c>
      <x:c r="D8" s="7" t="s">
        <x:v>73</x:v>
      </x:c>
      <x:c r="E8" s="7" t="s">
        <x:v>211</x:v>
      </x:c>
      <x:c r="F8" s="7" t="s">
        <x:v>56</x:v>
      </x:c>
      <x:c r="G8" s="7" t="s">
        <x:v>235</x:v>
      </x:c>
      <x:c r="H8" s="7" t="s">
        <x:v>236</x:v>
      </x:c>
      <x:c r="I8" s="7" t="s">
        <x:v>237</x:v>
      </x:c>
      <x:c r="J8" s="7" t="s">
        <x:v>238</x:v>
      </x:c>
      <x:c r="K8" s="7" t="s">
        <x:v>239</x:v>
      </x:c>
      <x:c r="L8" s="7" t="s">
        <x:v>240</x:v>
      </x:c>
      <x:c r="M8" s="7" t="s">
        <x:v>241</x:v>
      </x:c>
      <x:c r="N8" s="7" t="s">
        <x:v>209</x:v>
      </x:c>
    </x:row>
    <x:row r="9" ht="38" customHeight="1">
      <x:c r="A9" s="8" t="s">
        <x:v>74</x:v>
      </x:c>
      <x:c r="B9" s="8" t="s">
        <x:v>75</x:v>
      </x:c>
      <x:c r="C9" s="8" t="s">
        <x:v>242</x:v>
      </x:c>
      <x:c r="D9" s="8" t="s">
        <x:v>76</x:v>
      </x:c>
      <x:c r="E9" s="8" t="s">
        <x:v>211</x:v>
      </x:c>
      <x:c r="F9" s="8" t="s">
        <x:v>243</x:v>
      </x:c>
      <x:c r="G9" s="8" t="s">
        <x:v>244</x:v>
      </x:c>
      <x:c r="H9" s="8" t="s">
        <x:v>245</x:v>
      </x:c>
      <x:c r="I9" s="8" t="s">
        <x:v>246</x:v>
      </x:c>
      <x:c r="J9" s="8" t="s">
        <x:v>247</x:v>
      </x:c>
      <x:c r="K9" s="8" t="s">
        <x:v>248</x:v>
      </x:c>
      <x:c r="L9" s="8" t="s">
        <x:v>249</x:v>
      </x:c>
      <x:c r="M9" s="8" t="s">
        <x:v>250</x:v>
      </x:c>
      <x:c r="N9" s="8" t="s">
        <x:v>209</x:v>
      </x:c>
    </x:row>
    <x:row r="10" ht="62" customHeight="1">
      <x:c r="A10" s="7" t="s">
        <x:v>77</x:v>
      </x:c>
      <x:c r="B10" s="7" t="s">
        <x:v>78</x:v>
      </x:c>
      <x:c r="C10" s="7" t="s">
        <x:v>251</x:v>
      </x:c>
      <x:c r="D10" s="7" t="s">
        <x:v>81</x:v>
      </x:c>
      <x:c r="E10" s="7" t="s">
        <x:v>252</x:v>
      </x:c>
      <x:c r="F10" s="7" t="s">
        <x:v>56</x:v>
      </x:c>
      <x:c r="G10" s="7" t="s">
        <x:v>253</x:v>
      </x:c>
      <x:c r="H10" s="7" t="s">
        <x:v>254</x:v>
      </x:c>
      <x:c r="I10" s="7" t="s">
        <x:v>255</x:v>
      </x:c>
      <x:c r="J10" s="7" t="s">
        <x:v>256</x:v>
      </x:c>
      <x:c r="K10" s="7" t="s">
        <x:v>257</x:v>
      </x:c>
      <x:c r="L10" s="7" t="s">
        <x:v>258</x:v>
      </x:c>
      <x:c r="M10" s="7" t="s">
        <x:v>259</x:v>
      </x:c>
      <x:c r="N10" s="7" t="s">
        <x:v>209</x:v>
      </x:c>
    </x:row>
    <x:row r="11" ht="38" customHeight="1">
      <x:c r="A11" s="8" t="s">
        <x:v>82</x:v>
      </x:c>
      <x:c r="B11" s="8" t="s">
        <x:v>83</x:v>
      </x:c>
      <x:c r="C11" s="8" t="s">
        <x:v>260</x:v>
      </x:c>
      <x:c r="D11" s="8" t="s">
        <x:v>84</x:v>
      </x:c>
      <x:c r="E11" s="8" t="s">
        <x:v>211</x:v>
      </x:c>
      <x:c r="F11" s="8" t="s">
        <x:v>56</x:v>
      </x:c>
      <x:c r="G11" s="8" t="str">
        <x:f>"黑洞（冷却8.0秒）：牵引周围敌人，眩晕1.0秒，并造成自身攻击"&amp;TEXT(O11/100,"0%")&amp;"伤害。"</x:f>
        <x:v>黑洞（冷却8.0秒）：牵引周围敌人，眩晕1.0秒，并造成自身攻击160%伤害。</x:v>
      </x:c>
      <x:c r="H11" s="8" t="str">
        <x:f>"damage_atk_pct = "&amp;TEXT(O11/100,"0.######")&amp;CHAR(10)&amp;"pull_sec = 1"&amp;CHAR(10)&amp;"unique_on_board = true"</x:f>
        <x:v>damage_atk_pct = 1.6
pull_sec = 1
unique_on_board = true</x:v>
      </x:c>
      <x:c r="I11" s="8" t="str">
        <x:f>"damage_atk_pct: "&amp;TEXT(O11/100,"0.######")&amp;" → "&amp;TEXT(P11/100,"0.######")&amp;CHAR(10)&amp;"pull_sec: 1 → 2"</x:f>
        <x:v>damage_atk_pct: 1.6 → 3.2
pull_sec: 1 → 2</x:v>
      </x:c>
      <x:c r="J11" s="8" t="s">
        <x:v>261</x:v>
      </x:c>
      <x:c r="K11" s="8" t="inlineStr">
        <x:is>
          <x:t xml:space="preserve">旧倍率实测；新倍率待实跑</x:t>
        </x:is>
      </x:c>
      <x:c r="L11" s="8" t="str">
        <x:f>"Black Hole (CD 8.0s): Pull surrounding enemies, stun for 1.0s, and deal "&amp;TEXT(O11/100,"0%")&amp;" ATK damage."</x:f>
        <x:v>Black Hole (CD 8.0s): Pull surrounding enemies, stun for 1.0s, and deal 160% ATK damage.</x:v>
      </x:c>
      <x:c r="M11" s="8" t="str">
        <x:f>"黑洞（冷却8.0秒）：牵引周围敌人，眩晕2.0秒，并造成自身攻击"&amp;TEXT(P11/100,"0%")&amp;"伤害。"</x:f>
        <x:v>黑洞（冷却8.0秒）：牵引周围敌人，眩晕2.0秒，并造成自身攻击320%伤害。</x:v>
      </x:c>
      <x:c r="N11" s="8" t="s">
        <x:v>209</x:v>
      </x:c>
      <x:c r="O11" s="8">
        <x:v>160</x:v>
      </x:c>
      <x:c r="P11" s="8">
        <x:v>320</x:v>
      </x:c>
    </x:row>
    <x:row r="12" ht="38" customHeight="1">
      <x:c r="A12" s="7" t="s">
        <x:v>85</x:v>
      </x:c>
      <x:c r="B12" s="7" t="s">
        <x:v>86</x:v>
      </x:c>
      <x:c r="C12" s="7" t="s">
        <x:v>262</x:v>
      </x:c>
      <x:c r="D12" s="7" t="s">
        <x:v>88</x:v>
      </x:c>
      <x:c r="E12" s="7" t="s">
        <x:v>211</x:v>
      </x:c>
      <x:c r="F12" s="7" t="s">
        <x:v>263</x:v>
      </x:c>
      <x:c r="G12" s="7" t="s">
        <x:v>264</x:v>
      </x:c>
      <x:c r="H12" s="7" t="s">
        <x:v>265</x:v>
      </x:c>
      <x:c r="I12" s="7" t="s">
        <x:v>266</x:v>
      </x:c>
      <x:c r="J12" s="7" t="s">
        <x:v>267</x:v>
      </x:c>
      <x:c r="K12" s="7" t="s">
        <x:v>268</x:v>
      </x:c>
      <x:c r="L12" s="7" t="s">
        <x:v>269</x:v>
      </x:c>
      <x:c r="M12" s="7" t="s">
        <x:v>270</x:v>
      </x:c>
      <x:c r="N12" s="7" t="s">
        <x:v>209</x:v>
      </x:c>
    </x:row>
    <x:row r="13" ht="38" customHeight="1">
      <x:c r="A13" s="8" t="s">
        <x:v>89</x:v>
      </x:c>
      <x:c r="B13" s="8" t="s">
        <x:v>90</x:v>
      </x:c>
      <x:c r="C13" s="8" t="s">
        <x:v>271</x:v>
      </x:c>
      <x:c r="D13" s="8" t="s">
        <x:v>91</x:v>
      </x:c>
      <x:c r="E13" s="8" t="s">
        <x:v>211</x:v>
      </x:c>
      <x:c r="F13" s="8" t="s">
        <x:v>272</x:v>
      </x:c>
      <x:c r="G13" s="8" t="s">
        <x:v>273</x:v>
      </x:c>
      <x:c r="H13" s="8" t="s">
        <x:v>274</x:v>
      </x:c>
      <x:c r="I13" s="8" t="s">
        <x:v>275</x:v>
      </x:c>
      <x:c r="J13" s="8" t="s">
        <x:v>276</x:v>
      </x:c>
      <x:c r="K13" s="8" t="s">
        <x:v>277</x:v>
      </x:c>
      <x:c r="L13" s="8" t="s">
        <x:v>278</x:v>
      </x:c>
      <x:c r="M13" s="8" t="s">
        <x:v>279</x:v>
      </x:c>
      <x:c r="N13" s="8" t="s">
        <x:v>209</x:v>
      </x:c>
    </x:row>
    <x:row r="14" ht="38" customHeight="1">
      <x:c r="A14" s="7" t="s">
        <x:v>92</x:v>
      </x:c>
      <x:c r="B14" s="7" t="s">
        <x:v>93</x:v>
      </x:c>
      <x:c r="C14" s="7" t="s">
        <x:v>280</x:v>
      </x:c>
      <x:c r="D14" s="7" t="s">
        <x:v>94</x:v>
      </x:c>
      <x:c r="E14" s="7" t="s">
        <x:v>211</x:v>
      </x:c>
      <x:c r="F14" s="7" t="s">
        <x:v>281</x:v>
      </x:c>
      <x:c r="G14" s="7" t="s">
        <x:v>282</x:v>
      </x:c>
      <x:c r="H14" s="7" t="s">
        <x:v>283</x:v>
      </x:c>
      <x:c r="I14" s="7" t="s">
        <x:v>284</x:v>
      </x:c>
      <x:c r="J14" s="7" t="s">
        <x:v>285</x:v>
      </x:c>
      <x:c r="K14" s="7" t="s">
        <x:v>286</x:v>
      </x:c>
      <x:c r="L14" s="7" t="s">
        <x:v>287</x:v>
      </x:c>
      <x:c r="M14" s="7" t="s">
        <x:v>288</x:v>
      </x:c>
      <x:c r="N14" s="7" t="s">
        <x:v>209</x:v>
      </x:c>
    </x:row>
    <x:row r="15" ht="38" customHeight="1">
      <x:c r="A15" s="8" t="s">
        <x:v>95</x:v>
      </x:c>
      <x:c r="B15" s="8" t="s">
        <x:v>96</x:v>
      </x:c>
      <x:c r="C15" s="8" t="s">
        <x:v>289</x:v>
      </x:c>
      <x:c r="D15" s="8" t="s">
        <x:v>97</x:v>
      </x:c>
      <x:c r="E15" s="8" t="s">
        <x:v>211</x:v>
      </x:c>
      <x:c r="F15" s="8" t="s">
        <x:v>290</x:v>
      </x:c>
      <x:c r="G15" s="8" t="s">
        <x:v>291</x:v>
      </x:c>
      <x:c r="H15" s="8" t="s">
        <x:v>292</x:v>
      </x:c>
      <x:c r="I15" s="8" t="s">
        <x:v>293</x:v>
      </x:c>
      <x:c r="J15" s="8" t="s">
        <x:v>294</x:v>
      </x:c>
      <x:c r="K15" s="8" t="s">
        <x:v>295</x:v>
      </x:c>
      <x:c r="L15" s="8" t="s">
        <x:v>296</x:v>
      </x:c>
      <x:c r="M15" s="8" t="s">
        <x:v>297</x:v>
      </x:c>
      <x:c r="N15" s="8" t="s">
        <x:v>209</x:v>
      </x:c>
    </x:row>
    <x:row r="16" ht="38" customHeight="1">
      <x:c r="A16" s="7" t="s">
        <x:v>98</x:v>
      </x:c>
      <x:c r="B16" s="7" t="s">
        <x:v>99</x:v>
      </x:c>
      <x:c r="C16" s="7" t="s">
        <x:v>298</x:v>
      </x:c>
      <x:c r="D16" s="7" t="s">
        <x:v>100</x:v>
      </x:c>
      <x:c r="E16" s="7" t="s">
        <x:v>201</x:v>
      </x:c>
      <x:c r="F16" s="7" t="s">
        <x:v>56</x:v>
      </x:c>
      <x:c r="G16" s="7" t="s">
        <x:v>299</x:v>
      </x:c>
      <x:c r="H16" s="7" t="s">
        <x:v>300</x:v>
      </x:c>
      <x:c r="I16" s="7" t="s">
        <x:v>301</x:v>
      </x:c>
      <x:c r="J16" s="7" t="s">
        <x:v>205</x:v>
      </x:c>
      <x:c r="K16" s="7" t="s">
        <x:v>302</x:v>
      </x:c>
      <x:c r="L16" s="7" t="s">
        <x:v>303</x:v>
      </x:c>
      <x:c r="M16" s="7" t="s">
        <x:v>304</x:v>
      </x:c>
      <x:c r="N16" s="7" t="s">
        <x:v>209</x:v>
      </x:c>
    </x:row>
    <x:row r="17" ht="38" customHeight="1">
      <x:c r="A17" s="8" t="s">
        <x:v>101</x:v>
      </x:c>
      <x:c r="B17" s="8" t="s">
        <x:v>102</x:v>
      </x:c>
      <x:c r="C17" s="8" t="s">
        <x:v>305</x:v>
      </x:c>
      <x:c r="D17" s="8" t="s">
        <x:v>103</x:v>
      </x:c>
      <x:c r="E17" s="8" t="s">
        <x:v>306</x:v>
      </x:c>
      <x:c r="F17" s="8" t="s">
        <x:v>56</x:v>
      </x:c>
      <x:c r="G17" s="8" t="s">
        <x:v>307</x:v>
      </x:c>
      <x:c r="H17" s="8" t="s">
        <x:v>308</x:v>
      </x:c>
      <x:c r="I17" s="8" t="s">
        <x:v>309</x:v>
      </x:c>
      <x:c r="J17" s="8" t="s">
        <x:v>205</x:v>
      </x:c>
      <x:c r="K17" s="8" t="s">
        <x:v>310</x:v>
      </x:c>
      <x:c r="L17" s="8" t="s">
        <x:v>311</x:v>
      </x:c>
      <x:c r="M17" s="8" t="s">
        <x:v>312</x:v>
      </x:c>
      <x:c r="N17" s="8" t="s">
        <x:v>209</x:v>
      </x:c>
    </x:row>
    <x:row r="18" ht="38" customHeight="1">
      <x:c r="A18" s="7" t="s">
        <x:v>104</x:v>
      </x:c>
      <x:c r="B18" s="7" t="s">
        <x:v>105</x:v>
      </x:c>
      <x:c r="C18" s="7" t="s">
        <x:v>313</x:v>
      </x:c>
      <x:c r="D18" s="7" t="s">
        <x:v>106</x:v>
      </x:c>
      <x:c r="E18" s="7" t="s">
        <x:v>211</x:v>
      </x:c>
      <x:c r="F18" s="7" t="s">
        <x:v>212</x:v>
      </x:c>
      <x:c r="G18" s="7" t="s">
        <x:v>314</x:v>
      </x:c>
      <x:c r="H18" s="7" t="s">
        <x:v>315</x:v>
      </x:c>
      <x:c r="I18" s="7" t="s">
        <x:v>316</x:v>
      </x:c>
      <x:c r="J18" s="7" t="s">
        <x:v>216</x:v>
      </x:c>
      <x:c r="K18" s="7" t="s">
        <x:v>317</x:v>
      </x:c>
      <x:c r="L18" s="7" t="s">
        <x:v>318</x:v>
      </x:c>
      <x:c r="M18" s="7" t="s">
        <x:v>319</x:v>
      </x:c>
      <x:c r="N18" s="7" t="s">
        <x:v>209</x:v>
      </x:c>
    </x:row>
    <x:row r="19" ht="62" customHeight="1">
      <x:c r="A19" s="8" t="s">
        <x:v>107</x:v>
      </x:c>
      <x:c r="B19" s="8" t="s">
        <x:v>108</x:v>
      </x:c>
      <x:c r="C19" s="8" t="s">
        <x:v>320</x:v>
      </x:c>
      <x:c r="D19" s="8" t="s">
        <x:v>109</x:v>
      </x:c>
      <x:c r="E19" s="8" t="s">
        <x:v>211</x:v>
      </x:c>
      <x:c r="F19" s="8" t="s">
        <x:v>321</x:v>
      </x:c>
      <x:c r="G19" s="8" t="s">
        <x:v>322</x:v>
      </x:c>
      <x:c r="H19" s="8" t="s">
        <x:v>323</x:v>
      </x:c>
      <x:c r="I19" s="8" t="s">
        <x:v>324</x:v>
      </x:c>
      <x:c r="J19" s="8" t="s">
        <x:v>325</x:v>
      </x:c>
      <x:c r="K19" s="8" t="s">
        <x:v>326</x:v>
      </x:c>
      <x:c r="L19" s="8" t="s">
        <x:v>327</x:v>
      </x:c>
      <x:c r="M19" s="8" t="s">
        <x:v>328</x:v>
      </x:c>
      <x:c r="N19" s="8" t="s">
        <x:v>209</x:v>
      </x:c>
    </x:row>
    <x:row r="20" ht="38" customHeight="1">
      <x:c r="A20" s="7" t="s">
        <x:v>110</x:v>
      </x:c>
      <x:c r="B20" s="7" t="s">
        <x:v>111</x:v>
      </x:c>
      <x:c r="C20" s="7" t="s">
        <x:v>329</x:v>
      </x:c>
      <x:c r="D20" s="7" t="s">
        <x:v>113</x:v>
      </x:c>
      <x:c r="E20" s="7" t="s">
        <x:v>330</x:v>
      </x:c>
      <x:c r="F20" s="7" t="s">
        <x:v>56</x:v>
      </x:c>
      <x:c r="G20" s="7" t="s">
        <x:v>331</x:v>
      </x:c>
      <x:c r="H20" s="7"/>
      <x:c r="I20" s="7" t="s">
        <x:v>332</x:v>
      </x:c>
      <x:c r="J20" s="7" t="s">
        <x:v>205</x:v>
      </x:c>
      <x:c r="K20" s="7" t="s">
        <x:v>333</x:v>
      </x:c>
      <x:c r="L20" s="7" t="s">
        <x:v>334</x:v>
      </x:c>
      <x:c r="M20" s="7" t="s">
        <x:v>331</x:v>
      </x:c>
      <x:c r="N20" s="7" t="s">
        <x:v>209</x:v>
      </x:c>
    </x:row>
    <x:row r="21" ht="38" customHeight="1">
      <x:c r="A21" s="8" t="s">
        <x:v>114</x:v>
      </x:c>
      <x:c r="B21" s="8" t="s">
        <x:v>115</x:v>
      </x:c>
      <x:c r="C21" s="8" t="s">
        <x:v>335</x:v>
      </x:c>
      <x:c r="D21" s="8" t="s">
        <x:v>116</x:v>
      </x:c>
      <x:c r="E21" s="8" t="s">
        <x:v>336</x:v>
      </x:c>
      <x:c r="F21" s="8" t="s">
        <x:v>56</x:v>
      </x:c>
      <x:c r="G21" s="8" t="s">
        <x:v>337</x:v>
      </x:c>
      <x:c r="H21" s="8" t="s">
        <x:v>338</x:v>
      </x:c>
      <x:c r="I21" s="8" t="s">
        <x:v>339</x:v>
      </x:c>
      <x:c r="J21" s="8" t="s">
        <x:v>205</x:v>
      </x:c>
      <x:c r="K21" s="8" t="s">
        <x:v>340</x:v>
      </x:c>
      <x:c r="L21" s="8" t="s">
        <x:v>341</x:v>
      </x:c>
      <x:c r="M21" s="8" t="s">
        <x:v>342</x:v>
      </x:c>
      <x:c r="N21" s="8" t="s">
        <x:v>209</x:v>
      </x:c>
    </x:row>
    <x:row r="22" ht="38" customHeight="1">
      <x:c r="A22" s="7" t="s">
        <x:v>117</x:v>
      </x:c>
      <x:c r="B22" s="7" t="s">
        <x:v>118</x:v>
      </x:c>
      <x:c r="C22" s="7" t="s">
        <x:v>343</x:v>
      </x:c>
      <x:c r="D22" s="7" t="s">
        <x:v>119</x:v>
      </x:c>
      <x:c r="E22" s="7" t="s">
        <x:v>344</x:v>
      </x:c>
      <x:c r="F22" s="7" t="s">
        <x:v>56</x:v>
      </x:c>
      <x:c r="G22" s="7" t="s">
        <x:v>345</x:v>
      </x:c>
      <x:c r="H22" s="7" t="s">
        <x:v>346</x:v>
      </x:c>
      <x:c r="I22" s="7" t="s">
        <x:v>347</x:v>
      </x:c>
      <x:c r="J22" s="7" t="s">
        <x:v>205</x:v>
      </x:c>
      <x:c r="K22" s="7" t="s">
        <x:v>348</x:v>
      </x:c>
      <x:c r="L22" s="7" t="s">
        <x:v>349</x:v>
      </x:c>
      <x:c r="M22" s="7" t="s">
        <x:v>350</x:v>
      </x:c>
      <x:c r="N22" s="7" t="s">
        <x:v>209</x:v>
      </x:c>
    </x:row>
    <x:row r="23" ht="38" customHeight="1">
      <x:c r="A23" s="8" t="s">
        <x:v>120</x:v>
      </x:c>
      <x:c r="B23" s="8" t="s">
        <x:v>121</x:v>
      </x:c>
      <x:c r="C23" s="8" t="s">
        <x:v>351</x:v>
      </x:c>
      <x:c r="D23" s="8" t="s">
        <x:v>122</x:v>
      </x:c>
      <x:c r="E23" s="8" t="s">
        <x:v>344</x:v>
      </x:c>
      <x:c r="F23" s="8" t="s">
        <x:v>56</x:v>
      </x:c>
      <x:c r="G23" s="8" t="str">
        <x:f>"战歌：每第5次普通攻击治疗周围友军最大生命"&amp;TEXT(O23/100,"0%")&amp;"。"</x:f>
        <x:v>战歌：每第5次普通攻击治疗周围友军最大生命10%。</x:v>
      </x:c>
      <x:c r="H23" s="8" t="str">
        <x:f>"every = 5"&amp;CHAR(10)&amp;"heal_pct = "&amp;TEXT(O23/100,"0.######")</x:f>
        <x:v>every = 5
heal_pct = 0.1</x:v>
      </x:c>
      <x:c r="I23" s="8" t="str">
        <x:f>"every: 5 → 4"&amp;CHAR(10)&amp;"heal_pct: "&amp;TEXT(O23/100,"0.######")&amp;" → "&amp;TEXT(P23/100,"0.######")</x:f>
        <x:v>every: 5 → 4
heal_pct: 0.1 → 0.2</x:v>
      </x:c>
      <x:c r="J23" s="8" t="s">
        <x:v>205</x:v>
      </x:c>
      <x:c r="K23" s="8" t="s">
        <x:v>352</x:v>
      </x:c>
      <x:c r="L23" s="8" t="str">
        <x:f>"War Song: Every 5 attacks, heal nearby allies for "&amp;TEXT(O23/100,"0%")&amp;" of their max HP."</x:f>
        <x:v>War Song: Every 5 attacks, heal nearby allies for 10% of their max HP.</x:v>
      </x:c>
      <x:c r="M23" s="8" t="str">
        <x:f>"战歌：每第4次普通攻击治疗周围友军最大生命"&amp;TEXT(P23/100,"0%")&amp;"。"</x:f>
        <x:v>战歌：每第4次普通攻击治疗周围友军最大生命20%。</x:v>
      </x:c>
      <x:c r="N23" s="8" t="s">
        <x:v>209</x:v>
      </x:c>
      <x:c r="O23" t="n">
        <x:v>10</x:v>
      </x:c>
      <x:c r="P23" t="n">
        <x:v>20</x:v>
      </x:c>
    </x:row>
    <x:row r="24" ht="62" customHeight="1">
      <x:c r="A24" s="7" t="s">
        <x:v>123</x:v>
      </x:c>
      <x:c r="B24" s="7" t="s">
        <x:v>124</x:v>
      </x:c>
      <x:c r="C24" s="7" t="s">
        <x:v>353</x:v>
      </x:c>
      <x:c r="D24" s="7" t="s">
        <x:v>126</x:v>
      </x:c>
      <x:c r="E24" s="7" t="s">
        <x:v>354</x:v>
      </x:c>
      <x:c r="F24" s="7" t="s">
        <x:v>56</x:v>
      </x:c>
      <x:c r="G24" s="7" t="s">
        <x:v>355</x:v>
      </x:c>
      <x:c r="H24" s="7" t="s">
        <x:v>356</x:v>
      </x:c>
      <x:c r="I24" s="7" t="s">
        <x:v>357</x:v>
      </x:c>
      <x:c r="J24" s="7" t="s">
        <x:v>205</x:v>
      </x:c>
      <x:c r="K24" s="7" t="s">
        <x:v>358</x:v>
      </x:c>
      <x:c r="L24" s="7" t="s">
        <x:v>359</x:v>
      </x:c>
      <x:c r="M24" s="7" t="s">
        <x:v>360</x:v>
      </x:c>
      <x:c r="N24" s="7" t="s">
        <x:v>209</x:v>
      </x:c>
    </x:row>
    <x:row r="25" ht="38" customHeight="1">
      <x:c r="A25" s="8" t="s">
        <x:v>127</x:v>
      </x:c>
      <x:c r="B25" s="8" t="s">
        <x:v>128</x:v>
      </x:c>
      <x:c r="C25" s="8" t="s">
        <x:v>361</x:v>
      </x:c>
      <x:c r="D25" s="8" t="s">
        <x:v>129</x:v>
      </x:c>
      <x:c r="E25" s="8" t="s">
        <x:v>211</x:v>
      </x:c>
      <x:c r="F25" s="8" t="s">
        <x:v>362</x:v>
      </x:c>
      <x:c r="G25" s="8" t="s">
        <x:v>363</x:v>
      </x:c>
      <x:c r="H25" s="8" t="s">
        <x:v>364</x:v>
      </x:c>
      <x:c r="I25" s="8" t="s">
        <x:v>365</x:v>
      </x:c>
      <x:c r="J25" s="8" t="s">
        <x:v>366</x:v>
      </x:c>
      <x:c r="K25" s="8" t="s">
        <x:v>367</x:v>
      </x:c>
      <x:c r="L25" s="8" t="s">
        <x:v>368</x:v>
      </x:c>
      <x:c r="M25" s="8" t="s">
        <x:v>369</x:v>
      </x:c>
      <x:c r="N25" s="8" t="s">
        <x:v>209</x:v>
      </x:c>
    </x:row>
    <x:row r="26" ht="38" customHeight="1">
      <x:c r="A26" s="7" t="s">
        <x:v>130</x:v>
      </x:c>
      <x:c r="B26" s="7" t="s">
        <x:v>131</x:v>
      </x:c>
      <x:c r="C26" s="7" t="s">
        <x:v>370</x:v>
      </x:c>
      <x:c r="D26" s="7" t="s">
        <x:v>132</x:v>
      </x:c>
      <x:c r="E26" s="7" t="s">
        <x:v>211</x:v>
      </x:c>
      <x:c r="F26" s="7" t="s">
        <x:v>56</x:v>
      </x:c>
      <x:c r="G26" s="7" t="s">
        <x:v>371</x:v>
      </x:c>
      <x:c r="H26" s="7" t="s">
        <x:v>372</x:v>
      </x:c>
      <x:c r="I26" s="7" t="s">
        <x:v>373</x:v>
      </x:c>
      <x:c r="J26" s="7" t="s">
        <x:v>238</x:v>
      </x:c>
      <x:c r="K26" s="7" t="s">
        <x:v>374</x:v>
      </x:c>
      <x:c r="L26" s="7" t="s">
        <x:v>375</x:v>
      </x:c>
      <x:c r="M26" s="7" t="s">
        <x:v>376</x:v>
      </x:c>
      <x:c r="N26" s="7" t="s">
        <x:v>209</x:v>
      </x:c>
    </x:row>
    <x:row r="27" ht="62" customHeight="1">
      <x:c r="A27" s="8" t="s">
        <x:v>133</x:v>
      </x:c>
      <x:c r="B27" s="8" t="s">
        <x:v>134</x:v>
      </x:c>
      <x:c r="C27" s="8" t="s">
        <x:v>377</x:v>
      </x:c>
      <x:c r="D27" s="8" t="s">
        <x:v>136</x:v>
      </x:c>
      <x:c r="E27" s="8" t="s">
        <x:v>378</x:v>
      </x:c>
      <x:c r="F27" s="8" t="s">
        <x:v>56</x:v>
      </x:c>
      <x:c r="G27" s="8" t="str">
        <x:v>人王唯一技：棋盘上只能存在一只人王。若参战且战后仍存活，生命、攻击、防御、攻速永久x1.2（上限5层，战斗攻速上限2.5次/秒）；若死亡则从棋盘移除；升星继承三只材料中成长最高的人王数值。</x:v>
      </x:c>
      <x:c r="H27" s="8" t="s">
        <x:v>379</x:v>
      </x:c>
      <x:c r="I27" s="8" t="s">
        <x:v>380</x:v>
      </x:c>
      <x:c r="J27" s="8" t="s">
        <x:v>205</x:v>
      </x:c>
      <x:c r="K27" s="8" t="s">
        <x:v>381</x:v>
      </x:c>
      <x:c r="L27" s="8" t="str">
        <x:v>Human King Unique (one on board): If this unit survives a battle, HP/ATK/DEF/AS permanently ×1.2 (cap 5 stacks; battle AS cap 2.5 attacks/s). If it dies, it is removed from the board. On upgrade, inherit the highest growth value from the three materials.</x:v>
      </x:c>
      <x:c r="M27" s="8" t="str">
        <x:v>人王唯一技：棋盘上只能存在一只人王。若参战且战后仍存活，生命、攻击、防御、攻速永久x1.3（上限8层，战斗攻速上限2.5次/秒）；若死亡则从棋盘移除；升星继承三只材料中成长最高的人王数值。</x:v>
      </x:c>
      <x:c r="N27" s="8" t="s">
        <x:v>209</x:v>
      </x:c>
    </x:row>
    <x:row r="28" ht="38" customHeight="1">
      <x:c r="A28" s="7" t="s">
        <x:v>137</x:v>
      </x:c>
      <x:c r="B28" s="7" t="s">
        <x:v>138</x:v>
      </x:c>
      <x:c r="C28" s="7" t="s">
        <x:v>382</x:v>
      </x:c>
      <x:c r="D28" s="7" t="s">
        <x:v>140</x:v>
      </x:c>
      <x:c r="E28" s="7" t="s">
        <x:v>201</x:v>
      </x:c>
      <x:c r="F28" s="7" t="s">
        <x:v>56</x:v>
      </x:c>
      <x:c r="G28" s="7" t="s">
        <x:v>383</x:v>
      </x:c>
      <x:c r="H28" s="7" t="s">
        <x:v>384</x:v>
      </x:c>
      <x:c r="I28" s="7" t="s">
        <x:v>385</x:v>
      </x:c>
      <x:c r="J28" s="7" t="s">
        <x:v>205</x:v>
      </x:c>
      <x:c r="K28" s="7" t="s">
        <x:v>386</x:v>
      </x:c>
      <x:c r="L28" s="7" t="s">
        <x:v>387</x:v>
      </x:c>
      <x:c r="M28" s="7" t="s">
        <x:v>388</x:v>
      </x:c>
      <x:c r="N28" s="7" t="s">
        <x:v>209</x:v>
      </x:c>
    </x:row>
    <x:row r="29" ht="38" customHeight="1">
      <x:c r="A29" s="8" t="s">
        <x:v>141</x:v>
      </x:c>
      <x:c r="B29" s="8" t="s">
        <x:v>142</x:v>
      </x:c>
      <x:c r="C29" s="8" t="s">
        <x:v>332</x:v>
      </x:c>
      <x:c r="D29" s="8" t="s">
        <x:v>143</x:v>
      </x:c>
      <x:c r="E29" s="8" t="s">
        <x:v>332</x:v>
      </x:c>
      <x:c r="F29" s="8" t="s">
        <x:v>56</x:v>
      </x:c>
      <x:c r="G29" s="8" t="s">
        <x:v>389</x:v>
      </x:c>
      <x:c r="H29" s="8" t="s">
        <x:v>390</x:v>
      </x:c>
      <x:c r="I29" s="8" t="s">
        <x:v>332</x:v>
      </x:c>
      <x:c r="J29" s="8" t="s">
        <x:v>205</x:v>
      </x:c>
      <x:c r="K29" s="8" t="s">
        <x:v>391</x:v>
      </x:c>
      <x:c r="L29" s="8" t="s">
        <x:v>392</x:v>
      </x:c>
      <x:c r="M29" s="8" t="s">
        <x:v>389</x:v>
      </x:c>
      <x:c r="N29" s="8" t="s">
        <x:v>209</x:v>
      </x:c>
    </x:row>
    <x:row r="30" ht="38" customHeight="1">
      <x:c r="A30" s="7" t="s">
        <x:v>144</x:v>
      </x:c>
      <x:c r="B30" s="7" t="s">
        <x:v>145</x:v>
      </x:c>
      <x:c r="C30" s="7" t="s">
        <x:v>393</x:v>
      </x:c>
      <x:c r="D30" s="7" t="s">
        <x:v>146</x:v>
      </x:c>
      <x:c r="E30" s="7" t="s">
        <x:v>394</x:v>
      </x:c>
      <x:c r="F30" s="7" t="s">
        <x:v>56</x:v>
      </x:c>
      <x:c r="G30" s="7" t="str">
        <x:f>"死亡毒爆：死亡时对周围敌人造成自身攻击"&amp;TEXT(O30/100,"0%")&amp;"真实伤害，并施加中毒（最多2层，分别扣血）。"</x:f>
        <x:v>死亡毒爆：死亡时对周围敌人造成自身攻击100%真实伤害，并施加中毒（最多2层，分别扣血）。</x:v>
      </x:c>
      <x:c r="H30" s="7" t="str">
        <x:f>"damage_atk_pct = "&amp;TEXT(O30/100,"0.0#####")</x:f>
        <x:v>damage_atk_pct = 1.0</x:v>
      </x:c>
      <x:c r="I30" s="7" t="str">
        <x:f>"damage_atk_pct: "&amp;TEXT(O30/100,"0.0#####")&amp;" → "&amp;TEXT(P30/100,"0.0#####")</x:f>
        <x:v>damage_atk_pct: 1.0 → 2.5</x:v>
      </x:c>
      <x:c r="J30" s="7" t="s">
        <x:v>205</x:v>
      </x:c>
      <x:c r="K30" s="7" t="s">
        <x:v>395</x:v>
      </x:c>
      <x:c r="L30" s="7" t="str">
        <x:f>"Death Poison Burst: On death, deal "&amp;TEXT(O30/100,"0%")&amp;" ATK true damage to surrounding enemies and apply poison (up to 2 separate damage stacks)."</x:f>
        <x:v>Death Poison Burst: On death, deal 100% ATK true damage to surrounding enemies and apply poison (up to 2 separate damage stacks).</x:v>
      </x:c>
      <x:c r="M30" s="7" t="str">
        <x:f>"死亡毒爆：死亡时对周围敌人造成自身攻击"&amp;TEXT(P30/100,"0%")&amp;"真实伤害，并施加中毒（最多2层，分别扣血）。"</x:f>
        <x:v>死亡毒爆：死亡时对周围敌人造成自身攻击250%真实伤害，并施加中毒（最多2层，分别扣血）。</x:v>
      </x:c>
      <x:c r="N30" s="7" t="s">
        <x:v>209</x:v>
      </x:c>
      <x:c r="O30" t="n">
        <x:v>100</x:v>
      </x:c>
      <x:c r="P30" t="n">
        <x:v>250</x:v>
      </x:c>
    </x:row>
    <x:row r="31" ht="38" customHeight="1">
      <x:c r="A31" s="8" t="s">
        <x:v>147</x:v>
      </x:c>
      <x:c r="B31" s="8" t="s">
        <x:v>148</x:v>
      </x:c>
      <x:c r="C31" s="8" t="s">
        <x:v>382</x:v>
      </x:c>
      <x:c r="D31" s="8" t="s">
        <x:v>140</x:v>
      </x:c>
      <x:c r="E31" s="8" t="s">
        <x:v>201</x:v>
      </x:c>
      <x:c r="F31" s="8" t="s">
        <x:v>56</x:v>
      </x:c>
      <x:c r="G31" s="8" t="s">
        <x:v>383</x:v>
      </x:c>
      <x:c r="H31" s="8" t="s">
        <x:v>384</x:v>
      </x:c>
      <x:c r="I31" s="8" t="s">
        <x:v>396</x:v>
      </x:c>
      <x:c r="J31" s="8" t="s">
        <x:v>205</x:v>
      </x:c>
      <x:c r="K31" s="8" t="s">
        <x:v>397</x:v>
      </x:c>
      <x:c r="L31" s="8" t="s">
        <x:v>387</x:v>
      </x:c>
      <x:c r="M31" s="8" t="s">
        <x:v>388</x:v>
      </x:c>
      <x:c r="N31" s="8" t="s">
        <x:v>209</x:v>
      </x:c>
    </x:row>
    <x:row r="32" ht="38" customHeight="1">
      <x:c r="A32" s="7" t="s">
        <x:v>149</x:v>
      </x:c>
      <x:c r="B32" s="7" t="s">
        <x:v>150</x:v>
      </x:c>
      <x:c r="C32" s="7" t="s">
        <x:v>398</x:v>
      </x:c>
      <x:c r="D32" s="7" t="s">
        <x:v>151</x:v>
      </x:c>
      <x:c r="E32" s="7" t="s">
        <x:v>399</x:v>
      </x:c>
      <x:c r="F32" s="7" t="s">
        <x:v>56</x:v>
      </x:c>
      <x:c r="G32" s="7" t="s">
        <x:v>400</x:v>
      </x:c>
      <x:c r="H32" s="7" t="s">
        <x:v>401</x:v>
      </x:c>
      <x:c r="I32" s="7" t="s">
        <x:v>402</x:v>
      </x:c>
      <x:c r="J32" s="7" t="s">
        <x:v>205</x:v>
      </x:c>
      <x:c r="K32" s="7" t="s">
        <x:v>403</x:v>
      </x:c>
      <x:c r="L32" s="7" t="s">
        <x:v>404</x:v>
      </x:c>
      <x:c r="M32" s="7" t="s">
        <x:v>405</x:v>
      </x:c>
      <x:c r="N32" s="7" t="s">
        <x:v>209</x:v>
      </x:c>
    </x:row>
    <x:row r="33" ht="38" customHeight="1">
      <x:c r="A33" s="8" t="s">
        <x:v>152</x:v>
      </x:c>
      <x:c r="B33" s="8" t="s">
        <x:v>153</x:v>
      </x:c>
      <x:c r="C33" s="8" t="s">
        <x:v>406</x:v>
      </x:c>
      <x:c r="D33" s="8" t="s">
        <x:v>155</x:v>
      </x:c>
      <x:c r="E33" s="8" t="s">
        <x:v>201</x:v>
      </x:c>
      <x:c r="F33" s="8" t="s">
        <x:v>56</x:v>
      </x:c>
      <x:c r="G33" s="8" t="s">
        <x:v>407</x:v>
      </x:c>
      <x:c r="H33" s="8" t="s">
        <x:v>408</x:v>
      </x:c>
      <x:c r="I33" s="8" t="s">
        <x:v>409</x:v>
      </x:c>
      <x:c r="J33" s="8" t="s">
        <x:v>205</x:v>
      </x:c>
      <x:c r="K33" s="8" t="s">
        <x:v>410</x:v>
      </x:c>
      <x:c r="L33" s="8" t="s">
        <x:v>411</x:v>
      </x:c>
      <x:c r="M33" s="8" t="s">
        <x:v>412</x:v>
      </x:c>
      <x:c r="N33" s="8" t="s">
        <x:v>209</x:v>
      </x:c>
    </x:row>
    <x:row r="34" ht="62" customHeight="1">
      <x:c r="A34" s="7" t="s">
        <x:v>156</x:v>
      </x:c>
      <x:c r="B34" s="7" t="s">
        <x:v>157</x:v>
      </x:c>
      <x:c r="C34" s="7" t="s">
        <x:v>413</x:v>
      </x:c>
      <x:c r="D34" s="7" t="s">
        <x:v>158</x:v>
      </x:c>
      <x:c r="E34" s="7" t="s">
        <x:v>414</x:v>
      </x:c>
      <x:c r="F34" s="7" t="s">
        <x:v>56</x:v>
      </x:c>
      <x:c r="G34" s="7" t="s">
        <x:v>415</x:v>
      </x:c>
      <x:c r="H34" s="7" t="s">
        <x:v>416</x:v>
      </x:c>
      <x:c r="I34" s="7" t="s">
        <x:v>417</x:v>
      </x:c>
      <x:c r="J34" s="7" t="s">
        <x:v>205</x:v>
      </x:c>
      <x:c r="K34" s="7" t="s">
        <x:v>418</x:v>
      </x:c>
      <x:c r="L34" s="7" t="s">
        <x:v>419</x:v>
      </x:c>
      <x:c r="M34" s="7" t="s">
        <x:v>420</x:v>
      </x:c>
      <x:c r="N34" s="7" t="s">
        <x:v>209</x:v>
      </x:c>
    </x:row>
    <x:row r="35" ht="62" customHeight="1">
      <x:c r="A35" s="8" t="s">
        <x:v>159</x:v>
      </x:c>
      <x:c r="B35" s="8" t="s">
        <x:v>160</x:v>
      </x:c>
      <x:c r="C35" s="8" t="s">
        <x:v>421</x:v>
      </x:c>
      <x:c r="D35" s="8" t="s">
        <x:v>161</x:v>
      </x:c>
      <x:c r="E35" s="8" t="s">
        <x:v>422</x:v>
      </x:c>
      <x:c r="F35" s="8" t="s">
        <x:v>56</x:v>
      </x:c>
      <x:c r="G35" s="8" t="s">
        <x:v>423</x:v>
      </x:c>
      <x:c r="H35" s="8" t="s">
        <x:v>424</x:v>
      </x:c>
      <x:c r="I35" s="8" t="s">
        <x:v>425</x:v>
      </x:c>
      <x:c r="J35" s="8" t="s">
        <x:v>205</x:v>
      </x:c>
      <x:c r="K35" s="8" t="s">
        <x:v>426</x:v>
      </x:c>
      <x:c r="L35" s="8" t="s">
        <x:v>427</x:v>
      </x:c>
      <x:c r="M35" s="8" t="s">
        <x:v>428</x:v>
      </x:c>
      <x:c r="N35" s="8" t="s">
        <x:v>209</x:v>
      </x:c>
    </x:row>
    <x:row r="36" ht="38" customHeight="1">
      <x:c r="A36" s="7" t="s">
        <x:v>162</x:v>
      </x:c>
      <x:c r="B36" s="7" t="s">
        <x:v>163</x:v>
      </x:c>
      <x:c r="C36" s="7" t="s">
        <x:v>429</x:v>
      </x:c>
      <x:c r="D36" s="7" t="s">
        <x:v>165</x:v>
      </x:c>
      <x:c r="E36" s="7" t="s">
        <x:v>430</x:v>
      </x:c>
      <x:c r="F36" s="7" t="s">
        <x:v>56</x:v>
      </x:c>
      <x:c r="G36" s="7" t="s">
        <x:v>431</x:v>
      </x:c>
      <x:c r="H36" s="7" t="s">
        <x:v>432</x:v>
      </x:c>
      <x:c r="I36" s="7" t="s">
        <x:v>433</x:v>
      </x:c>
      <x:c r="J36" s="7" t="s">
        <x:v>205</x:v>
      </x:c>
      <x:c r="K36" s="7" t="s">
        <x:v>434</x:v>
      </x:c>
      <x:c r="L36" s="7" t="s">
        <x:v>435</x:v>
      </x:c>
      <x:c r="M36" s="7" t="s">
        <x:v>436</x:v>
      </x:c>
      <x:c r="N36" s="7" t="s">
        <x:v>209</x:v>
      </x:c>
    </x:row>
    <x:row r="37" ht="62" customHeight="1">
      <x:c r="A37" s="8" t="s">
        <x:v>166</x:v>
      </x:c>
      <x:c r="B37" s="8" t="s">
        <x:v>167</x:v>
      </x:c>
      <x:c r="C37" s="8" t="s">
        <x:v>437</x:v>
      </x:c>
      <x:c r="D37" s="8" t="s">
        <x:v>168</x:v>
      </x:c>
      <x:c r="E37" s="8" t="s">
        <x:v>211</x:v>
      </x:c>
      <x:c r="F37" s="8" t="s">
        <x:v>438</x:v>
      </x:c>
      <x:c r="G37" s="8" t="s">
        <x:v>439</x:v>
      </x:c>
      <x:c r="H37" s="8" t="s">
        <x:v>440</x:v>
      </x:c>
      <x:c r="I37" s="8" t="s">
        <x:v>441</x:v>
      </x:c>
      <x:c r="J37" s="8" t="s">
        <x:v>238</x:v>
      </x:c>
      <x:c r="K37" s="8" t="s">
        <x:v>442</x:v>
      </x:c>
      <x:c r="L37" s="8" t="s">
        <x:v>443</x:v>
      </x:c>
      <x:c r="M37" s="8" t="s">
        <x:v>444</x:v>
      </x:c>
      <x:c r="N37" s="8" t="s">
        <x:v>209</x:v>
      </x:c>
    </x:row>
    <x:row r="38" ht="62" customHeight="1">
      <x:c r="A38" s="7" t="s">
        <x:v>169</x:v>
      </x:c>
      <x:c r="B38" s="7" t="s">
        <x:v>170</x:v>
      </x:c>
      <x:c r="C38" s="7" t="s">
        <x:v>445</x:v>
      </x:c>
      <x:c r="D38" s="7" t="s">
        <x:v>171</x:v>
      </x:c>
      <x:c r="E38" s="7" t="s">
        <x:v>446</x:v>
      </x:c>
      <x:c r="F38" s="7" t="s">
        <x:v>56</x:v>
      </x:c>
      <x:c r="G38" s="7" t="s">
        <x:v>447</x:v>
      </x:c>
      <x:c r="H38" s="7" t="s">
        <x:v>448</x:v>
      </x:c>
      <x:c r="I38" s="7" t="s">
        <x:v>449</x:v>
      </x:c>
      <x:c r="J38" s="7" t="s">
        <x:v>205</x:v>
      </x:c>
      <x:c r="K38" s="7" t="s">
        <x:v>450</x:v>
      </x:c>
      <x:c r="L38" s="7" t="s">
        <x:v>451</x:v>
      </x:c>
      <x:c r="M38" s="7" t="s">
        <x:v>452</x:v>
      </x:c>
      <x:c r="N38" s="7" t="s">
        <x:v>209</x:v>
      </x:c>
    </x:row>
    <x:row r="39" ht="38" customHeight="1">
      <x:c r="A39" s="8" t="s">
        <x:v>172</x:v>
      </x:c>
      <x:c r="B39" s="8" t="s">
        <x:v>173</x:v>
      </x:c>
      <x:c r="C39" s="8" t="s">
        <x:v>453</x:v>
      </x:c>
      <x:c r="D39" s="8" t="s">
        <x:v>174</x:v>
      </x:c>
      <x:c r="E39" s="8" t="s">
        <x:v>446</x:v>
      </x:c>
      <x:c r="F39" s="8" t="s">
        <x:v>56</x:v>
      </x:c>
      <x:c r="G39" s="8" t="s">
        <x:v>454</x:v>
      </x:c>
      <x:c r="H39" s="8" t="s">
        <x:v>455</x:v>
      </x:c>
      <x:c r="I39" s="8" t="s">
        <x:v>456</x:v>
      </x:c>
      <x:c r="J39" s="8" t="s">
        <x:v>205</x:v>
      </x:c>
      <x:c r="K39" s="8" t="s">
        <x:v>457</x:v>
      </x:c>
      <x:c r="L39" s="8" t="s">
        <x:v>458</x:v>
      </x:c>
      <x:c r="M39" s="8" t="s">
        <x:v>459</x:v>
      </x:c>
      <x:c r="N39" s="8" t="s">
        <x:v>209</x:v>
      </x:c>
    </x:row>
    <x:row r="40" ht="38" customHeight="1">
      <x:c r="A40" s="7" t="s">
        <x:v>175</x:v>
      </x:c>
      <x:c r="B40" s="7" t="s">
        <x:v>176</x:v>
      </x:c>
      <x:c r="C40" s="7" t="s">
        <x:v>460</x:v>
      </x:c>
      <x:c r="D40" s="7" t="s">
        <x:v>177</x:v>
      </x:c>
      <x:c r="E40" s="7" t="s">
        <x:v>446</x:v>
      </x:c>
      <x:c r="F40" s="7" t="s">
        <x:v>56</x:v>
      </x:c>
      <x:c r="G40" s="7" t="s">
        <x:v>461</x:v>
      </x:c>
      <x:c r="H40" s="7" t="s">
        <x:v>462</x:v>
      </x:c>
      <x:c r="I40" s="7" t="s">
        <x:v>463</x:v>
      </x:c>
      <x:c r="J40" s="7" t="s">
        <x:v>205</x:v>
      </x:c>
      <x:c r="K40" s="7" t="s">
        <x:v>464</x:v>
      </x:c>
      <x:c r="L40" s="7" t="s">
        <x:v>465</x:v>
      </x:c>
      <x:c r="M40" s="7" t="s">
        <x:v>466</x:v>
      </x:c>
      <x:c r="N40" s="7" t="s">
        <x:v>209</x:v>
      </x:c>
    </x:row>
    <x:row r="41" ht="62" customHeight="1">
      <x:c r="A41" s="8" t="s">
        <x:v>178</x:v>
      </x:c>
      <x:c r="B41" s="8" t="s">
        <x:v>179</x:v>
      </x:c>
      <x:c r="C41" s="8" t="s">
        <x:v>467</x:v>
      </x:c>
      <x:c r="D41" s="8" t="s">
        <x:v>180</x:v>
      </x:c>
      <x:c r="E41" s="8" t="s">
        <x:v>211</x:v>
      </x:c>
      <x:c r="F41" s="8" t="s">
        <x:v>468</x:v>
      </x:c>
      <x:c r="G41" s="8" t="s">
        <x:v>469</x:v>
      </x:c>
      <x:c r="H41" s="8" t="s">
        <x:v>470</x:v>
      </x:c>
      <x:c r="I41" s="8" t="s">
        <x:v>471</x:v>
      </x:c>
      <x:c r="J41" s="8" t="s">
        <x:v>472</x:v>
      </x:c>
      <x:c r="K41" s="8" t="s">
        <x:v>473</x:v>
      </x:c>
      <x:c r="L41" s="8" t="s">
        <x:v>474</x:v>
      </x:c>
      <x:c r="M41" s="8" t="s">
        <x:v>475</x:v>
      </x:c>
      <x:c r="N41" s="8" t="s">
        <x:v>209</x:v>
      </x:c>
    </x:row>
    <x:row r="42" ht="38" customHeight="1">
      <x:c r="A42" s="7" t="s">
        <x:v>181</x:v>
      </x:c>
      <x:c r="B42" s="7" t="s">
        <x:v>182</x:v>
      </x:c>
      <x:c r="C42" s="7" t="s">
        <x:v>476</x:v>
      </x:c>
      <x:c r="D42" s="7" t="s">
        <x:v>183</x:v>
      </x:c>
      <x:c r="E42" s="7" t="s">
        <x:v>446</x:v>
      </x:c>
      <x:c r="F42" s="7" t="s">
        <x:v>56</x:v>
      </x:c>
      <x:c r="G42" s="7" t="s">
        <x:v>477</x:v>
      </x:c>
      <x:c r="H42" s="7" t="s">
        <x:v>478</x:v>
      </x:c>
      <x:c r="I42" s="7" t="s">
        <x:v>479</x:v>
      </x:c>
      <x:c r="J42" s="7" t="s">
        <x:v>205</x:v>
      </x:c>
      <x:c r="K42" s="7" t="s">
        <x:v>480</x:v>
      </x:c>
      <x:c r="L42" s="7" t="s">
        <x:v>481</x:v>
      </x:c>
      <x:c r="M42" s="7" t="s">
        <x:v>482</x:v>
      </x:c>
      <x:c r="N42" s="7" t="s">
        <x:v>209</x:v>
      </x:c>
    </x:row>
    <x:row r="43" ht="62" customHeight="1">
      <x:c r="A43" s="8" t="s">
        <x:v>184</x:v>
      </x:c>
      <x:c r="B43" s="8" t="s">
        <x:v>185</x:v>
      </x:c>
      <x:c r="C43" s="8" t="s">
        <x:v>483</x:v>
      </x:c>
      <x:c r="D43" s="8" t="s">
        <x:v>186</x:v>
      </x:c>
      <x:c r="E43" s="8" t="s">
        <x:v>211</x:v>
      </x:c>
      <x:c r="F43" s="8" t="s">
        <x:v>484</x:v>
      </x:c>
      <x:c r="G43" s="8" t="s">
        <x:v>485</x:v>
      </x:c>
      <x:c r="H43" s="8" t="s">
        <x:v>486</x:v>
      </x:c>
      <x:c r="I43" s="8" t="s">
        <x:v>487</x:v>
      </x:c>
      <x:c r="J43" s="8" t="s">
        <x:v>488</x:v>
      </x:c>
      <x:c r="K43" s="8" t="s">
        <x:v>489</x:v>
      </x:c>
      <x:c r="L43" s="8" t="s">
        <x:v>490</x:v>
      </x:c>
      <x:c r="M43" s="8" t="s">
        <x:v>491</x:v>
      </x:c>
      <x:c r="N43" s="8" t="s">
        <x:v>209</x:v>
      </x:c>
    </x:row>
  </x:sheetData>
  <x:mergeCells>
    <x:mergeCell ref="A1:N1"/>
    <x:mergeCell ref="A2:N2"/>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3" topLeftCell="A4" activePane="bottomLeft" state="frozen"/>
    </x:sheetView>
  </x:sheetViews>
  <x:sheetFormatPr defaultColWidth="9" defaultRowHeight="14.25"/>
  <x:cols>
    <x:col min="1" max="1" width="20" customWidth="1"/>
    <x:col min="2" max="2" width="13" customWidth="1"/>
    <x:col min="3" max="3" width="17" customWidth="1"/>
    <x:col min="4" max="4" width="24" customWidth="1"/>
    <x:col min="5" max="5" width="11" customWidth="1"/>
    <x:col min="6" max="6" width="100" customWidth="1"/>
    <x:col min="7" max="7" width="48" customWidth="1"/>
    <x:col min="8" max="8" width="13" customWidth="1"/>
    <x:col min="9" max="9" width="35" customWidth="1"/>
    <x:col min="10" max="10" width="62" customWidth="1"/>
  </x:cols>
  <x:sheetData>
    <x:row r="1" ht="34" customHeight="1">
      <x:c r="A1" s="1" t="inlineStr">
        <x:is>
          <x:t xml:space="preserve">03_宠物技能</x:t>
        </x:is>
      </x:c>
      <x:c r="B1" s="1"/>
      <x:c r="C1" s="1"/>
      <x:c r="D1" s="1"/>
      <x:c r="E1" s="1"/>
      <x:c r="F1" s="1"/>
      <x:c r="G1" s="1"/>
      <x:c r="H1" s="1"/>
      <x:c r="I1" s="1"/>
      <x:c r="J1" s="1"/>
    </x:row>
    <x:row r="2" ht="32" customHeight="1">
      <x:c r="A2" s="2" t="inlineStr">
        <x:is>
          <x:t xml:space="preserve">宠物效果数值和技能说明；修改 E 列时同步修改 F、J 列百分比。商品与价格由 data/shop.json 管理。</x:t>
        </x:is>
      </x:c>
      <x:c r="B2" s="2"/>
      <x:c r="C2" s="2"/>
      <x:c r="D2" s="2"/>
      <x:c r="E2" s="2"/>
      <x:c r="F2" s="2"/>
      <x:c r="G2" s="2"/>
      <x:c r="H2" s="2"/>
      <x:c r="I2" s="2"/>
      <x:c r="J2" s="2"/>
    </x:row>
    <x:row r="3" ht="28" customHeight="1">
      <x:c r="A3" s="5" t="s">
        <x:v>492</x:v>
      </x:c>
      <x:c r="B3" s="5" t="s">
        <x:v>23</x:v>
      </x:c>
      <x:c r="C3" s="5" t="s">
        <x:v>493</x:v>
      </x:c>
      <x:c r="D3" s="5" t="s">
        <x:v>494</x:v>
      </x:c>
      <x:c r="E3" s="5" t="s">
        <x:v>495</x:v>
      </x:c>
      <x:c r="F3" s="5" t="s">
        <x:v>496</x:v>
      </x:c>
      <x:c r="G3" s="5" t="s">
        <x:v>497</x:v>
      </x:c>
      <x:c r="H3" s="5" t="s">
        <x:v>498</x:v>
      </x:c>
      <x:c r="I3" s="5" t="s">
        <x:v>499</x:v>
      </x:c>
      <x:c r="J3" s="5" t="inlineStr">
        <x:is>
          <x:t xml:space="preserve">短说明</x:t>
        </x:is>
      </x:c>
    </x:row>
    <x:row r="4" ht="38" customHeight="1">
      <x:c r="A4" s="7" t="s">
        <x:v>500</x:v>
      </x:c>
      <x:c r="B4" s="7" t="s">
        <x:v>501</x:v>
      </x:c>
      <x:c r="C4" s="7" t="s">
        <x:v>502</x:v>
      </x:c>
      <x:c r="D4" s="7" t="s">
        <x:v>503</x:v>
      </x:c>
      <x:c r="E4" s="7" t="s">
        <x:v>79</x:v>
      </x:c>
      <x:c r="F4" s="7" t="s">
        <x:v>504</x:v>
      </x:c>
      <x:c r="G4" s="7" t="s">
        <x:v>505</x:v>
      </x:c>
      <x:c r="H4" s="7" t="s">
        <x:v>80</x:v>
      </x:c>
      <x:c r="I4" s="7" t="s">
        <x:v>506</x:v>
      </x:c>
      <x:c r="J4" s="7" t="s">
        <x:v>507</x:v>
      </x:c>
    </x:row>
    <x:row r="5" ht="38" customHeight="1">
      <x:c r="A5" s="8" t="s">
        <x:v>508</x:v>
      </x:c>
      <x:c r="B5" s="8" t="s">
        <x:v>509</x:v>
      </x:c>
      <x:c r="C5" s="8" t="s">
        <x:v>510</x:v>
      </x:c>
      <x:c r="D5" s="8" t="s">
        <x:v>511</x:v>
      </x:c>
      <x:c r="E5" s="8" t="s">
        <x:v>55</x:v>
      </x:c>
      <x:c r="F5" s="8" t="s">
        <x:v>512</x:v>
      </x:c>
      <x:c r="G5" s="8" t="s">
        <x:v>513</x:v>
      </x:c>
      <x:c r="H5" s="8" t="s">
        <x:v>80</x:v>
      </x:c>
      <x:c r="I5" s="8" t="s">
        <x:v>506</x:v>
      </x:c>
      <x:c r="J5" s="8" t="s">
        <x:v>514</x:v>
      </x:c>
    </x:row>
    <x:row r="6" ht="38" customHeight="1">
      <x:c r="A6" s="7" t="s">
        <x:v>515</x:v>
      </x:c>
      <x:c r="B6" s="7" t="s">
        <x:v>516</x:v>
      </x:c>
      <x:c r="C6" s="7" t="s">
        <x:v>517</x:v>
      </x:c>
      <x:c r="D6" s="7" t="s">
        <x:v>518</x:v>
      </x:c>
      <x:c r="E6" s="7" t="s">
        <x:v>79</x:v>
      </x:c>
      <x:c r="F6" s="7" t="s">
        <x:v>519</x:v>
      </x:c>
      <x:c r="G6" s="7" t="s">
        <x:v>505</x:v>
      </x:c>
      <x:c r="H6" s="7" t="s">
        <x:v>80</x:v>
      </x:c>
      <x:c r="I6" s="7" t="s">
        <x:v>506</x:v>
      </x:c>
      <x:c r="J6" s="7" t="s">
        <x:v>520</x:v>
      </x:c>
    </x:row>
    <x:row r="7" ht="38" customHeight="1">
      <x:c r="A7" s="8" t="s">
        <x:v>521</x:v>
      </x:c>
      <x:c r="B7" s="8" t="s">
        <x:v>522</x:v>
      </x:c>
      <x:c r="C7" s="8" t="s">
        <x:v>523</x:v>
      </x:c>
      <x:c r="D7" s="8" t="s">
        <x:v>524</x:v>
      </x:c>
      <x:c r="E7" s="8" t="s">
        <x:v>525</x:v>
      </x:c>
      <x:c r="F7" s="8" t="s">
        <x:v>526</x:v>
      </x:c>
      <x:c r="G7" s="8" t="s">
        <x:v>527</x:v>
      </x:c>
      <x:c r="H7" s="8" t="s">
        <x:v>528</x:v>
      </x:c>
      <x:c r="I7" s="8" t="s">
        <x:v>506</x:v>
      </x:c>
      <x:c r="J7" s="8" t="s">
        <x:v>529</x:v>
      </x:c>
    </x:row>
    <x:row r="8" ht="38" customHeight="1">
      <x:c r="A8" s="7" t="s">
        <x:v>530</x:v>
      </x:c>
      <x:c r="B8" s="7" t="s">
        <x:v>531</x:v>
      </x:c>
      <x:c r="C8" s="7" t="s">
        <x:v>532</x:v>
      </x:c>
      <x:c r="D8" s="7" t="s">
        <x:v>533</x:v>
      </x:c>
      <x:c r="E8" s="7" t="s">
        <x:v>55</x:v>
      </x:c>
      <x:c r="F8" s="7" t="s">
        <x:v>534</x:v>
      </x:c>
      <x:c r="G8" s="7" t="s">
        <x:v>535</x:v>
      </x:c>
      <x:c r="H8" s="7" t="s">
        <x:v>528</x:v>
      </x:c>
      <x:c r="I8" s="7" t="s">
        <x:v>506</x:v>
      </x:c>
      <x:c r="J8" s="7" t="s">
        <x:v>536</x:v>
      </x:c>
    </x:row>
  </x:sheetData>
  <x:mergeCells>
    <x:mergeCell ref="A1:J1"/>
    <x:mergeCell ref="A2:J2"/>
  </x:mergeCells>
  <x:pageMargins left="0.7" right="0.7" top="0.75" bottom="0.75" header="0.3" footer="0.3"/>
</x:worksheet>
</file>

<file path=xl/worksheets/sheet5.xml><?xml version="1.0" encoding="utf-8"?>
<x:worksheet xmlns:x="http://schemas.openxmlformats.org/spreadsheetml/2006/main">
  <x:sheetViews>
    <x:sheetView showGridLines="0" workbookViewId="0">
      <x:pane ySplit="3" topLeftCell="A4" activePane="bottomLeft" state="frozen"/>
    </x:sheetView>
  </x:sheetViews>
  <x:sheetFormatPr defaultColWidth="9" defaultRowHeight="14.25"/>
  <x:cols>
    <x:col min="1" max="1" width="18" customWidth="1"/>
    <x:col min="2" max="2" width="13" customWidth="1"/>
    <x:col min="3" max="3" width="30" customWidth="1"/>
    <x:col min="4" max="4" width="110" customWidth="1"/>
    <x:col min="5" max="5" width="34" customWidth="1"/>
    <x:col min="6" max="6" width="26" customWidth="1"/>
  </x:cols>
  <x:sheetData>
    <x:row r="1" ht="34" customHeight="1">
      <x:c r="A1" s="1" t="s">
        <x:v>537</x:v>
      </x:c>
      <x:c r="B1" s="1"/>
      <x:c r="C1" s="1"/>
      <x:c r="D1" s="1"/>
      <x:c r="E1" s="1"/>
      <x:c r="F1" s="1"/>
    </x:row>
    <x:row r="2" ht="32" customHeight="1">
      <x:c r="A2" s="2" t="s">
        <x:v>538</x:v>
      </x:c>
      <x:c r="B2" s="2"/>
      <x:c r="C2" s="2"/>
      <x:c r="D2" s="2"/>
      <x:c r="E2" s="2"/>
      <x:c r="F2" s="2"/>
    </x:row>
    <x:row r="3" ht="28" customHeight="1">
      <x:c r="A3" s="5" t="s">
        <x:v>539</x:v>
      </x:c>
      <x:c r="B3" s="5" t="s">
        <x:v>540</x:v>
      </x:c>
      <x:c r="C3" s="5" t="s">
        <x:v>23</x:v>
      </x:c>
      <x:c r="D3" s="5" t="s">
        <x:v>541</x:v>
      </x:c>
      <x:c r="E3" s="5" t="s">
        <x:v>199</x:v>
      </x:c>
      <x:c r="F3" s="5" t="s">
        <x:v>542</x:v>
      </x:c>
    </x:row>
    <x:row r="4" ht="38" customHeight="1">
      <x:c r="A4" s="7" t="s">
        <x:v>543</x:v>
      </x:c>
      <x:c r="B4" s="7">
        <x:v>1</x:v>
      </x:c>
      <x:c r="C4" s="7" t="s">
        <x:v>544</x:v>
      </x:c>
      <x:c r="D4" s="7" t="s">
        <x:v>545</x:v>
      </x:c>
      <x:c r="E4" s="7" t="s">
        <x:v>546</x:v>
      </x:c>
      <x:c r="F4" s="7" t="s">
        <x:v>547</x:v>
      </x:c>
    </x:row>
    <x:row r="5" ht="38" customHeight="1">
      <x:c r="A5" s="8" t="s">
        <x:v>543</x:v>
      </x:c>
      <x:c r="B5" s="8">
        <x:v>3</x:v>
      </x:c>
      <x:c r="C5" s="8" t="s">
        <x:v>548</x:v>
      </x:c>
      <x:c r="D5" s="8" t="s">
        <x:v>549</x:v>
      </x:c>
      <x:c r="E5" s="8" t="s">
        <x:v>546</x:v>
      </x:c>
      <x:c r="F5" s="8" t="s">
        <x:v>550</x:v>
      </x:c>
    </x:row>
    <x:row r="6" ht="38" customHeight="1">
      <x:c r="A6" s="7" t="s">
        <x:v>543</x:v>
      </x:c>
      <x:c r="B6" s="7">
        <x:v>7</x:v>
      </x:c>
      <x:c r="C6" s="7" t="s">
        <x:v>551</x:v>
      </x:c>
      <x:c r="D6" s="7" t="s">
        <x:v>552</x:v>
      </x:c>
      <x:c r="E6" s="7" t="s">
        <x:v>546</x:v>
      </x:c>
      <x:c r="F6" s="7" t="s">
        <x:v>553</x:v>
      </x:c>
    </x:row>
    <x:row r="7" ht="38" customHeight="1">
      <x:c r="A7" s="8" t="s">
        <x:v>554</x:v>
      </x:c>
      <x:c r="B7" s="8">
        <x:v>1</x:v>
      </x:c>
      <x:c r="C7" s="8" t="s">
        <x:v>555</x:v>
      </x:c>
      <x:c r="D7" s="8" t="s">
        <x:v>556</x:v>
      </x:c>
      <x:c r="E7" s="8" t="s">
        <x:v>546</x:v>
      </x:c>
      <x:c r="F7" s="8" t="s">
        <x:v>557</x:v>
      </x:c>
    </x:row>
    <x:row r="8" ht="38" customHeight="1">
      <x:c r="A8" s="7" t="s">
        <x:v>554</x:v>
      </x:c>
      <x:c r="B8" s="7">
        <x:v>2</x:v>
      </x:c>
      <x:c r="C8" s="7" t="s">
        <x:v>558</x:v>
      </x:c>
      <x:c r="D8" s="7" t="s">
        <x:v>559</x:v>
      </x:c>
      <x:c r="E8" s="7" t="s">
        <x:v>546</x:v>
      </x:c>
      <x:c r="F8" s="7" t="s">
        <x:v>560</x:v>
      </x:c>
    </x:row>
    <x:row r="9" ht="38" customHeight="1">
      <x:c r="A9" s="8" t="s">
        <x:v>554</x:v>
      </x:c>
      <x:c r="B9" s="8">
        <x:v>5</x:v>
      </x:c>
      <x:c r="C9" s="8" t="s">
        <x:v>561</x:v>
      </x:c>
      <x:c r="D9" s="8" t="s">
        <x:v>562</x:v>
      </x:c>
      <x:c r="E9" s="8" t="s">
        <x:v>546</x:v>
      </x:c>
      <x:c r="F9" s="8" t="s">
        <x:v>563</x:v>
      </x:c>
    </x:row>
    <x:row r="10" ht="38" customHeight="1">
      <x:c r="A10" s="7" t="s">
        <x:v>554</x:v>
      </x:c>
      <x:c r="B10" s="7">
        <x:v>7</x:v>
      </x:c>
      <x:c r="C10" s="7" t="s">
        <x:v>564</x:v>
      </x:c>
      <x:c r="D10" s="7" t="s">
        <x:v>565</x:v>
      </x:c>
      <x:c r="E10" s="7" t="s">
        <x:v>546</x:v>
      </x:c>
      <x:c r="F10" s="7" t="s">
        <x:v>566</x:v>
      </x:c>
    </x:row>
    <x:row r="11" ht="38" customHeight="1">
      <x:c r="A11" s="8" t="s">
        <x:v>567</x:v>
      </x:c>
      <x:c r="B11" s="8">
        <x:v>1</x:v>
      </x:c>
      <x:c r="C11" s="8" t="s">
        <x:v>568</x:v>
      </x:c>
      <x:c r="D11" s="8" t="s">
        <x:v>569</x:v>
      </x:c>
      <x:c r="E11" s="8" t="s">
        <x:v>546</x:v>
      </x:c>
      <x:c r="F11" s="8" t="s">
        <x:v>570</x:v>
      </x:c>
    </x:row>
    <x:row r="12" ht="38" customHeight="1">
      <x:c r="A12" s="7" t="s">
        <x:v>567</x:v>
      </x:c>
      <x:c r="B12" s="7">
        <x:v>2</x:v>
      </x:c>
      <x:c r="C12" s="7" t="s">
        <x:v>571</x:v>
      </x:c>
      <x:c r="D12" s="7" t="s">
        <x:v>572</x:v>
      </x:c>
      <x:c r="E12" s="7" t="s">
        <x:v>546</x:v>
      </x:c>
      <x:c r="F12" s="7" t="s">
        <x:v>573</x:v>
      </x:c>
    </x:row>
    <x:row r="13" ht="38" customHeight="1">
      <x:c r="A13" s="8" t="s">
        <x:v>567</x:v>
      </x:c>
      <x:c r="B13" s="8">
        <x:v>4</x:v>
      </x:c>
      <x:c r="C13" s="8" t="s">
        <x:v>574</x:v>
      </x:c>
      <x:c r="D13" s="8" t="s">
        <x:v>575</x:v>
      </x:c>
      <x:c r="E13" s="8" t="s">
        <x:v>546</x:v>
      </x:c>
      <x:c r="F13" s="8" t="s">
        <x:v>573</x:v>
      </x:c>
    </x:row>
    <x:row r="14" ht="38" customHeight="1">
      <x:c r="A14" s="7" t="s">
        <x:v>567</x:v>
      </x:c>
      <x:c r="B14" s="7">
        <x:v>7</x:v>
      </x:c>
      <x:c r="C14" s="7" t="s">
        <x:v>576</x:v>
      </x:c>
      <x:c r="D14" s="7" t="s">
        <x:v>577</x:v>
      </x:c>
      <x:c r="E14" s="7" t="s">
        <x:v>546</x:v>
      </x:c>
      <x:c r="F14" s="7" t="s">
        <x:v>578</x:v>
      </x:c>
    </x:row>
    <x:row r="15" ht="38" customHeight="1">
      <x:c r="A15" s="8" t="s">
        <x:v>579</x:v>
      </x:c>
      <x:c r="B15" s="8">
        <x:v>1</x:v>
      </x:c>
      <x:c r="C15" s="8" t="s">
        <x:v>580</x:v>
      </x:c>
      <x:c r="D15" s="8" t="s">
        <x:v>581</x:v>
      </x:c>
      <x:c r="E15" s="8" t="s">
        <x:v>546</x:v>
      </x:c>
      <x:c r="F15" s="8" t="s">
        <x:v>582</x:v>
      </x:c>
    </x:row>
    <x:row r="16" ht="38" customHeight="1">
      <x:c r="A16" s="7" t="s">
        <x:v>579</x:v>
      </x:c>
      <x:c r="B16" s="7">
        <x:v>2</x:v>
      </x:c>
      <x:c r="C16" s="7" t="s">
        <x:v>583</x:v>
      </x:c>
      <x:c r="D16" s="7" t="s">
        <x:v>584</x:v>
      </x:c>
      <x:c r="E16" s="7" t="s">
        <x:v>546</x:v>
      </x:c>
      <x:c r="F16" s="7" t="s">
        <x:v>585</x:v>
      </x:c>
    </x:row>
    <x:row r="17" ht="38" customHeight="1">
      <x:c r="A17" s="8" t="s">
        <x:v>579</x:v>
      </x:c>
      <x:c r="B17" s="8">
        <x:v>7</x:v>
      </x:c>
      <x:c r="C17" s="8" t="s">
        <x:v>586</x:v>
      </x:c>
      <x:c r="D17" s="8" t="s">
        <x:v>587</x:v>
      </x:c>
      <x:c r="E17" s="8" t="s">
        <x:v>546</x:v>
      </x:c>
      <x:c r="F17" s="8" t="s">
        <x:v>588</x:v>
      </x:c>
    </x:row>
    <x:row r="18" ht="38" customHeight="1">
      <x:c r="A18" s="7" t="s">
        <x:v>162</x:v>
      </x:c>
      <x:c r="B18" s="7">
        <x:v>1</x:v>
      </x:c>
      <x:c r="C18" s="7" t="s">
        <x:v>589</x:v>
      </x:c>
      <x:c r="D18" s="7" t="s">
        <x:v>590</x:v>
      </x:c>
      <x:c r="E18" s="7" t="s">
        <x:v>546</x:v>
      </x:c>
      <x:c r="F18" s="7" t="s">
        <x:v>591</x:v>
      </x:c>
    </x:row>
    <x:row r="19" ht="38" customHeight="1">
      <x:c r="A19" s="8" t="s">
        <x:v>162</x:v>
      </x:c>
      <x:c r="B19" s="8">
        <x:v>2</x:v>
      </x:c>
      <x:c r="C19" s="8" t="s">
        <x:v>592</x:v>
      </x:c>
      <x:c r="D19" s="8" t="s">
        <x:v>593</x:v>
      </x:c>
      <x:c r="E19" s="8" t="s">
        <x:v>546</x:v>
      </x:c>
      <x:c r="F19" s="8" t="s">
        <x:v>594</x:v>
      </x:c>
    </x:row>
    <x:row r="20" ht="38" customHeight="1">
      <x:c r="A20" s="7" t="s">
        <x:v>162</x:v>
      </x:c>
      <x:c r="B20" s="7">
        <x:v>4</x:v>
      </x:c>
      <x:c r="C20" s="7" t="s">
        <x:v>595</x:v>
      </x:c>
      <x:c r="D20" s="7" t="s">
        <x:v>596</x:v>
      </x:c>
      <x:c r="E20" s="7" t="s">
        <x:v>546</x:v>
      </x:c>
      <x:c r="F20" s="7" t="s">
        <x:v>597</x:v>
      </x:c>
    </x:row>
    <x:row r="21" ht="38" customHeight="1">
      <x:c r="A21" s="8" t="s">
        <x:v>162</x:v>
      </x:c>
      <x:c r="B21" s="8">
        <x:v>7</x:v>
      </x:c>
      <x:c r="C21" s="8" t="s">
        <x:v>598</x:v>
      </x:c>
      <x:c r="D21" s="8" t="s">
        <x:v>599</x:v>
      </x:c>
      <x:c r="E21" s="8" t="s">
        <x:v>546</x:v>
      </x:c>
      <x:c r="F21" s="8" t="s">
        <x:v>600</x:v>
      </x:c>
    </x:row>
  </x:sheetData>
  <x:mergeCells>
    <x:mergeCell ref="A1:F1"/>
    <x:mergeCell ref="A2:F2"/>
  </x:mergeCells>
  <x:pageMargins left="0.7" right="0.7" top="0.75" bottom="0.75" header="0.3" footer="0.3"/>
</x:worksheet>
</file>

<file path=xl/worksheets/sheet6.xml><?xml version="1.0" encoding="utf-8"?>
<x:worksheet xmlns:x="http://schemas.openxmlformats.org/spreadsheetml/2006/main">
  <x:sheetViews>
    <x:sheetView showGridLines="0" workbookViewId="0">
      <x:pane ySplit="3" topLeftCell="A4" activePane="bottomLeft" state="frozen"/>
    </x:sheetView>
  </x:sheetViews>
  <x:sheetFormatPr defaultColWidth="9" defaultRowHeight="14.25"/>
  <x:cols>
    <x:col min="1" max="1" width="23" customWidth="1"/>
    <x:col min="2" max="2" width="16" customWidth="1"/>
    <x:col min="3" max="3" width="12" customWidth="1"/>
    <x:col min="4" max="4" width="11" customWidth="1"/>
    <x:col min="5" max="9" width="12" customWidth="1"/>
    <x:col min="10" max="10" width="15" customWidth="1"/>
    <x:col min="11" max="11" width="13" customWidth="1"/>
    <x:col min="12" max="12" width="17" customWidth="1"/>
    <x:col min="13" max="13" width="13" customWidth="1"/>
    <x:col min="14" max="14" width="24" customWidth="1"/>
    <x:col min="15" max="15" width="19" customWidth="1"/>
    <x:col min="16" max="16" width="23" customWidth="1"/>
    <x:col min="17" max="17" width="25" customWidth="1"/>
    <x:col min="18" max="18" width="26" customWidth="1"/>
    <x:col min="19" max="19" width="15" customWidth="1"/>
    <x:col min="20" max="20" width="60" customWidth="1"/>
  </x:cols>
  <x:sheetData>
    <x:row r="1" ht="34" customHeight="1">
      <x:c r="A1" s="1" t="s">
        <x:v>601</x:v>
      </x:c>
      <x:c r="B1" s="1"/>
      <x:c r="C1" s="1"/>
      <x:c r="D1" s="1"/>
      <x:c r="E1" s="1"/>
      <x:c r="F1" s="1"/>
      <x:c r="G1" s="1"/>
      <x:c r="H1" s="1"/>
      <x:c r="I1" s="1"/>
      <x:c r="J1" s="1"/>
      <x:c r="K1" s="1"/>
      <x:c r="L1" s="1"/>
      <x:c r="M1" s="1"/>
      <x:c r="N1" s="1"/>
      <x:c r="O1" s="1"/>
      <x:c r="P1" s="1"/>
      <x:c r="Q1" s="1"/>
      <x:c r="R1" s="1"/>
      <x:c r="S1" s="1"/>
      <x:c r="T1" s="1"/>
    </x:row>
    <x:row r="2" ht="32" customHeight="1">
      <x:c r="A2" s="2" t="s">
        <x:v>602</x:v>
      </x:c>
      <x:c r="B2" s="2"/>
      <x:c r="C2" s="2"/>
      <x:c r="D2" s="2"/>
      <x:c r="E2" s="2"/>
      <x:c r="F2" s="2"/>
      <x:c r="G2" s="2"/>
      <x:c r="H2" s="2"/>
      <x:c r="I2" s="2"/>
      <x:c r="J2" s="2"/>
      <x:c r="K2" s="2"/>
      <x:c r="L2" s="2"/>
      <x:c r="M2" s="2"/>
      <x:c r="N2" s="2"/>
      <x:c r="O2" s="2"/>
      <x:c r="P2" s="2"/>
      <x:c r="Q2" s="2"/>
      <x:c r="R2" s="2"/>
      <x:c r="S2" s="2"/>
      <x:c r="T2" s="2"/>
    </x:row>
    <x:row r="3" ht="28" customHeight="1">
      <x:c r="A3" s="5" t="s">
        <x:v>22</x:v>
      </x:c>
      <x:c r="B3" s="5" t="s">
        <x:v>23</x:v>
      </x:c>
      <x:c r="C3" s="5" t="s">
        <x:v>603</x:v>
      </x:c>
      <x:c r="D3" s="5" t="s">
        <x:v>25</x:v>
      </x:c>
      <x:c r="E3" s="5" t="s">
        <x:v>604</x:v>
      </x:c>
      <x:c r="F3" s="5" t="s">
        <x:v>605</x:v>
      </x:c>
      <x:c r="G3" s="5" t="s">
        <x:v>606</x:v>
      </x:c>
      <x:c r="H3" s="5" t="s">
        <x:v>40</x:v>
      </x:c>
      <x:c r="I3" s="5" t="s">
        <x:v>42</x:v>
      </x:c>
      <x:c r="J3" s="5" t="s">
        <x:v>44</x:v>
      </x:c>
      <x:c r="K3" s="5" t="s">
        <x:v>607</x:v>
      </x:c>
      <x:c r="L3" s="5" t="s">
        <x:v>608</x:v>
      </x:c>
      <x:c r="M3" s="5" t="s">
        <x:v>609</x:v>
      </x:c>
      <x:c r="N3" s="5" t="s">
        <x:v>610</x:v>
      </x:c>
      <x:c r="O3" s="5" t="s">
        <x:v>611</x:v>
      </x:c>
      <x:c r="P3" s="5" t="s">
        <x:v>612</x:v>
      </x:c>
      <x:c r="Q3" s="5" t="s">
        <x:v>613</x:v>
      </x:c>
      <x:c r="R3" s="5" t="s">
        <x:v>614</x:v>
      </x:c>
      <x:c r="S3" s="5" t="s">
        <x:v>615</x:v>
      </x:c>
      <x:c r="T3" s="5" t="s">
        <x:v>616</x:v>
      </x:c>
    </x:row>
    <x:row r="4" ht="38" customHeight="1">
      <x:c r="A4" s="7" t="s">
        <x:v>617</x:v>
      </x:c>
      <x:c r="B4" s="7" t="s">
        <x:v>618</x:v>
      </x:c>
      <x:c r="C4" s="7" t="s">
        <x:v>619</x:v>
      </x:c>
      <x:c r="D4" s="7" t="s">
        <x:v>60</x:v>
      </x:c>
      <x:c r="E4" s="7">
        <x:v>660</x:v>
      </x:c>
      <x:c r="F4" s="7">
        <x:v>35</x:v>
      </x:c>
      <x:c r="G4" s="7">
        <x:v>3</x:v>
      </x:c>
      <x:c r="H4" s="7">
        <x:v>1.15</x:v>
      </x:c>
      <x:c r="I4" s="7">
        <x:v>32</x:v>
      </x:c>
      <x:c r="J4" s="7">
        <x:v>192.5</x:v>
      </x:c>
      <x:c r="K4" s="7">
        <x:v>40.3</x:v>
      </x:c>
      <x:c r="L4" s="7">
        <x:v>420</x:v>
      </x:c>
      <x:c r="M4" s="7">
        <x:v>680</x:v>
      </x:c>
      <x:c r="N4" s="7" t="s">
        <x:v>620</x:v>
      </x:c>
      <x:c r="O4" s="7" t="s">
        <x:v>621</x:v>
      </x:c>
      <x:c r="P4" s="7" t="s">
        <x:v>622</x:v>
      </x:c>
      <x:c r="Q4" s="7" t="s">
        <x:v>623</x:v>
      </x:c>
      <x:c r="R4" s="7" t="s">
        <x:v>624</x:v>
      </x:c>
      <x:c r="S4" s="7" t="s">
        <x:v>625</x:v>
      </x:c>
      <x:c r="T4" s="7" t="s">
        <x:v>392</x:v>
      </x:c>
    </x:row>
    <x:row r="5" ht="38" customHeight="1">
      <x:c r="A5" s="8" t="s">
        <x:v>626</x:v>
      </x:c>
      <x:c r="B5" s="8" t="s">
        <x:v>627</x:v>
      </x:c>
      <x:c r="C5" s="8" t="s">
        <x:v>619</x:v>
      </x:c>
      <x:c r="D5" s="8" t="s">
        <x:v>60</x:v>
      </x:c>
      <x:c r="E5" s="8">
        <x:v>600</x:v>
      </x:c>
      <x:c r="F5" s="8">
        <x:v>26</x:v>
      </x:c>
      <x:c r="G5" s="8">
        <x:v>4</x:v>
      </x:c>
      <x:c r="H5" s="8">
        <x:v>1.05</x:v>
      </x:c>
      <x:c r="I5" s="8">
        <x:v>248</x:v>
      </x:c>
      <x:c r="J5" s="8">
        <x:v>176</x:v>
      </x:c>
      <x:c r="K5" s="8">
        <x:v>27.3</x:v>
      </x:c>
      <x:c r="L5" s="8">
        <x:v>260</x:v>
      </x:c>
      <x:c r="M5" s="8">
        <x:v>624</x:v>
      </x:c>
      <x:c r="N5" s="8" t="s">
        <x:v>628</x:v>
      </x:c>
      <x:c r="O5" s="8" t="s">
        <x:v>621</x:v>
      </x:c>
      <x:c r="P5" s="8" t="s">
        <x:v>622</x:v>
      </x:c>
      <x:c r="Q5" s="8" t="s">
        <x:v>623</x:v>
      </x:c>
      <x:c r="R5" s="8" t="s">
        <x:v>624</x:v>
      </x:c>
      <x:c r="S5" s="8" t="s">
        <x:v>625</x:v>
      </x:c>
      <x:c r="T5" s="8" t="s">
        <x:v>392</x:v>
      </x:c>
    </x:row>
    <x:row r="6" ht="38" customHeight="1">
      <x:c r="A6" s="7" t="s">
        <x:v>629</x:v>
      </x:c>
      <x:c r="B6" s="7" t="s">
        <x:v>630</x:v>
      </x:c>
      <x:c r="C6" s="7" t="s">
        <x:v>619</x:v>
      </x:c>
      <x:c r="D6" s="7" t="s">
        <x:v>60</x:v>
      </x:c>
      <x:c r="E6" s="7">
        <x:v>520</x:v>
      </x:c>
      <x:c r="F6" s="7">
        <x:v>20</x:v>
      </x:c>
      <x:c r="G6" s="7">
        <x:v>6</x:v>
      </x:c>
      <x:c r="H6" s="7">
        <x:v>1</x:v>
      </x:c>
      <x:c r="I6" s="7">
        <x:v>248</x:v>
      </x:c>
      <x:c r="J6" s="7">
        <x:v>176</x:v>
      </x:c>
      <x:c r="K6" s="7">
        <x:v>20</x:v>
      </x:c>
      <x:c r="L6" s="7">
        <x:v>200</x:v>
      </x:c>
      <x:c r="M6" s="7">
        <x:v>551</x:v>
      </x:c>
      <x:c r="N6" s="7" t="s">
        <x:v>631</x:v>
      </x:c>
      <x:c r="O6" s="7" t="s">
        <x:v>621</x:v>
      </x:c>
      <x:c r="P6" s="7" t="s">
        <x:v>622</x:v>
      </x:c>
      <x:c r="Q6" s="7" t="s">
        <x:v>623</x:v>
      </x:c>
      <x:c r="R6" s="7" t="s">
        <x:v>624</x:v>
      </x:c>
      <x:c r="S6" s="7" t="s">
        <x:v>625</x:v>
      </x:c>
      <x:c r="T6" s="7" t="s">
        <x:v>392</x:v>
      </x:c>
    </x:row>
    <x:row r="7" ht="38" customHeight="1">
      <x:c r="A7" s="8" t="s">
        <x:v>632</x:v>
      </x:c>
      <x:c r="B7" s="8" t="s">
        <x:v>633</x:v>
      </x:c>
      <x:c r="C7" s="8" t="s">
        <x:v>619</x:v>
      </x:c>
      <x:c r="D7" s="8" t="s">
        <x:v>60</x:v>
      </x:c>
      <x:c r="E7" s="8">
        <x:v>1040</x:v>
      </x:c>
      <x:c r="F7" s="8">
        <x:v>44</x:v>
      </x:c>
      <x:c r="G7" s="8">
        <x:v>10</x:v>
      </x:c>
      <x:c r="H7" s="8">
        <x:v>0.85</x:v>
      </x:c>
      <x:c r="I7" s="8">
        <x:v>32</x:v>
      </x:c>
      <x:c r="J7" s="8">
        <x:v>165</x:v>
      </x:c>
      <x:c r="K7" s="8">
        <x:v>37.4</x:v>
      </x:c>
      <x:c r="L7" s="8">
        <x:v>396</x:v>
      </x:c>
      <x:c r="M7" s="8">
        <x:v>1144</x:v>
      </x:c>
      <x:c r="N7" s="8" t="s">
        <x:v>634</x:v>
      </x:c>
      <x:c r="O7" s="8" t="s">
        <x:v>621</x:v>
      </x:c>
      <x:c r="P7" s="8" t="s">
        <x:v>622</x:v>
      </x:c>
      <x:c r="Q7" s="8" t="s">
        <x:v>623</x:v>
      </x:c>
      <x:c r="R7" s="8" t="s">
        <x:v>624</x:v>
      </x:c>
      <x:c r="S7" s="8" t="s">
        <x:v>625</x:v>
      </x:c>
      <x:c r="T7" s="8" t="s">
        <x:v>392</x:v>
      </x:c>
    </x:row>
    <x:row r="8" ht="38" customHeight="1">
      <x:c r="A8" s="7" t="s">
        <x:v>635</x:v>
      </x:c>
      <x:c r="B8" s="7" t="s">
        <x:v>636</x:v>
      </x:c>
      <x:c r="C8" s="7" t="s">
        <x:v>619</x:v>
      </x:c>
      <x:c r="D8" s="7" t="s">
        <x:v>60</x:v>
      </x:c>
      <x:c r="E8" s="7">
        <x:v>660</x:v>
      </x:c>
      <x:c r="F8" s="7">
        <x:v>73</x:v>
      </x:c>
      <x:c r="G8" s="7">
        <x:v>4</x:v>
      </x:c>
      <x:c r="H8" s="7">
        <x:v>1.2</x:v>
      </x:c>
      <x:c r="I8" s="7">
        <x:v>248</x:v>
      </x:c>
      <x:c r="J8" s="7">
        <x:v>181.5</x:v>
      </x:c>
      <x:c r="K8" s="7">
        <x:v>87.6</x:v>
      </x:c>
      <x:c r="L8" s="7">
        <x:v>876</x:v>
      </x:c>
      <x:c r="M8" s="7">
        <x:v>686</x:v>
      </x:c>
      <x:c r="N8" s="7" t="s">
        <x:v>637</x:v>
      </x:c>
      <x:c r="O8" s="7" t="s">
        <x:v>621</x:v>
      </x:c>
      <x:c r="P8" s="7" t="s">
        <x:v>622</x:v>
      </x:c>
      <x:c r="Q8" s="7" t="s">
        <x:v>623</x:v>
      </x:c>
      <x:c r="R8" s="7" t="s">
        <x:v>624</x:v>
      </x:c>
      <x:c r="S8" s="7" t="s">
        <x:v>625</x:v>
      </x:c>
      <x:c r="T8" s="7" t="s">
        <x:v>392</x:v>
      </x:c>
    </x:row>
    <x:row r="9" ht="38" customHeight="1">
      <x:c r="A9" s="8" t="s">
        <x:v>638</x:v>
      </x:c>
      <x:c r="B9" s="8" t="s">
        <x:v>639</x:v>
      </x:c>
      <x:c r="C9" s="8" t="s">
        <x:v>619</x:v>
      </x:c>
      <x:c r="D9" s="8" t="s">
        <x:v>60</x:v>
      </x:c>
      <x:c r="E9" s="8">
        <x:v>720</x:v>
      </x:c>
      <x:c r="F9" s="8">
        <x:v>26</x:v>
      </x:c>
      <x:c r="G9" s="8">
        <x:v>5</x:v>
      </x:c>
      <x:c r="H9" s="8">
        <x:v>1</x:v>
      </x:c>
      <x:c r="I9" s="8">
        <x:v>248</x:v>
      </x:c>
      <x:c r="J9" s="8">
        <x:v>176</x:v>
      </x:c>
      <x:c r="K9" s="8">
        <x:v>26</x:v>
      </x:c>
      <x:c r="L9" s="8">
        <x:v>260</x:v>
      </x:c>
      <x:c r="M9" s="8">
        <x:v>756</x:v>
      </x:c>
      <x:c r="N9" s="8" t="s">
        <x:v>640</x:v>
      </x:c>
      <x:c r="O9" s="8" t="s">
        <x:v>621</x:v>
      </x:c>
      <x:c r="P9" s="8" t="s">
        <x:v>622</x:v>
      </x:c>
      <x:c r="Q9" s="8" t="s">
        <x:v>623</x:v>
      </x:c>
      <x:c r="R9" s="8" t="s">
        <x:v>624</x:v>
      </x:c>
      <x:c r="S9" s="8" t="s">
        <x:v>625</x:v>
      </x:c>
      <x:c r="T9" s="8" t="s">
        <x:v>392</x:v>
      </x:c>
    </x:row>
    <x:row r="10" ht="38" customHeight="1">
      <x:c r="A10" s="7" t="s">
        <x:v>641</x:v>
      </x:c>
      <x:c r="B10" s="7" t="s">
        <x:v>642</x:v>
      </x:c>
      <x:c r="C10" s="7" t="s">
        <x:v>643</x:v>
      </x:c>
      <x:c r="D10" s="7" t="s">
        <x:v>64</x:v>
      </x:c>
      <x:c r="E10" s="7">
        <x:v>840</x:v>
      </x:c>
      <x:c r="F10" s="7">
        <x:v>31</x:v>
      </x:c>
      <x:c r="G10" s="7">
        <x:v>16</x:v>
      </x:c>
      <x:c r="H10" s="7">
        <x:v>0.8</x:v>
      </x:c>
      <x:c r="I10" s="7">
        <x:v>32</x:v>
      </x:c>
      <x:c r="J10" s="7">
        <x:v>159.5</x:v>
      </x:c>
      <x:c r="K10" s="7">
        <x:v>24.8</x:v>
      </x:c>
      <x:c r="L10" s="7">
        <x:v>248</x:v>
      </x:c>
      <x:c r="M10" s="7">
        <x:v>974</x:v>
      </x:c>
      <x:c r="N10" s="7" t="s">
        <x:v>644</x:v>
      </x:c>
      <x:c r="O10" s="7" t="s">
        <x:v>621</x:v>
      </x:c>
      <x:c r="P10" s="7" t="s">
        <x:v>622</x:v>
      </x:c>
      <x:c r="Q10" s="7" t="s">
        <x:v>623</x:v>
      </x:c>
      <x:c r="R10" s="7" t="s">
        <x:v>624</x:v>
      </x:c>
      <x:c r="S10" s="7" t="s">
        <x:v>625</x:v>
      </x:c>
      <x:c r="T10" s="7" t="s">
        <x:v>392</x:v>
      </x:c>
    </x:row>
    <x:row r="11" ht="38" customHeight="1">
      <x:c r="A11" s="8" t="s">
        <x:v>645</x:v>
      </x:c>
      <x:c r="B11" s="8" t="s">
        <x:v>646</x:v>
      </x:c>
      <x:c r="C11" s="8" t="s">
        <x:v>643</x:v>
      </x:c>
      <x:c r="D11" s="8" t="s">
        <x:v>64</x:v>
      </x:c>
      <x:c r="E11" s="8">
        <x:v>760</x:v>
      </x:c>
      <x:c r="F11" s="8">
        <x:v>33</x:v>
      </x:c>
      <x:c r="G11" s="8">
        <x:v>12</x:v>
      </x:c>
      <x:c r="H11" s="8">
        <x:v>0.85</x:v>
      </x:c>
      <x:c r="I11" s="8">
        <x:v>32</x:v>
      </x:c>
      <x:c r="J11" s="8">
        <x:v>154</x:v>
      </x:c>
      <x:c r="K11" s="8">
        <x:v>28.1</x:v>
      </x:c>
      <x:c r="L11" s="8">
        <x:v>297</x:v>
      </x:c>
      <x:c r="M11" s="8">
        <x:v>851</x:v>
      </x:c>
      <x:c r="N11" s="8" t="s">
        <x:v>647</x:v>
      </x:c>
      <x:c r="O11" s="8" t="s">
        <x:v>621</x:v>
      </x:c>
      <x:c r="P11" s="8" t="s">
        <x:v>622</x:v>
      </x:c>
      <x:c r="Q11" s="8" t="s">
        <x:v>623</x:v>
      </x:c>
      <x:c r="R11" s="8" t="s">
        <x:v>624</x:v>
      </x:c>
      <x:c r="S11" s="8" t="s">
        <x:v>625</x:v>
      </x:c>
      <x:c r="T11" s="8" t="s">
        <x:v>392</x:v>
      </x:c>
    </x:row>
    <x:row r="12" ht="38" customHeight="1">
      <x:c r="A12" s="7" t="s">
        <x:v>648</x:v>
      </x:c>
      <x:c r="B12" s="7" t="s">
        <x:v>649</x:v>
      </x:c>
      <x:c r="C12" s="7" t="s">
        <x:v>643</x:v>
      </x:c>
      <x:c r="D12" s="7" t="s">
        <x:v>64</x:v>
      </x:c>
      <x:c r="E12" s="7">
        <x:v>680</x:v>
      </x:c>
      <x:c r="F12" s="7">
        <x:v>57</x:v>
      </x:c>
      <x:c r="G12" s="7">
        <x:v>8</x:v>
      </x:c>
      <x:c r="H12" s="7">
        <x:v>1</x:v>
      </x:c>
      <x:c r="I12" s="7">
        <x:v>32</x:v>
      </x:c>
      <x:c r="J12" s="7">
        <x:v>170.5</x:v>
      </x:c>
      <x:c r="K12" s="7">
        <x:v>57</x:v>
      </x:c>
      <x:c r="L12" s="7">
        <x:v>570</x:v>
      </x:c>
      <x:c r="M12" s="7">
        <x:v>734</x:v>
      </x:c>
      <x:c r="N12" s="7" t="s">
        <x:v>650</x:v>
      </x:c>
      <x:c r="O12" s="7" t="s">
        <x:v>621</x:v>
      </x:c>
      <x:c r="P12" s="7" t="s">
        <x:v>622</x:v>
      </x:c>
      <x:c r="Q12" s="7" t="s">
        <x:v>623</x:v>
      </x:c>
      <x:c r="R12" s="7" t="s">
        <x:v>624</x:v>
      </x:c>
      <x:c r="S12" s="7" t="s">
        <x:v>625</x:v>
      </x:c>
      <x:c r="T12" s="7" t="s">
        <x:v>392</x:v>
      </x:c>
    </x:row>
    <x:row r="13" ht="38" customHeight="1">
      <x:c r="A13" s="8" t="s">
        <x:v>651</x:v>
      </x:c>
      <x:c r="B13" s="8" t="s">
        <x:v>652</x:v>
      </x:c>
      <x:c r="C13" s="8" t="s">
        <x:v>643</x:v>
      </x:c>
      <x:c r="D13" s="8" t="s">
        <x:v>64</x:v>
      </x:c>
      <x:c r="E13" s="8">
        <x:v>900</x:v>
      </x:c>
      <x:c r="F13" s="8">
        <x:v>31</x:v>
      </x:c>
      <x:c r="G13" s="8">
        <x:v>18</x:v>
      </x:c>
      <x:c r="H13" s="8">
        <x:v>0.75</x:v>
      </x:c>
      <x:c r="I13" s="8">
        <x:v>32</x:v>
      </x:c>
      <x:c r="J13" s="8">
        <x:v>148.5</x:v>
      </x:c>
      <x:c r="K13" s="8">
        <x:v>23.3</x:v>
      </x:c>
      <x:c r="L13" s="8">
        <x:v>248</x:v>
      </x:c>
      <x:c r="M13" s="8">
        <x:v>1062</x:v>
      </x:c>
      <x:c r="N13" s="8" t="s">
        <x:v>653</x:v>
      </x:c>
      <x:c r="O13" s="8" t="s">
        <x:v>621</x:v>
      </x:c>
      <x:c r="P13" s="8" t="s">
        <x:v>622</x:v>
      </x:c>
      <x:c r="Q13" s="8" t="s">
        <x:v>623</x:v>
      </x:c>
      <x:c r="R13" s="8" t="s">
        <x:v>624</x:v>
      </x:c>
      <x:c r="S13" s="8" t="s">
        <x:v>625</x:v>
      </x:c>
      <x:c r="T13" s="8" t="s">
        <x:v>392</x:v>
      </x:c>
    </x:row>
    <x:row r="14" ht="38" customHeight="1">
      <x:c r="A14" s="7" t="s">
        <x:v>654</x:v>
      </x:c>
      <x:c r="B14" s="7" t="s">
        <x:v>655</x:v>
      </x:c>
      <x:c r="C14" s="7" t="s">
        <x:v>643</x:v>
      </x:c>
      <x:c r="D14" s="7" t="s">
        <x:v>64</x:v>
      </x:c>
      <x:c r="E14" s="7">
        <x:v>1120</x:v>
      </x:c>
      <x:c r="F14" s="7">
        <x:v>26</x:v>
      </x:c>
      <x:c r="G14" s="7">
        <x:v>16</x:v>
      </x:c>
      <x:c r="H14" s="7">
        <x:v>0.8</x:v>
      </x:c>
      <x:c r="I14" s="7">
        <x:v>248</x:v>
      </x:c>
      <x:c r="J14" s="7">
        <x:v>143</x:v>
      </x:c>
      <x:c r="K14" s="7">
        <x:v>20.8</x:v>
      </x:c>
      <x:c r="L14" s="7">
        <x:v>208</x:v>
      </x:c>
      <x:c r="M14" s="7">
        <x:v>1299</x:v>
      </x:c>
      <x:c r="N14" s="7" t="s">
        <x:v>656</x:v>
      </x:c>
      <x:c r="O14" s="7" t="s">
        <x:v>621</x:v>
      </x:c>
      <x:c r="P14" s="7" t="s">
        <x:v>622</x:v>
      </x:c>
      <x:c r="Q14" s="7" t="s">
        <x:v>623</x:v>
      </x:c>
      <x:c r="R14" s="7" t="s">
        <x:v>624</x:v>
      </x:c>
      <x:c r="S14" s="7" t="s">
        <x:v>625</x:v>
      </x:c>
      <x:c r="T14" s="7" t="s">
        <x:v>392</x:v>
      </x:c>
    </x:row>
    <x:row r="15" ht="38" customHeight="1">
      <x:c r="A15" s="8" t="s">
        <x:v>657</x:v>
      </x:c>
      <x:c r="B15" s="8" t="s">
        <x:v>658</x:v>
      </x:c>
      <x:c r="C15" s="8" t="s">
        <x:v>643</x:v>
      </x:c>
      <x:c r="D15" s="8" t="s">
        <x:v>64</x:v>
      </x:c>
      <x:c r="E15" s="8">
        <x:v>1400</x:v>
      </x:c>
      <x:c r="F15" s="8">
        <x:v>44</x:v>
      </x:c>
      <x:c r="G15" s="8">
        <x:v>20</x:v>
      </x:c>
      <x:c r="H15" s="8">
        <x:v>0.7</x:v>
      </x:c>
      <x:c r="I15" s="8">
        <x:v>32</x:v>
      </x:c>
      <x:c r="J15" s="8">
        <x:v>137.5</x:v>
      </x:c>
      <x:c r="K15" s="8">
        <x:v>30.8</x:v>
      </x:c>
      <x:c r="L15" s="8">
        <x:v>308</x:v>
      </x:c>
      <x:c r="M15" s="8">
        <x:v>1680</x:v>
      </x:c>
      <x:c r="N15" s="8" t="s">
        <x:v>659</x:v>
      </x:c>
      <x:c r="O15" s="8" t="s">
        <x:v>621</x:v>
      </x:c>
      <x:c r="P15" s="8" t="s">
        <x:v>622</x:v>
      </x:c>
      <x:c r="Q15" s="8" t="s">
        <x:v>623</x:v>
      </x:c>
      <x:c r="R15" s="8" t="s">
        <x:v>624</x:v>
      </x:c>
      <x:c r="S15" s="8" t="s">
        <x:v>625</x:v>
      </x:c>
      <x:c r="T15" s="8" t="s">
        <x:v>392</x:v>
      </x:c>
    </x:row>
    <x:row r="16" ht="38" customHeight="1">
      <x:c r="A16" s="7" t="s">
        <x:v>660</x:v>
      </x:c>
      <x:c r="B16" s="7" t="s">
        <x:v>661</x:v>
      </x:c>
      <x:c r="C16" s="7" t="s">
        <x:v>662</x:v>
      </x:c>
      <x:c r="D16" s="7" t="s">
        <x:v>54</x:v>
      </x:c>
      <x:c r="E16" s="7">
        <x:v>480</x:v>
      </x:c>
      <x:c r="F16" s="7">
        <x:v>37</x:v>
      </x:c>
      <x:c r="G16" s="7">
        <x:v>4</x:v>
      </x:c>
      <x:c r="H16" s="7">
        <x:v>1.2</x:v>
      </x:c>
      <x:c r="I16" s="7">
        <x:v>32</x:v>
      </x:c>
      <x:c r="J16" s="7">
        <x:v>198</x:v>
      </x:c>
      <x:c r="K16" s="7">
        <x:v>44.4</x:v>
      </x:c>
      <x:c r="L16" s="7">
        <x:v>444</x:v>
      </x:c>
      <x:c r="M16" s="7">
        <x:v>499</x:v>
      </x:c>
      <x:c r="N16" s="7" t="s">
        <x:v>663</x:v>
      </x:c>
      <x:c r="O16" s="7" t="s">
        <x:v>621</x:v>
      </x:c>
      <x:c r="P16" s="7" t="s">
        <x:v>622</x:v>
      </x:c>
      <x:c r="Q16" s="7" t="s">
        <x:v>623</x:v>
      </x:c>
      <x:c r="R16" s="7" t="s">
        <x:v>624</x:v>
      </x:c>
      <x:c r="S16" s="7" t="s">
        <x:v>625</x:v>
      </x:c>
      <x:c r="T16" s="7" t="s">
        <x:v>392</x:v>
      </x:c>
    </x:row>
    <x:row r="17" ht="38" customHeight="1">
      <x:c r="A17" s="8" t="s">
        <x:v>664</x:v>
      </x:c>
      <x:c r="B17" s="8" t="s">
        <x:v>665</x:v>
      </x:c>
      <x:c r="C17" s="8" t="s">
        <x:v>662</x:v>
      </x:c>
      <x:c r="D17" s="8" t="s">
        <x:v>54</x:v>
      </x:c>
      <x:c r="E17" s="8">
        <x:v>560</x:v>
      </x:c>
      <x:c r="F17" s="8">
        <x:v>31</x:v>
      </x:c>
      <x:c r="G17" s="8">
        <x:v>5</x:v>
      </x:c>
      <x:c r="H17" s="8">
        <x:v>1</x:v>
      </x:c>
      <x:c r="I17" s="8">
        <x:v>248</x:v>
      </x:c>
      <x:c r="J17" s="8">
        <x:v>176</x:v>
      </x:c>
      <x:c r="K17" s="8">
        <x:v>31</x:v>
      </x:c>
      <x:c r="L17" s="8">
        <x:v>310</x:v>
      </x:c>
      <x:c r="M17" s="8">
        <x:v>588</x:v>
      </x:c>
      <x:c r="N17" s="8" t="s">
        <x:v>666</x:v>
      </x:c>
      <x:c r="O17" s="8" t="s">
        <x:v>621</x:v>
      </x:c>
      <x:c r="P17" s="8" t="s">
        <x:v>622</x:v>
      </x:c>
      <x:c r="Q17" s="8" t="s">
        <x:v>623</x:v>
      </x:c>
      <x:c r="R17" s="8" t="s">
        <x:v>624</x:v>
      </x:c>
      <x:c r="S17" s="8" t="s">
        <x:v>625</x:v>
      </x:c>
      <x:c r="T17" s="8" t="s">
        <x:v>392</x:v>
      </x:c>
    </x:row>
    <x:row r="18" ht="38" customHeight="1">
      <x:c r="A18" s="7" t="s">
        <x:v>667</x:v>
      </x:c>
      <x:c r="B18" s="7" t="s">
        <x:v>668</x:v>
      </x:c>
      <x:c r="C18" s="7" t="s">
        <x:v>662</x:v>
      </x:c>
      <x:c r="D18" s="7" t="s">
        <x:v>54</x:v>
      </x:c>
      <x:c r="E18" s="7">
        <x:v>640</x:v>
      </x:c>
      <x:c r="F18" s="7">
        <x:v>35</x:v>
      </x:c>
      <x:c r="G18" s="7">
        <x:v>10</x:v>
      </x:c>
      <x:c r="H18" s="7">
        <x:v>0.95</x:v>
      </x:c>
      <x:c r="I18" s="7">
        <x:v>32</x:v>
      </x:c>
      <x:c r="J18" s="7">
        <x:v>170.5</x:v>
      </x:c>
      <x:c r="K18" s="7">
        <x:v>33.3</x:v>
      </x:c>
      <x:c r="L18" s="7">
        <x:v>350</x:v>
      </x:c>
      <x:c r="M18" s="7">
        <x:v>704</x:v>
      </x:c>
      <x:c r="N18" s="7" t="s">
        <x:v>669</x:v>
      </x:c>
      <x:c r="O18" s="7" t="s">
        <x:v>621</x:v>
      </x:c>
      <x:c r="P18" s="7" t="s">
        <x:v>622</x:v>
      </x:c>
      <x:c r="Q18" s="7" t="s">
        <x:v>623</x:v>
      </x:c>
      <x:c r="R18" s="7" t="s">
        <x:v>624</x:v>
      </x:c>
      <x:c r="S18" s="7" t="s">
        <x:v>625</x:v>
      </x:c>
      <x:c r="T18" s="7" t="s">
        <x:v>392</x:v>
      </x:c>
    </x:row>
    <x:row r="19" ht="38" customHeight="1">
      <x:c r="A19" s="8" t="s">
        <x:v>670</x:v>
      </x:c>
      <x:c r="B19" s="8" t="s">
        <x:v>671</x:v>
      </x:c>
      <x:c r="C19" s="8" t="s">
        <x:v>662</x:v>
      </x:c>
      <x:c r="D19" s="8" t="s">
        <x:v>54</x:v>
      </x:c>
      <x:c r="E19" s="8">
        <x:v>780</x:v>
      </x:c>
      <x:c r="F19" s="8">
        <x:v>42</x:v>
      </x:c>
      <x:c r="G19" s="8">
        <x:v>6</x:v>
      </x:c>
      <x:c r="H19" s="8">
        <x:v>1</x:v>
      </x:c>
      <x:c r="I19" s="8">
        <x:v>248</x:v>
      </x:c>
      <x:c r="J19" s="8">
        <x:v>170.5</x:v>
      </x:c>
      <x:c r="K19" s="8">
        <x:v>42</x:v>
      </x:c>
      <x:c r="L19" s="8">
        <x:v>420</x:v>
      </x:c>
      <x:c r="M19" s="8">
        <x:v>827</x:v>
      </x:c>
      <x:c r="N19" s="8" t="s">
        <x:v>143</x:v>
      </x:c>
      <x:c r="O19" s="8" t="s">
        <x:v>621</x:v>
      </x:c>
      <x:c r="P19" s="8" t="s">
        <x:v>622</x:v>
      </x:c>
      <x:c r="Q19" s="8" t="s">
        <x:v>623</x:v>
      </x:c>
      <x:c r="R19" s="8" t="s">
        <x:v>624</x:v>
      </x:c>
      <x:c r="S19" s="8" t="s">
        <x:v>625</x:v>
      </x:c>
      <x:c r="T19" s="8" t="s">
        <x:v>392</x:v>
      </x:c>
    </x:row>
  </x:sheetData>
  <x:mergeCells>
    <x:mergeCell ref="A1:T1"/>
    <x:mergeCell ref="A2:T2"/>
  </x:mergeCells>
  <x:pageMargins left="0.7" right="0.7" top="0.75" bottom="0.75" header="0.3" footer="0.3"/>
</x:worksheet>
</file>

<file path=xl/worksheets/sheet7.xml><?xml version="1.0" encoding="utf-8"?>
<x:worksheet xmlns:x="http://schemas.openxmlformats.org/spreadsheetml/2006/main">
  <x:sheetViews>
    <x:sheetView showGridLines="0" workbookViewId="0">
      <x:pane ySplit="3" topLeftCell="A4" activePane="bottomLeft" state="frozen"/>
    </x:sheetView>
  </x:sheetViews>
  <x:sheetFormatPr defaultColWidth="9" defaultRowHeight="14.25"/>
  <x:cols>
    <x:col min="1" max="1" width="23" customWidth="1"/>
    <x:col min="2" max="2" width="17" customWidth="1"/>
    <x:col min="3" max="3" width="12" customWidth="1"/>
    <x:col min="4" max="19" width="13" customWidth="1"/>
    <x:col min="20" max="22" width="12" customWidth="1"/>
    <x:col min="23" max="23" width="16" customWidth="1"/>
    <x:col min="24" max="24" width="23" customWidth="1"/>
    <x:col min="25" max="25" width="24" customWidth="1"/>
    <x:col min="26" max="26" width="22" customWidth="1"/>
    <x:col min="27" max="28" width="15" customWidth="1"/>
    <x:col min="29" max="29" width="60" customWidth="1"/>
    <x:col min="30" max="30" width="95" customWidth="1"/>
  </x:cols>
  <x:sheetData>
    <x:row r="1" ht="34" customHeight="1">
      <x:c r="A1" s="1" t="s">
        <x:v>672</x:v>
      </x:c>
      <x:c r="B1" s="1"/>
      <x:c r="C1" s="1"/>
      <x:c r="D1" s="1"/>
      <x:c r="E1" s="1"/>
      <x:c r="F1" s="1"/>
      <x:c r="G1" s="1"/>
      <x:c r="H1" s="1"/>
      <x:c r="I1" s="1"/>
      <x:c r="J1" s="1"/>
      <x:c r="K1" s="1"/>
      <x:c r="L1" s="1"/>
      <x:c r="M1" s="1"/>
      <x:c r="N1" s="1"/>
      <x:c r="O1" s="1"/>
      <x:c r="P1" s="1"/>
      <x:c r="Q1" s="1"/>
      <x:c r="R1" s="1"/>
      <x:c r="S1" s="1"/>
      <x:c r="T1" s="1"/>
      <x:c r="U1" s="1"/>
      <x:c r="V1" s="1"/>
      <x:c r="W1" s="1"/>
      <x:c r="X1" s="1"/>
      <x:c r="Y1" s="1"/>
      <x:c r="Z1" s="1"/>
      <x:c r="AA1" s="1"/>
      <x:c r="AB1" s="1"/>
      <x:c r="AC1" s="1"/>
    </x:row>
    <x:row r="2" ht="32" customHeight="1">
      <x:c r="A2" s="2" t="s">
        <x:v>673</x:v>
      </x:c>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row>
    <x:row r="3" ht="28" customHeight="1">
      <x:c r="A3" s="5" t="s">
        <x:v>22</x:v>
      </x:c>
      <x:c r="B3" s="5" t="s">
        <x:v>23</x:v>
      </x:c>
      <x:c r="C3" s="5" t="s">
        <x:v>25</x:v>
      </x:c>
      <x:c r="D3" s="5" t="s">
        <x:v>674</x:v>
      </x:c>
      <x:c r="E3" s="5" t="s">
        <x:v>675</x:v>
      </x:c>
      <x:c r="F3" s="5" t="s">
        <x:v>676</x:v>
      </x:c>
      <x:c r="G3" s="5" t="s">
        <x:v>677</x:v>
      </x:c>
      <x:c r="H3" s="5" t="s">
        <x:v>678</x:v>
      </x:c>
      <x:c r="I3" s="5" t="s">
        <x:v>679</x:v>
      </x:c>
      <x:c r="J3" s="5" t="s">
        <x:v>680</x:v>
      </x:c>
      <x:c r="K3" s="5" t="s">
        <x:v>681</x:v>
      </x:c>
      <x:c r="L3" s="5" t="s">
        <x:v>682</x:v>
      </x:c>
      <x:c r="M3" s="5" t="s">
        <x:v>683</x:v>
      </x:c>
      <x:c r="N3" s="5" t="s">
        <x:v>684</x:v>
      </x:c>
      <x:c r="O3" s="5" t="s">
        <x:v>685</x:v>
      </x:c>
      <x:c r="P3" s="5" t="s">
        <x:v>686</x:v>
      </x:c>
      <x:c r="Q3" s="5" t="s">
        <x:v>687</x:v>
      </x:c>
      <x:c r="R3" s="5" t="s">
        <x:v>688</x:v>
      </x:c>
      <x:c r="S3" s="5" t="s">
        <x:v>40</x:v>
      </x:c>
      <x:c r="T3" s="5" t="s">
        <x:v>42</x:v>
      </x:c>
      <x:c r="U3" s="5" t="s">
        <x:v>689</x:v>
      </x:c>
      <x:c r="V3" s="5" t="s">
        <x:v>608</x:v>
      </x:c>
      <x:c r="W3" s="5" t="s">
        <x:v>189</x:v>
      </x:c>
      <x:c r="X3" s="5" t="s">
        <x:v>50</x:v>
      </x:c>
      <x:c r="Y3" s="5" t="s">
        <x:v>190</x:v>
      </x:c>
      <x:c r="Z3" s="5" t="s">
        <x:v>690</x:v>
      </x:c>
      <x:c r="AA3" s="5" t="s">
        <x:v>691</x:v>
      </x:c>
      <x:c r="AB3" s="5" t="s">
        <x:v>692</x:v>
      </x:c>
      <x:c r="AC3" s="5" t="s">
        <x:v>192</x:v>
      </x:c>
    </x:row>
    <x:row r="4" ht="38" customHeight="1">
      <x:c r="A4" s="7" t="s">
        <x:v>693</x:v>
      </x:c>
      <x:c r="B4" s="7" t="s">
        <x:v>694</x:v>
      </x:c>
      <x:c r="C4" s="7" t="s">
        <x:v>60</x:v>
      </x:c>
      <x:c r="D4" s="7">
        <x:v>3300</x:v>
      </x:c>
      <x:c r="E4" s="7">
        <x:v>113</x:v>
      </x:c>
      <x:c r="F4" s="7" t="n">
        <x:f t="shared" ref="F4:F12" si="0">O4</x:f>
        <x:v>15</x:v>
      </x:c>
      <x:c r="G4" s="7" t="n">
        <x:f t="shared" ref="G4:G12" si="1">D4</x:f>
        <x:v>3300</x:v>
      </x:c>
      <x:c r="H4" s="7" t="n">
        <x:f t="shared" ref="H4:H12" si="2">ROUND(ROUND(D4/1.5,0)*1.5*1.45,0)</x:f>
        <x:v>4785</x:v>
      </x:c>
      <x:c r="I4" s="7" t="n">
        <x:f t="shared" ref="I4:I12" si="3">ROUND(ROUND(D4/1.5,0)*1.5*2.1025,0)</x:f>
        <x:v>6938</x:v>
      </x:c>
      <x:c r="J4" s="7" t="n">
        <x:f t="shared" ref="J4:J12" si="4">ROUND(ROUND(D4/1.5,0)*1.5*3.048625,0)</x:f>
        <x:v>10060</x:v>
      </x:c>
      <x:c r="K4" s="7" t="n">
        <x:f t="shared" ref="K4:K12" si="5">E4</x:f>
        <x:v>113</x:v>
      </x:c>
      <x:c r="L4" s="7" t="n">
        <x:f t="shared" ref="L4:L12" si="6">ROUND(ROUND(E4/1.5,0)*1.5*1.35,0)</x:f>
        <x:v>152</x:v>
      </x:c>
      <x:c r="M4" s="7" t="n">
        <x:f t="shared" ref="M4:M12" si="7">ROUND(ROUND(E4/1.5,0)*1.5*1.8225,0)</x:f>
        <x:v>205</x:v>
      </x:c>
      <x:c r="N4" s="7" t="n">
        <x:f t="shared" ref="N4:N12" si="8">ROUND(ROUND(E4/1.5,0)*1.5*2.460375,0)</x:f>
        <x:v>277</x:v>
      </x:c>
      <x:c r="O4" s="7">
        <x:v>15</x:v>
      </x:c>
      <x:c r="P4" s="7" t="n">
        <x:f t="shared" ref="P4:P12" si="9">ROUND(ROUND(O4/1.5,0)*1.5*1.3,0)</x:f>
        <x:v>20</x:v>
      </x:c>
      <x:c r="Q4" s="7" t="n">
        <x:f t="shared" ref="Q4:Q12" si="10">ROUND(ROUND(O4/1.5,0)*1.5*1.69,0)</x:f>
        <x:v>25</x:v>
      </x:c>
      <x:c r="R4" s="7" t="n">
        <x:f t="shared" ref="R4:R12" si="11">ROUND(ROUND(O4/1.5,0)*1.5*2.197,0)</x:f>
        <x:v>33</x:v>
      </x:c>
      <x:c r="S4" s="7">
        <x:v>0.85</x:v>
      </x:c>
      <x:c r="T4" s="7">
        <x:v>248</x:v>
      </x:c>
      <x:c r="U4" s="7">
        <x:v>2</x:v>
      </x:c>
      <x:c r="V4" s="7">
        <x:v>1794</x:v>
      </x:c>
      <x:c r="W4" s="7" t="s">
        <x:v>695</x:v>
      </x:c>
      <x:c r="X4" s="7" t="s">
        <x:v>696</x:v>
      </x:c>
      <x:c r="Y4" s="7" t="s">
        <x:v>211</x:v>
      </x:c>
      <x:c r="Z4" s="7" t="s">
        <x:v>697</x:v>
      </x:c>
      <x:c r="AA4" s="7">
        <x:v>10</x:v>
      </x:c>
      <x:c r="AB4" s="7" t="s">
        <x:v>698</x:v>
      </x:c>
      <x:c r="AC4" s="7" t="s">
        <x:v>699</x:v>
      </x:c>
    </x:row>
    <x:row r="5" ht="38" customHeight="1">
      <x:c r="A5" s="8" t="s">
        <x:v>700</x:v>
      </x:c>
      <x:c r="B5" s="8" t="s">
        <x:v>701</x:v>
      </x:c>
      <x:c r="C5" s="8" t="s">
        <x:v>60</x:v>
      </x:c>
      <x:c r="D5" s="8">
        <x:v>3750</x:v>
      </x:c>
      <x:c r="E5" s="8">
        <x:v>92</x:v>
      </x:c>
      <x:c r="F5" s="8">
        <x:f t="shared" si="0"/>
        <x:v>23</x:v>
      </x:c>
      <x:c r="G5" s="8">
        <x:f t="shared" si="1"/>
        <x:v>3750</x:v>
      </x:c>
      <x:c r="H5" s="8">
        <x:f t="shared" si="2"/>
        <x:v>5438</x:v>
      </x:c>
      <x:c r="I5" s="8">
        <x:f t="shared" si="3"/>
        <x:v>7884</x:v>
      </x:c>
      <x:c r="J5" s="8">
        <x:f t="shared" si="4"/>
        <x:v>11432</x:v>
      </x:c>
      <x:c r="K5" s="8">
        <x:f t="shared" si="5"/>
        <x:v>92</x:v>
      </x:c>
      <x:c r="L5" s="8">
        <x:f t="shared" si="6"/>
        <x:v>124</x:v>
      </x:c>
      <x:c r="M5" s="8">
        <x:f t="shared" si="7"/>
        <x:v>167</x:v>
      </x:c>
      <x:c r="N5" s="8">
        <x:f t="shared" si="8"/>
        <x:v>225</x:v>
      </x:c>
      <x:c r="O5" s="8">
        <x:v>23</x:v>
      </x:c>
      <x:c r="P5" s="8">
        <x:f t="shared" si="9"/>
        <x:v>29</x:v>
      </x:c>
      <x:c r="Q5" s="8">
        <x:f t="shared" si="10"/>
        <x:v>38</x:v>
      </x:c>
      <x:c r="R5" s="8">
        <x:f t="shared" si="11"/>
        <x:v>49</x:v>
      </x:c>
      <x:c r="S5" s="8">
        <x:v>0.75</x:v>
      </x:c>
      <x:c r="T5" s="8">
        <x:v>248</x:v>
      </x:c>
      <x:c r="U5" s="8">
        <x:v>2</x:v>
      </x:c>
      <x:c r="V5" s="8">
        <x:v>736</x:v>
      </x:c>
      <x:c r="W5" s="8" t="s">
        <x:v>702</x:v>
      </x:c>
      <x:c r="X5" s="8" t="s">
        <x:v>703</x:v>
      </x:c>
      <x:c r="Y5" s="8" t="s">
        <x:v>704</x:v>
      </x:c>
      <x:c r="Z5" s="8" t="s">
        <x:v>697</x:v>
      </x:c>
      <x:c r="AA5" s="8">
        <x:v>0</x:v>
      </x:c>
      <x:c r="AB5" s="8" t="s">
        <x:v>705</x:v>
      </x:c>
      <x:c r="AC5" s="8" t="s">
        <x:v>706</x:v>
      </x:c>
    </x:row>
    <x:row r="6" ht="38" customHeight="1">
      <x:c r="A6" s="7" t="s">
        <x:v>707</x:v>
      </x:c>
      <x:c r="B6" s="7" t="s">
        <x:v>708</x:v>
      </x:c>
      <x:c r="C6" s="7" t="s">
        <x:v>54</x:v>
      </x:c>
      <x:c r="D6" s="7">
        <x:v>2700</x:v>
      </x:c>
      <x:c r="E6" s="7">
        <x:v>116</x:v>
      </x:c>
      <x:c r="F6" s="7">
        <x:f t="shared" si="0"/>
        <x:v>12</x:v>
      </x:c>
      <x:c r="G6" s="7">
        <x:f t="shared" si="1"/>
        <x:v>2700</x:v>
      </x:c>
      <x:c r="H6" s="7">
        <x:f t="shared" si="2"/>
        <x:v>3915</x:v>
      </x:c>
      <x:c r="I6" s="7">
        <x:f t="shared" si="3"/>
        <x:v>5677</x:v>
      </x:c>
      <x:c r="J6" s="7">
        <x:f t="shared" si="4"/>
        <x:v>8231</x:v>
      </x:c>
      <x:c r="K6" s="7">
        <x:f t="shared" si="5"/>
        <x:v>116</x:v>
      </x:c>
      <x:c r="L6" s="7">
        <x:f t="shared" si="6"/>
        <x:v>156</x:v>
      </x:c>
      <x:c r="M6" s="7">
        <x:f t="shared" si="7"/>
        <x:v>210</x:v>
      </x:c>
      <x:c r="N6" s="7">
        <x:f t="shared" si="8"/>
        <x:v>284</x:v>
      </x:c>
      <x:c r="O6" s="7">
        <x:v>12</x:v>
      </x:c>
      <x:c r="P6" s="7">
        <x:f t="shared" si="9"/>
        <x:v>16</x:v>
      </x:c>
      <x:c r="Q6" s="7">
        <x:f t="shared" si="10"/>
        <x:v>20</x:v>
      </x:c>
      <x:c r="R6" s="7">
        <x:f t="shared" si="11"/>
        <x:v>26</x:v>
      </x:c>
      <x:c r="S6" s="7">
        <x:v>1.4</x:v>
      </x:c>
      <x:c r="T6" s="7">
        <x:v>32</x:v>
      </x:c>
      <x:c r="U6" s="7">
        <x:v>2</x:v>
      </x:c>
      <x:c r="V6" s="7">
        <x:v>1160</x:v>
      </x:c>
      <x:c r="W6" s="7" t="s">
        <x:v>709</x:v>
      </x:c>
      <x:c r="X6" s="7" t="s">
        <x:v>710</x:v>
      </x:c>
      <x:c r="Y6" s="7" t="s">
        <x:v>711</x:v>
      </x:c>
      <x:c r="Z6" s="7" t="s">
        <x:v>697</x:v>
      </x:c>
      <x:c r="AA6" s="7">
        <x:v>59</x:v>
      </x:c>
      <x:c r="AB6" s="7" t="s">
        <x:v>712</x:v>
      </x:c>
      <x:c r="AC6" s="7" t="s">
        <x:v>713</x:v>
      </x:c>
    </x:row>
    <x:row r="7" ht="38" customHeight="1">
      <x:c r="A7" s="8" t="s">
        <x:v>714</x:v>
      </x:c>
      <x:c r="B7" s="8" t="s">
        <x:v>715</x:v>
      </x:c>
      <x:c r="C7" s="8" t="s">
        <x:v>54</x:v>
      </x:c>
      <x:c r="D7" s="8">
        <x:v>3000</x:v>
      </x:c>
      <x:c r="E7" s="8">
        <x:v>75</x:v>
      </x:c>
      <x:c r="F7" s="8">
        <x:f t="shared" si="0"/>
        <x:v>15</x:v>
      </x:c>
      <x:c r="G7" s="8">
        <x:f t="shared" si="1"/>
        <x:v>3000</x:v>
      </x:c>
      <x:c r="H7" s="8">
        <x:f t="shared" si="2"/>
        <x:v>4350</x:v>
      </x:c>
      <x:c r="I7" s="8">
        <x:f t="shared" si="3"/>
        <x:v>6308</x:v>
      </x:c>
      <x:c r="J7" s="8">
        <x:f t="shared" si="4"/>
        <x:v>9146</x:v>
      </x:c>
      <x:c r="K7" s="8">
        <x:f t="shared" si="5"/>
        <x:v>75</x:v>
      </x:c>
      <x:c r="L7" s="8">
        <x:f t="shared" si="6"/>
        <x:v>101</x:v>
      </x:c>
      <x:c r="M7" s="8">
        <x:f t="shared" si="7"/>
        <x:v>137</x:v>
      </x:c>
      <x:c r="N7" s="8">
        <x:f t="shared" si="8"/>
        <x:v>185</x:v>
      </x:c>
      <x:c r="O7" s="8">
        <x:v>15</x:v>
      </x:c>
      <x:c r="P7" s="8">
        <x:f t="shared" si="9"/>
        <x:v>20</x:v>
      </x:c>
      <x:c r="Q7" s="8">
        <x:f t="shared" si="10"/>
        <x:v>25</x:v>
      </x:c>
      <x:c r="R7" s="8">
        <x:f t="shared" si="11"/>
        <x:v>33</x:v>
      </x:c>
      <x:c r="S7" s="8">
        <x:v>0.8</x:v>
      </x:c>
      <x:c r="T7" s="8">
        <x:v>248</x:v>
      </x:c>
      <x:c r="U7" s="8">
        <x:v>2</x:v>
      </x:c>
      <x:c r="V7" s="8">
        <x:v>600</x:v>
      </x:c>
      <x:c r="W7" s="8" t="s">
        <x:v>716</x:v>
      </x:c>
      <x:c r="X7" s="8" t="s">
        <x:v>717</x:v>
      </x:c>
      <x:c r="Y7" s="8" t="s">
        <x:v>211</x:v>
      </x:c>
      <x:c r="Z7" s="8" t="s">
        <x:v>697</x:v>
      </x:c>
      <x:c r="AA7" s="8">
        <x:v>8</x:v>
      </x:c>
      <x:c r="AB7" s="8" t="s">
        <x:v>718</x:v>
      </x:c>
      <x:c r="AC7" s="8" t="s">
        <x:v>719</x:v>
      </x:c>
    </x:row>
    <x:row r="8" ht="38" customHeight="1">
      <x:c r="A8" s="7" t="s">
        <x:v>720</x:v>
      </x:c>
      <x:c r="B8" s="7" t="s">
        <x:v>721</x:v>
      </x:c>
      <x:c r="C8" s="7" t="s">
        <x:v>64</x:v>
      </x:c>
      <x:c r="D8" s="7">
        <x:v>3450</x:v>
      </x:c>
      <x:c r="E8" s="7">
        <x:v>83</x:v>
      </x:c>
      <x:c r="F8" s="7">
        <x:f t="shared" si="0"/>
        <x:v>8</x:v>
      </x:c>
      <x:c r="G8" s="7">
        <x:f t="shared" si="1"/>
        <x:v>3450</x:v>
      </x:c>
      <x:c r="H8" s="7">
        <x:f t="shared" si="2"/>
        <x:v>5003</x:v>
      </x:c>
      <x:c r="I8" s="7">
        <x:f t="shared" si="3"/>
        <x:v>7254</x:v>
      </x:c>
      <x:c r="J8" s="7">
        <x:f t="shared" si="4"/>
        <x:v>10518</x:v>
      </x:c>
      <x:c r="K8" s="7">
        <x:f t="shared" si="5"/>
        <x:v>83</x:v>
      </x:c>
      <x:c r="L8" s="7">
        <x:f t="shared" si="6"/>
        <x:v>111</x:v>
      </x:c>
      <x:c r="M8" s="7">
        <x:f t="shared" si="7"/>
        <x:v>150</x:v>
      </x:c>
      <x:c r="N8" s="7">
        <x:f t="shared" si="8"/>
        <x:v>203</x:v>
      </x:c>
      <x:c r="O8" s="7">
        <x:v>8</x:v>
      </x:c>
      <x:c r="P8" s="7">
        <x:f t="shared" si="9"/>
        <x:v>10</x:v>
      </x:c>
      <x:c r="Q8" s="7">
        <x:f t="shared" si="10"/>
        <x:v>13</x:v>
      </x:c>
      <x:c r="R8" s="7">
        <x:f t="shared" si="11"/>
        <x:v>16</x:v>
      </x:c>
      <x:c r="S8" s="7">
        <x:v>1</x:v>
      </x:c>
      <x:c r="T8" s="7">
        <x:v>32</x:v>
      </x:c>
      <x:c r="U8" s="7">
        <x:v>2</x:v>
      </x:c>
      <x:c r="V8" s="7">
        <x:v>1183</x:v>
      </x:c>
      <x:c r="W8" s="7" t="s">
        <x:v>722</x:v>
      </x:c>
      <x:c r="X8" s="7" t="s">
        <x:v>723</x:v>
      </x:c>
      <x:c r="Y8" s="7" t="s">
        <x:v>724</x:v>
      </x:c>
      <x:c r="Z8" s="7" t="s">
        <x:v>697</x:v>
      </x:c>
      <x:c r="AA8" s="7">
        <x:v>0</x:v>
      </x:c>
      <x:c r="AB8" s="7" t="s">
        <x:v>725</x:v>
      </x:c>
      <x:c r="AC8" s="7" t="s">
        <x:v>726</x:v>
      </x:c>
    </x:row>
    <x:row r="9" ht="38" customHeight="1">
      <x:c r="A9" s="8" t="s">
        <x:v>727</x:v>
      </x:c>
      <x:c r="B9" s="8" t="s">
        <x:v>728</x:v>
      </x:c>
      <x:c r="C9" s="8" t="s">
        <x:v>54</x:v>
      </x:c>
      <x:c r="D9" s="8">
        <x:v>3450</x:v>
      </x:c>
      <x:c r="E9" s="8">
        <x:v>92</x:v>
      </x:c>
      <x:c r="F9" s="8">
        <x:f t="shared" si="0"/>
        <x:v>18</x:v>
      </x:c>
      <x:c r="G9" s="8">
        <x:f t="shared" si="1"/>
        <x:v>3450</x:v>
      </x:c>
      <x:c r="H9" s="8">
        <x:f t="shared" si="2"/>
        <x:v>5003</x:v>
      </x:c>
      <x:c r="I9" s="8">
        <x:f t="shared" si="3"/>
        <x:v>7254</x:v>
      </x:c>
      <x:c r="J9" s="8">
        <x:f t="shared" si="4"/>
        <x:v>10518</x:v>
      </x:c>
      <x:c r="K9" s="8">
        <x:f t="shared" si="5"/>
        <x:v>92</x:v>
      </x:c>
      <x:c r="L9" s="8">
        <x:f t="shared" si="6"/>
        <x:v>124</x:v>
      </x:c>
      <x:c r="M9" s="8">
        <x:f t="shared" si="7"/>
        <x:v>167</x:v>
      </x:c>
      <x:c r="N9" s="8">
        <x:f t="shared" si="8"/>
        <x:v>225</x:v>
      </x:c>
      <x:c r="O9" s="8">
        <x:v>18</x:v>
      </x:c>
      <x:c r="P9" s="8">
        <x:f t="shared" si="9"/>
        <x:v>23</x:v>
      </x:c>
      <x:c r="Q9" s="8">
        <x:f t="shared" si="10"/>
        <x:v>30</x:v>
      </x:c>
      <x:c r="R9" s="8">
        <x:f t="shared" si="11"/>
        <x:v>40</x:v>
      </x:c>
      <x:c r="S9" s="8">
        <x:v>0.85</x:v>
      </x:c>
      <x:c r="T9" s="8">
        <x:v>32</x:v>
      </x:c>
      <x:c r="U9" s="8">
        <x:v>2</x:v>
      </x:c>
      <x:c r="V9" s="8">
        <x:v>828</x:v>
      </x:c>
      <x:c r="W9" s="8" t="s">
        <x:v>729</x:v>
      </x:c>
      <x:c r="X9" s="8" t="s">
        <x:v>730</x:v>
      </x:c>
      <x:c r="Y9" s="8" t="s">
        <x:v>731</x:v>
      </x:c>
      <x:c r="Z9" s="8" t="s">
        <x:v>697</x:v>
      </x:c>
      <x:c r="AA9" s="8">
        <x:v>0</x:v>
      </x:c>
      <x:c r="AB9" s="8" t="s">
        <x:v>732</x:v>
      </x:c>
      <x:c r="AC9" s="8" t="s">
        <x:v>733</x:v>
      </x:c>
    </x:row>
    <x:row r="10" ht="38" customHeight="1">
      <x:c r="A10" s="7" t="s">
        <x:v>734</x:v>
      </x:c>
      <x:c r="B10" s="7" t="s">
        <x:v>735</x:v>
      </x:c>
      <x:c r="C10" s="7" t="s">
        <x:v>54</x:v>
      </x:c>
      <x:c r="D10" s="7">
        <x:v>3150</x:v>
      </x:c>
      <x:c r="E10" s="7">
        <x:v>119</x:v>
      </x:c>
      <x:c r="F10" s="7">
        <x:f t="shared" si="0"/>
        <x:v>15</x:v>
      </x:c>
      <x:c r="G10" s="7">
        <x:f t="shared" si="1"/>
        <x:v>3150</x:v>
      </x:c>
      <x:c r="H10" s="7">
        <x:f t="shared" si="2"/>
        <x:v>4568</x:v>
      </x:c>
      <x:c r="I10" s="7">
        <x:f t="shared" si="3"/>
        <x:v>6623</x:v>
      </x:c>
      <x:c r="J10" s="7">
        <x:f t="shared" si="4"/>
        <x:v>9603</x:v>
      </x:c>
      <x:c r="K10" s="7">
        <x:f t="shared" si="5"/>
        <x:v>119</x:v>
      </x:c>
      <x:c r="L10" s="7">
        <x:f t="shared" si="6"/>
        <x:v>160</x:v>
      </x:c>
      <x:c r="M10" s="7">
        <x:f t="shared" si="7"/>
        <x:v>216</x:v>
      </x:c>
      <x:c r="N10" s="7">
        <x:f t="shared" si="8"/>
        <x:v>292</x:v>
      </x:c>
      <x:c r="O10" s="7">
        <x:v>15</x:v>
      </x:c>
      <x:c r="P10" s="7">
        <x:f t="shared" si="9"/>
        <x:v>20</x:v>
      </x:c>
      <x:c r="Q10" s="7">
        <x:f t="shared" si="10"/>
        <x:v>25</x:v>
      </x:c>
      <x:c r="R10" s="7">
        <x:f t="shared" si="11"/>
        <x:v>33</x:v>
      </x:c>
      <x:c r="S10" s="7">
        <x:v>1.3</x:v>
      </x:c>
      <x:c r="T10" s="7">
        <x:v>32</x:v>
      </x:c>
      <x:c r="U10" s="7">
        <x:v>2</x:v>
      </x:c>
      <x:c r="V10" s="7">
        <x:v>1071</x:v>
      </x:c>
      <x:c r="W10" s="7" t="s">
        <x:v>736</x:v>
      </x:c>
      <x:c r="X10" s="7" t="s">
        <x:v>737</x:v>
      </x:c>
      <x:c r="Y10" s="7" t="s">
        <x:v>738</x:v>
      </x:c>
      <x:c r="Z10" s="7" t="s">
        <x:v>697</x:v>
      </x:c>
      <x:c r="AA10" s="7">
        <x:v>0</x:v>
      </x:c>
      <x:c r="AB10" s="7" t="s">
        <x:v>739</x:v>
      </x:c>
      <x:c r="AC10" s="7" t="s">
        <x:v>740</x:v>
      </x:c>
    </x:row>
    <x:row r="11" ht="38" customHeight="1">
      <x:c r="A11" s="8" t="s">
        <x:v>741</x:v>
      </x:c>
      <x:c r="B11" s="8" t="s">
        <x:v>742</x:v>
      </x:c>
      <x:c r="C11" s="8" t="s">
        <x:v>64</x:v>
      </x:c>
      <x:c r="D11" s="8">
        <x:v>2700</x:v>
      </x:c>
      <x:c r="E11" s="8">
        <x:v>96</x:v>
      </x:c>
      <x:c r="F11" s="8">
        <x:f t="shared" si="0"/>
        <x:v>20</x:v>
      </x:c>
      <x:c r="G11" s="8">
        <x:f t="shared" si="1"/>
        <x:v>2700</x:v>
      </x:c>
      <x:c r="H11" s="8">
        <x:f t="shared" si="2"/>
        <x:v>3915</x:v>
      </x:c>
      <x:c r="I11" s="8">
        <x:f t="shared" si="3"/>
        <x:v>5677</x:v>
      </x:c>
      <x:c r="J11" s="8">
        <x:f t="shared" si="4"/>
        <x:v>8231</x:v>
      </x:c>
      <x:c r="K11" s="8">
        <x:f t="shared" si="5"/>
        <x:v>96</x:v>
      </x:c>
      <x:c r="L11" s="8">
        <x:f t="shared" si="6"/>
        <x:v>130</x:v>
      </x:c>
      <x:c r="M11" s="8">
        <x:f t="shared" si="7"/>
        <x:v>175</x:v>
      </x:c>
      <x:c r="N11" s="8">
        <x:f t="shared" si="8"/>
        <x:v>236</x:v>
      </x:c>
      <x:c r="O11" s="8">
        <x:v>20</x:v>
      </x:c>
      <x:c r="P11" s="8">
        <x:f t="shared" si="9"/>
        <x:v>25</x:v>
      </x:c>
      <x:c r="Q11" s="8">
        <x:f t="shared" si="10"/>
        <x:v>33</x:v>
      </x:c>
      <x:c r="R11" s="8">
        <x:f t="shared" si="11"/>
        <x:v>43</x:v>
      </x:c>
      <x:c r="S11" s="8">
        <x:v>0.9</x:v>
      </x:c>
      <x:c r="T11" s="8">
        <x:v>32</x:v>
      </x:c>
      <x:c r="U11" s="8">
        <x:v>2</x:v>
      </x:c>
      <x:c r="V11" s="8">
        <x:v>864</x:v>
      </x:c>
      <x:c r="W11" s="8" t="s">
        <x:v>743</x:v>
      </x:c>
      <x:c r="X11" s="8" t="s">
        <x:v>744</x:v>
      </x:c>
      <x:c r="Y11" s="8" t="s">
        <x:v>745</x:v>
      </x:c>
      <x:c r="Z11" s="8" t="s">
        <x:v>697</x:v>
      </x:c>
      <x:c r="AA11" s="8">
        <x:v>0</x:v>
      </x:c>
      <x:c r="AB11" s="8" t="s">
        <x:v>746</x:v>
      </x:c>
      <x:c r="AC11" s="8" t="s">
        <x:v>747</x:v>
      </x:c>
    </x:row>
    <x:row r="12" ht="38" customHeight="1">
      <x:c r="A12" s="7" t="s">
        <x:v>748</x:v>
      </x:c>
      <x:c r="B12" s="7" t="s">
        <x:v>749</x:v>
      </x:c>
      <x:c r="C12" s="7" t="s">
        <x:v>60</x:v>
      </x:c>
      <x:c r="D12" s="7">
        <x:v>4200</x:v>
      </x:c>
      <x:c r="E12" s="7">
        <x:v>99</x:v>
      </x:c>
      <x:c r="F12" s="7">
        <x:f t="shared" si="0"/>
        <x:v>21</x:v>
      </x:c>
      <x:c r="G12" s="7">
        <x:f t="shared" si="1"/>
        <x:v>4200</x:v>
      </x:c>
      <x:c r="H12" s="7">
        <x:f t="shared" si="2"/>
        <x:v>6090</x:v>
      </x:c>
      <x:c r="I12" s="7">
        <x:f t="shared" si="3"/>
        <x:v>8831</x:v>
      </x:c>
      <x:c r="J12" s="7">
        <x:f t="shared" si="4"/>
        <x:v>12804</x:v>
      </x:c>
      <x:c r="K12" s="7">
        <x:f t="shared" si="5"/>
        <x:v>99</x:v>
      </x:c>
      <x:c r="L12" s="7">
        <x:f t="shared" si="6"/>
        <x:v>134</x:v>
      </x:c>
      <x:c r="M12" s="7">
        <x:f t="shared" si="7"/>
        <x:v>180</x:v>
      </x:c>
      <x:c r="N12" s="7">
        <x:f t="shared" si="8"/>
        <x:v>244</x:v>
      </x:c>
      <x:c r="O12" s="7">
        <x:v>21</x:v>
      </x:c>
      <x:c r="P12" s="7">
        <x:f t="shared" si="9"/>
        <x:v>27</x:v>
      </x:c>
      <x:c r="Q12" s="7">
        <x:f t="shared" si="10"/>
        <x:v>35</x:v>
      </x:c>
      <x:c r="R12" s="7">
        <x:f t="shared" si="11"/>
        <x:v>46</x:v>
      </x:c>
      <x:c r="S12" s="7">
        <x:v>0.75</x:v>
      </x:c>
      <x:c r="T12" s="7">
        <x:v>248</x:v>
      </x:c>
      <x:c r="U12" s="7">
        <x:v>2</x:v>
      </x:c>
      <x:c r="V12" s="7">
        <x:v>1090</x:v>
      </x:c>
      <x:c r="W12" s="7" t="s">
        <x:v>750</x:v>
      </x:c>
      <x:c r="X12" s="7" t="s">
        <x:v>751</x:v>
      </x:c>
      <x:c r="Y12" s="7" t="s">
        <x:v>211</x:v>
      </x:c>
      <x:c r="Z12" s="7" t="s">
        <x:v>697</x:v>
      </x:c>
      <x:c r="AA12" s="7">
        <x:v>6</x:v>
      </x:c>
      <x:c r="AB12" s="7" t="s">
        <x:v>752</x:v>
      </x:c>
      <x:c r="AC12" s="7" t="s">
        <x:v>753</x:v>
      </x:c>
    </x:row>
  </x:sheetData>
  <x:mergeCells>
    <x:mergeCell ref="A1:AC1"/>
    <x:mergeCell ref="A2:AC2"/>
  </x:mergeCells>
  <x:pageMargins left="0.7" right="0.7" top="0.75" bottom="0.75" header="0.3" footer="0.3"/>
</x:worksheet>
</file>

<file path=xl/worksheets/sheet8.xml><?xml version="1.0" encoding="utf-8"?>
<x:worksheet xmlns:x="http://schemas.openxmlformats.org/spreadsheetml/2006/main">
  <x:sheetViews>
    <x:sheetView showGridLines="0" workbookViewId="0">
      <x:pane ySplit="3" topLeftCell="A4" activePane="bottomLeft" state="frozen"/>
    </x:sheetView>
  </x:sheetViews>
  <x:sheetFormatPr defaultColWidth="9" defaultRowHeight="14.25"/>
  <x:cols>
    <x:col min="1" max="1" width="23" customWidth="1"/>
    <x:col min="2" max="2" width="17" customWidth="1"/>
    <x:col min="3" max="5" width="12" customWidth="1"/>
    <x:col min="6" max="16" width="13" customWidth="1"/>
    <x:col min="17" max="17" width="18" customWidth="1"/>
    <x:col min="18" max="18" width="24" customWidth="1"/>
    <x:col min="19" max="19" width="21" customWidth="1"/>
    <x:col min="20" max="20" width="17" customWidth="1"/>
    <x:col min="21" max="21" width="16" customWidth="1"/>
    <x:col min="22" max="22" width="70" customWidth="1"/>
    <x:col min="23" max="23" width="65" customWidth="1"/>
    <x:col min="24" max="24" width="90" customWidth="1"/>
  </x:cols>
  <x:sheetData>
    <x:row r="1" ht="34" customHeight="1">
      <x:c r="A1" s="1" t="s">
        <x:v>754</x:v>
      </x:c>
      <x:c r="B1" s="1"/>
      <x:c r="C1" s="1"/>
      <x:c r="D1" s="1"/>
      <x:c r="E1" s="1"/>
      <x:c r="F1" s="1"/>
      <x:c r="G1" s="1"/>
      <x:c r="H1" s="1"/>
      <x:c r="I1" s="1"/>
      <x:c r="J1" s="1"/>
      <x:c r="K1" s="1"/>
      <x:c r="L1" s="1"/>
      <x:c r="M1" s="1"/>
      <x:c r="N1" s="1"/>
      <x:c r="O1" s="1"/>
      <x:c r="P1" s="1"/>
      <x:c r="Q1" s="1"/>
      <x:c r="R1" s="1"/>
      <x:c r="S1" s="1"/>
      <x:c r="T1" s="1"/>
      <x:c r="U1" s="1"/>
      <x:c r="V1" s="1"/>
      <x:c r="W1" s="1"/>
      <x:c r="X1" s="1"/>
    </x:row>
    <x:row r="2" ht="32" customHeight="1">
      <x:c r="A2" s="2" t="s">
        <x:v>755</x:v>
      </x:c>
      <x:c r="B2" s="2"/>
      <x:c r="C2" s="2"/>
      <x:c r="D2" s="2"/>
      <x:c r="E2" s="2"/>
      <x:c r="F2" s="2"/>
      <x:c r="G2" s="2"/>
      <x:c r="H2" s="2"/>
      <x:c r="I2" s="2"/>
      <x:c r="J2" s="2"/>
      <x:c r="K2" s="2"/>
      <x:c r="L2" s="2"/>
      <x:c r="M2" s="2"/>
      <x:c r="N2" s="2"/>
      <x:c r="O2" s="2"/>
      <x:c r="P2" s="2"/>
      <x:c r="Q2" s="2"/>
      <x:c r="R2" s="2"/>
      <x:c r="S2" s="2"/>
      <x:c r="T2" s="2"/>
      <x:c r="U2" s="2"/>
      <x:c r="V2" s="2"/>
      <x:c r="W2" s="2"/>
      <x:c r="X2" s="2"/>
    </x:row>
    <x:row r="3" ht="28" customHeight="1">
      <x:c r="A3" s="5" t="s">
        <x:v>22</x:v>
      </x:c>
      <x:c r="B3" s="5" t="s">
        <x:v>23</x:v>
      </x:c>
      <x:c r="C3" s="5" t="s">
        <x:v>756</x:v>
      </x:c>
      <x:c r="D3" s="5" t="s">
        <x:v>757</x:v>
      </x:c>
      <x:c r="E3" s="5" t="s">
        <x:v>758</x:v>
      </x:c>
      <x:c r="F3" s="5" t="s">
        <x:v>604</x:v>
      </x:c>
      <x:c r="G3" s="5" t="s">
        <x:v>605</x:v>
      </x:c>
      <x:c r="H3" s="5" t="s">
        <x:v>606</x:v>
      </x:c>
      <x:c r="I3" s="5" t="s">
        <x:v>40</x:v>
      </x:c>
      <x:c r="J3" s="5" t="s">
        <x:v>42</x:v>
      </x:c>
      <x:c r="K3" s="5" t="s">
        <x:v>44</x:v>
      </x:c>
      <x:c r="L3" s="5" t="s">
        <x:v>45</x:v>
      </x:c>
      <x:c r="M3" s="5" t="s">
        <x:v>46</x:v>
      </x:c>
      <x:c r="N3" s="5" t="s">
        <x:v>607</x:v>
      </x:c>
      <x:c r="O3" s="5" t="s">
        <x:v>608</x:v>
      </x:c>
      <x:c r="P3" s="5" t="s">
        <x:v>609</x:v>
      </x:c>
      <x:c r="Q3" s="5" t="s">
        <x:v>189</x:v>
      </x:c>
      <x:c r="R3" s="5" t="s">
        <x:v>50</x:v>
      </x:c>
      <x:c r="S3" s="5" t="s">
        <x:v>190</x:v>
      </x:c>
      <x:c r="T3" s="5" t="s">
        <x:v>690</x:v>
      </x:c>
      <x:c r="U3" s="5" t="s">
        <x:v>691</x:v>
      </x:c>
      <x:c r="V3" s="5" t="s">
        <x:v>759</x:v>
      </x:c>
      <x:c r="W3" s="5" t="s">
        <x:v>692</x:v>
      </x:c>
      <x:c r="X3" s="5" t="s">
        <x:v>192</x:v>
      </x:c>
    </x:row>
    <x:row r="4" ht="38" customHeight="1">
      <x:c r="A4" s="7" t="s">
        <x:v>760</x:v>
      </x:c>
      <x:c r="B4" s="7" t="s">
        <x:v>761</x:v>
      </x:c>
      <x:c r="C4" s="7">
        <x:v>3</x:v>
      </x:c>
      <x:c r="D4" s="7">
        <x:v>50</x:v>
      </x:c>
      <x:c r="E4" s="7">
        <x:v>10</x:v>
      </x:c>
      <x:c r="F4" s="7">
        <x:v>560</x:v>
      </x:c>
      <x:c r="G4" s="7">
        <x:v>23</x:v>
      </x:c>
      <x:c r="H4" s="7">
        <x:v>3</x:v>
      </x:c>
      <x:c r="I4" s="7">
        <x:v>1</x:v>
      </x:c>
      <x:c r="J4" s="7">
        <x:v>248</x:v>
      </x:c>
      <x:c r="K4" s="7">
        <x:v>165</x:v>
      </x:c>
      <x:c r="L4" s="9">
        <x:v>0.05</x:v>
      </x:c>
      <x:c r="M4" s="7">
        <x:v>1.5</x:v>
      </x:c>
      <x:c r="N4" s="7" t="n">
        <x:f t="shared" ref="N4:N15" si="0">ROUND(G4*I4*(1+L4*(M4-1)),1)</x:f>
        <x:v>23.6</x:v>
      </x:c>
      <x:c r="O4" s="7">
        <x:v>522</x:v>
      </x:c>
      <x:c r="P4" s="7" t="n">
        <x:f t="shared" ref="P4:P15" si="1">ROUND(F4*(1+H4/100),0)</x:f>
        <x:v>577</x:v>
      </x:c>
      <x:c r="Q4" s="7" t="s">
        <x:v>762</x:v>
      </x:c>
      <x:c r="R4" s="7" t="s">
        <x:v>763</x:v>
      </x:c>
      <x:c r="S4" s="7" t="s">
        <x:v>211</x:v>
      </x:c>
      <x:c r="T4" s="7" t="s">
        <x:v>697</x:v>
      </x:c>
      <x:c r="U4" s="7">
        <x:v>10</x:v>
      </x:c>
      <x:c r="V4" s="7" t="s">
        <x:v>764</x:v>
      </x:c>
      <x:c r="W4" s="7" t="s">
        <x:v>765</x:v>
      </x:c>
      <x:c r="X4" s="7" t="s">
        <x:v>766</x:v>
      </x:c>
    </x:row>
    <x:row r="5" ht="38" customHeight="1">
      <x:c r="A5" s="8" t="s">
        <x:v>767</x:v>
      </x:c>
      <x:c r="B5" s="8" t="s">
        <x:v>768</x:v>
      </x:c>
      <x:c r="C5" s="8">
        <x:v>6</x:v>
      </x:c>
      <x:c r="D5" s="8">
        <x:v>100</x:v>
      </x:c>
      <x:c r="E5" s="8">
        <x:v>20</x:v>
      </x:c>
      <x:c r="F5" s="8">
        <x:v>1200</x:v>
      </x:c>
      <x:c r="G5" s="8">
        <x:v>28</x:v>
      </x:c>
      <x:c r="H5" s="8">
        <x:v>10</x:v>
      </x:c>
      <x:c r="I5" s="8">
        <x:v>0.85</x:v>
      </x:c>
      <x:c r="J5" s="8">
        <x:v>32</x:v>
      </x:c>
      <x:c r="K5" s="8">
        <x:v>154</x:v>
      </x:c>
      <x:c r="L5" s="10">
        <x:v>0.05</x:v>
      </x:c>
      <x:c r="M5" s="8">
        <x:v>1.5</x:v>
      </x:c>
      <x:c r="N5" s="8">
        <x:f t="shared" si="0"/>
        <x:v>24.4</x:v>
      </x:c>
      <x:c r="O5" s="8">
        <x:v>252</x:v>
      </x:c>
      <x:c r="P5" s="8">
        <x:f t="shared" si="1"/>
        <x:v>1320</x:v>
      </x:c>
      <x:c r="Q5" s="8" t="s">
        <x:v>769</x:v>
      </x:c>
      <x:c r="R5" s="8" t="s">
        <x:v>770</x:v>
      </x:c>
      <x:c r="S5" s="8" t="s">
        <x:v>771</x:v>
      </x:c>
      <x:c r="T5" s="8" t="s">
        <x:v>697</x:v>
      </x:c>
      <x:c r="U5" s="8">
        <x:v>10</x:v>
      </x:c>
      <x:c r="V5" s="8"/>
      <x:c r="W5" s="8" t="s">
        <x:v>772</x:v>
      </x:c>
      <x:c r="X5" s="8" t="s">
        <x:v>773</x:v>
      </x:c>
    </x:row>
    <x:row r="6" ht="38" customHeight="1">
      <x:c r="A6" s="7" t="s">
        <x:v>774</x:v>
      </x:c>
      <x:c r="B6" s="7" t="s">
        <x:v>775</x:v>
      </x:c>
      <x:c r="C6" s="7">
        <x:v>9</x:v>
      </x:c>
      <x:c r="D6" s="7">
        <x:v>150</x:v>
      </x:c>
      <x:c r="E6" s="7">
        <x:v>30</x:v>
      </x:c>
      <x:c r="F6" s="7">
        <x:v>960</x:v>
      </x:c>
      <x:c r="G6" s="7">
        <x:v>52</x:v>
      </x:c>
      <x:c r="H6" s="7">
        <x:v>7</x:v>
      </x:c>
      <x:c r="I6" s="7">
        <x:v>1</x:v>
      </x:c>
      <x:c r="J6" s="7">
        <x:v>32</x:v>
      </x:c>
      <x:c r="K6" s="7">
        <x:v>170.5</x:v>
      </x:c>
      <x:c r="L6" s="9">
        <x:v>0.05</x:v>
      </x:c>
      <x:c r="M6" s="7">
        <x:v>1.5</x:v>
      </x:c>
      <x:c r="N6" s="7">
        <x:f t="shared" si="0"/>
        <x:v>53.3</x:v>
      </x:c>
      <x:c r="O6" s="7">
        <x:v>730</x:v>
      </x:c>
      <x:c r="P6" s="7">
        <x:f t="shared" si="1"/>
        <x:v>1027</x:v>
      </x:c>
      <x:c r="Q6" s="7" t="s">
        <x:v>776</x:v>
      </x:c>
      <x:c r="R6" s="7" t="s">
        <x:v>777</x:v>
      </x:c>
      <x:c r="S6" s="7" t="s">
        <x:v>201</x:v>
      </x:c>
      <x:c r="T6" s="7" t="s">
        <x:v>697</x:v>
      </x:c>
      <x:c r="U6" s="7">
        <x:v>0</x:v>
      </x:c>
      <x:c r="V6" s="7"/>
      <x:c r="W6" s="7" t="s">
        <x:v>778</x:v>
      </x:c>
      <x:c r="X6" s="7" t="s">
        <x:v>779</x:v>
      </x:c>
    </x:row>
    <x:row r="7" ht="38" customHeight="1">
      <x:c r="A7" s="8" t="s">
        <x:v>780</x:v>
      </x:c>
      <x:c r="B7" s="8" t="s">
        <x:v>781</x:v>
      </x:c>
      <x:c r="C7" s="8">
        <x:v>12</x:v>
      </x:c>
      <x:c r="D7" s="8">
        <x:v>200</x:v>
      </x:c>
      <x:c r="E7" s="8">
        <x:v>40</x:v>
      </x:c>
      <x:c r="F7" s="8">
        <x:v>1600</x:v>
      </x:c>
      <x:c r="G7" s="8">
        <x:v>57</x:v>
      </x:c>
      <x:c r="H7" s="8">
        <x:v>8</x:v>
      </x:c>
      <x:c r="I7" s="8">
        <x:v>0.9</x:v>
      </x:c>
      <x:c r="J7" s="8">
        <x:v>32</x:v>
      </x:c>
      <x:c r="K7" s="8">
        <x:v>187</x:v>
      </x:c>
      <x:c r="L7" s="10">
        <x:v>0.05</x:v>
      </x:c>
      <x:c r="M7" s="8">
        <x:v>1.5</x:v>
      </x:c>
      <x:c r="N7" s="8">
        <x:f t="shared" si="0"/>
        <x:v>52.6</x:v>
      </x:c>
      <x:c r="O7" s="8">
        <x:v>1022</x:v>
      </x:c>
      <x:c r="P7" s="8">
        <x:f t="shared" si="1"/>
        <x:v>1728</x:v>
      </x:c>
      <x:c r="Q7" s="8" t="s">
        <x:v>782</x:v>
      </x:c>
      <x:c r="R7" s="8" t="s">
        <x:v>783</x:v>
      </x:c>
      <x:c r="S7" s="8" t="s">
        <x:v>784</x:v>
      </x:c>
      <x:c r="T7" s="8" t="s">
        <x:v>697</x:v>
      </x:c>
      <x:c r="U7" s="8">
        <x:v>9</x:v>
      </x:c>
      <x:c r="V7" s="8" t="s">
        <x:v>785</x:v>
      </x:c>
      <x:c r="W7" s="8" t="s">
        <x:v>786</x:v>
      </x:c>
      <x:c r="X7" s="8" t="s">
        <x:v>787</x:v>
      </x:c>
    </x:row>
    <x:row r="8" ht="38" customHeight="1">
      <x:c r="A8" s="7" t="s">
        <x:v>788</x:v>
      </x:c>
      <x:c r="B8" s="7" t="s">
        <x:v>789</x:v>
      </x:c>
      <x:c r="C8" s="7">
        <x:v>15</x:v>
      </x:c>
      <x:c r="D8" s="7">
        <x:v>250</x:v>
      </x:c>
      <x:c r="E8" s="7">
        <x:v>50</x:v>
      </x:c>
      <x:c r="F8" s="7">
        <x:v>1040</x:v>
      </x:c>
      <x:c r="G8" s="7">
        <x:v>33</x:v>
      </x:c>
      <x:c r="H8" s="7">
        <x:v>7</x:v>
      </x:c>
      <x:c r="I8" s="7">
        <x:v>0.9</x:v>
      </x:c>
      <x:c r="J8" s="7">
        <x:v>248</x:v>
      </x:c>
      <x:c r="K8" s="7">
        <x:v>165</x:v>
      </x:c>
      <x:c r="L8" s="9">
        <x:v>0.05</x:v>
      </x:c>
      <x:c r="M8" s="7">
        <x:v>1.5</x:v>
      </x:c>
      <x:c r="N8" s="7">
        <x:f t="shared" si="0"/>
        <x:v>30.4</x:v>
      </x:c>
      <x:c r="O8" s="7">
        <x:v>297</x:v>
      </x:c>
      <x:c r="P8" s="7">
        <x:f t="shared" si="1"/>
        <x:v>1113</x:v>
      </x:c>
      <x:c r="Q8" s="7" t="s">
        <x:v>790</x:v>
      </x:c>
      <x:c r="R8" s="7" t="s">
        <x:v>791</x:v>
      </x:c>
      <x:c r="S8" s="7" t="s">
        <x:v>211</x:v>
      </x:c>
      <x:c r="T8" s="7" t="s">
        <x:v>697</x:v>
      </x:c>
      <x:c r="U8" s="7">
        <x:v>6</x:v>
      </x:c>
      <x:c r="V8" s="7"/>
      <x:c r="W8" s="7" t="s">
        <x:v>792</x:v>
      </x:c>
      <x:c r="X8" s="7" t="s">
        <x:v>793</x:v>
      </x:c>
    </x:row>
    <x:row r="9" ht="38" customHeight="1">
      <x:c r="A9" s="8" t="s">
        <x:v>794</x:v>
      </x:c>
      <x:c r="B9" s="8" t="s">
        <x:v>795</x:v>
      </x:c>
      <x:c r="C9" s="8">
        <x:v>18</x:v>
      </x:c>
      <x:c r="D9" s="8">
        <x:v>300</x:v>
      </x:c>
      <x:c r="E9" s="8">
        <x:v>60</x:v>
      </x:c>
      <x:c r="F9" s="8">
        <x:v>1614</x:v>
      </x:c>
      <x:c r="G9" s="8">
        <x:v>97</x:v>
      </x:c>
      <x:c r="H9" s="8">
        <x:v>6</x:v>
      </x:c>
      <x:c r="I9" s="8">
        <x:v>1.35</x:v>
      </x:c>
      <x:c r="J9" s="8">
        <x:v>32</x:v>
      </x:c>
      <x:c r="K9" s="8">
        <x:v>198</x:v>
      </x:c>
      <x:c r="L9" s="10">
        <x:v>0.05</x:v>
      </x:c>
      <x:c r="M9" s="8">
        <x:v>1.5</x:v>
      </x:c>
      <x:c r="N9" s="8">
        <x:f t="shared" si="0"/>
        <x:v>134.2</x:v>
      </x:c>
      <x:c r="O9" s="8">
        <x:v>1404</x:v>
      </x:c>
      <x:c r="P9" s="8">
        <x:f t="shared" si="1"/>
        <x:v>1711</x:v>
      </x:c>
      <x:c r="Q9" s="8" t="s">
        <x:v>796</x:v>
      </x:c>
      <x:c r="R9" s="8" t="s">
        <x:v>797</x:v>
      </x:c>
      <x:c r="S9" s="8" t="s">
        <x:v>211</x:v>
      </x:c>
      <x:c r="T9" s="8" t="s">
        <x:v>697</x:v>
      </x:c>
      <x:c r="U9" s="8">
        <x:v>6</x:v>
      </x:c>
      <x:c r="V9" s="8"/>
      <x:c r="W9" s="8" t="s">
        <x:v>798</x:v>
      </x:c>
      <x:c r="X9" s="8" t="s">
        <x:v>799</x:v>
      </x:c>
    </x:row>
    <x:row r="10" ht="38" customHeight="1">
      <x:c r="A10" s="7" t="s">
        <x:v>800</x:v>
      </x:c>
      <x:c r="B10" s="7" t="s">
        <x:v>801</x:v>
      </x:c>
      <x:c r="C10" s="7">
        <x:v>21</x:v>
      </x:c>
      <x:c r="D10" s="7">
        <x:v>350</x:v>
      </x:c>
      <x:c r="E10" s="7">
        <x:v>70</x:v>
      </x:c>
      <x:c r="F10" s="7">
        <x:v>1734</x:v>
      </x:c>
      <x:c r="G10" s="7">
        <x:v>74</x:v>
      </x:c>
      <x:c r="H10" s="7">
        <x:v>11</x:v>
      </x:c>
      <x:c r="I10" s="7">
        <x:v>0.95</x:v>
      </x:c>
      <x:c r="J10" s="7">
        <x:v>32</x:v>
      </x:c>
      <x:c r="K10" s="7">
        <x:v>165</x:v>
      </x:c>
      <x:c r="L10" s="9">
        <x:v>0.05</x:v>
      </x:c>
      <x:c r="M10" s="7">
        <x:v>1.5</x:v>
      </x:c>
      <x:c r="N10" s="7">
        <x:f t="shared" si="0"/>
        <x:v>72.1</x:v>
      </x:c>
      <x:c r="O10" s="7">
        <x:v>1036</x:v>
      </x:c>
      <x:c r="P10" s="7">
        <x:f t="shared" si="1"/>
        <x:v>1925</x:v>
      </x:c>
      <x:c r="Q10" s="7" t="s">
        <x:v>802</x:v>
      </x:c>
      <x:c r="R10" s="7" t="s">
        <x:v>803</x:v>
      </x:c>
      <x:c r="S10" s="7" t="s">
        <x:v>804</x:v>
      </x:c>
      <x:c r="T10" s="7" t="s">
        <x:v>697</x:v>
      </x:c>
      <x:c r="U10" s="7">
        <x:v>30</x:v>
      </x:c>
      <x:c r="V10" s="7"/>
      <x:c r="W10" s="7" t="s">
        <x:v>805</x:v>
      </x:c>
      <x:c r="X10" s="7" t="s">
        <x:v>806</x:v>
      </x:c>
    </x:row>
    <x:row r="11" ht="38" customHeight="1">
      <x:c r="A11" s="8" t="s">
        <x:v>807</x:v>
      </x:c>
      <x:c r="B11" s="8" t="s">
        <x:v>808</x:v>
      </x:c>
      <x:c r="C11" s="8">
        <x:v>24</x:v>
      </x:c>
      <x:c r="D11" s="8">
        <x:v>400</x:v>
      </x:c>
      <x:c r="E11" s="8">
        <x:v>80</x:v>
      </x:c>
      <x:c r="F11" s="8">
        <x:v>1666</x:v>
      </x:c>
      <x:c r="G11" s="8">
        <x:v>108</x:v>
      </x:c>
      <x:c r="H11" s="8">
        <x:v>7</x:v>
      </x:c>
      <x:c r="I11" s="8">
        <x:v>1.25</x:v>
      </x:c>
      <x:c r="J11" s="8">
        <x:v>248</x:v>
      </x:c>
      <x:c r="K11" s="8">
        <x:v>176</x:v>
      </x:c>
      <x:c r="L11" s="10">
        <x:v>0.25</x:v>
      </x:c>
      <x:c r="M11" s="8">
        <x:v>1.5</x:v>
      </x:c>
      <x:c r="N11" s="8">
        <x:f t="shared" si="0"/>
        <x:v>151.9</x:v>
      </x:c>
      <x:c r="O11" s="8">
        <x:v>1470</x:v>
      </x:c>
      <x:c r="P11" s="8">
        <x:f t="shared" si="1"/>
        <x:v>1783</x:v>
      </x:c>
      <x:c r="Q11" s="8" t="s">
        <x:v>809</x:v>
      </x:c>
      <x:c r="R11" s="8" t="s">
        <x:v>810</x:v>
      </x:c>
      <x:c r="S11" s="8" t="s">
        <x:v>211</x:v>
      </x:c>
      <x:c r="T11" s="8" t="s">
        <x:v>697</x:v>
      </x:c>
      <x:c r="U11" s="8">
        <x:v>10</x:v>
      </x:c>
      <x:c r="V11" s="8" t="s">
        <x:v>811</x:v>
      </x:c>
      <x:c r="W11" s="8" t="s">
        <x:v>812</x:v>
      </x:c>
      <x:c r="X11" s="8" t="s">
        <x:v>813</x:v>
      </x:c>
    </x:row>
    <x:row r="12" ht="38" customHeight="1">
      <x:c r="A12" s="7" t="s">
        <x:v>814</x:v>
      </x:c>
      <x:c r="B12" s="7" t="s">
        <x:v>815</x:v>
      </x:c>
      <x:c r="C12" s="7">
        <x:v>27</x:v>
      </x:c>
      <x:c r="D12" s="7">
        <x:v>450</x:v>
      </x:c>
      <x:c r="E12" s="7">
        <x:v>90</x:v>
      </x:c>
      <x:c r="F12" s="7">
        <x:v>2566</x:v>
      </x:c>
      <x:c r="G12" s="7">
        <x:v>95</x:v>
      </x:c>
      <x:c r="H12" s="7">
        <x:v>12</x:v>
      </x:c>
      <x:c r="I12" s="7">
        <x:v>1</x:v>
      </x:c>
      <x:c r="J12" s="7">
        <x:v>32</x:v>
      </x:c>
      <x:c r="K12" s="7">
        <x:v>176</x:v>
      </x:c>
      <x:c r="L12" s="9">
        <x:v>0.05</x:v>
      </x:c>
      <x:c r="M12" s="7">
        <x:v>1.5</x:v>
      </x:c>
      <x:c r="N12" s="7">
        <x:f t="shared" si="0"/>
        <x:v>97.4</x:v>
      </x:c>
      <x:c r="O12" s="7">
        <x:v>850</x:v>
      </x:c>
      <x:c r="P12" s="7">
        <x:f t="shared" si="1"/>
        <x:v>2874</x:v>
      </x:c>
      <x:c r="Q12" s="7" t="s">
        <x:v>816</x:v>
      </x:c>
      <x:c r="R12" s="7" t="s">
        <x:v>817</x:v>
      </x:c>
      <x:c r="S12" s="7" t="s">
        <x:v>818</x:v>
      </x:c>
      <x:c r="T12" s="7" t="s">
        <x:v>697</x:v>
      </x:c>
      <x:c r="U12" s="7">
        <x:v>0</x:v>
      </x:c>
      <x:c r="V12" s="7"/>
      <x:c r="W12" s="7" t="s">
        <x:v>819</x:v>
      </x:c>
      <x:c r="X12" s="7" t="s">
        <x:v>820</x:v>
      </x:c>
    </x:row>
    <x:row r="13" ht="38" customHeight="1">
      <x:c r="A13" s="8" t="s">
        <x:v>821</x:v>
      </x:c>
      <x:c r="B13" s="8" t="s">
        <x:v>822</x:v>
      </x:c>
      <x:c r="C13" s="8">
        <x:v>30</x:v>
      </x:c>
      <x:c r="D13" s="8">
        <x:v>500</x:v>
      </x:c>
      <x:c r="E13" s="8">
        <x:v>100</x:v>
      </x:c>
      <x:c r="F13" s="8">
        <x:v>2220</x:v>
      </x:c>
      <x:c r="G13" s="8">
        <x:v>77</x:v>
      </x:c>
      <x:c r="H13" s="8">
        <x:v>16</x:v>
      </x:c>
      <x:c r="I13" s="8">
        <x:v>0.9</x:v>
      </x:c>
      <x:c r="J13" s="8">
        <x:v>32</x:v>
      </x:c>
      <x:c r="K13" s="8">
        <x:v>159.5</x:v>
      </x:c>
      <x:c r="L13" s="10">
        <x:v>0.05</x:v>
      </x:c>
      <x:c r="M13" s="8">
        <x:v>1.5</x:v>
      </x:c>
      <x:c r="N13" s="8">
        <x:f t="shared" si="0"/>
        <x:v>71</x:v>
      </x:c>
      <x:c r="O13" s="8">
        <x:v>924</x:v>
      </x:c>
      <x:c r="P13" s="8">
        <x:f t="shared" si="1"/>
        <x:v>2575</x:v>
      </x:c>
      <x:c r="Q13" s="8" t="s">
        <x:v>823</x:v>
      </x:c>
      <x:c r="R13" s="8" t="s">
        <x:v>824</x:v>
      </x:c>
      <x:c r="S13" s="8" t="s">
        <x:v>211</x:v>
      </x:c>
      <x:c r="T13" s="8" t="s">
        <x:v>697</x:v>
      </x:c>
      <x:c r="U13" s="8">
        <x:v>8</x:v>
      </x:c>
      <x:c r="V13" s="8"/>
      <x:c r="W13" s="8" t="s">
        <x:v>825</x:v>
      </x:c>
      <x:c r="X13" s="8" t="s">
        <x:v>826</x:v>
      </x:c>
    </x:row>
    <x:row r="14" ht="38" customHeight="1">
      <x:c r="A14" s="7" t="s">
        <x:v>827</x:v>
      </x:c>
      <x:c r="B14" s="7" t="s">
        <x:v>828</x:v>
      </x:c>
      <x:c r="C14" s="7">
        <x:v>33</x:v>
      </x:c>
      <x:c r="D14" s="7">
        <x:v>550</x:v>
      </x:c>
      <x:c r="E14" s="7">
        <x:v>110</x:v>
      </x:c>
      <x:c r="F14" s="7">
        <x:v>2300</x:v>
      </x:c>
      <x:c r="G14" s="7">
        <x:v>88</x:v>
      </x:c>
      <x:c r="H14" s="7">
        <x:v>12</x:v>
      </x:c>
      <x:c r="I14" s="7">
        <x:v>0.95</x:v>
      </x:c>
      <x:c r="J14" s="7">
        <x:v>248</x:v>
      </x:c>
      <x:c r="K14" s="7">
        <x:v>170.5</x:v>
      </x:c>
      <x:c r="L14" s="9">
        <x:v>0.05</x:v>
      </x:c>
      <x:c r="M14" s="7">
        <x:v>1.5</x:v>
      </x:c>
      <x:c r="N14" s="7">
        <x:f t="shared" si="0"/>
        <x:v>85.7</x:v>
      </x:c>
      <x:c r="O14" s="7">
        <x:v>880</x:v>
      </x:c>
      <x:c r="P14" s="7">
        <x:f t="shared" si="1"/>
        <x:v>2576</x:v>
      </x:c>
      <x:c r="Q14" s="7" t="s">
        <x:v>829</x:v>
      </x:c>
      <x:c r="R14" s="7" t="s">
        <x:v>830</x:v>
      </x:c>
      <x:c r="S14" s="7" t="s">
        <x:v>211</x:v>
      </x:c>
      <x:c r="T14" s="7" t="s">
        <x:v>697</x:v>
      </x:c>
      <x:c r="U14" s="7">
        <x:v>8</x:v>
      </x:c>
      <x:c r="V14" s="7" t="s">
        <x:v>831</x:v>
      </x:c>
      <x:c r="W14" s="7" t="s">
        <x:v>832</x:v>
      </x:c>
      <x:c r="X14" s="7" t="s">
        <x:v>833</x:v>
      </x:c>
    </x:row>
    <x:row r="15" ht="38" customHeight="1">
      <x:c r="A15" s="8" t="s">
        <x:v>834</x:v>
      </x:c>
      <x:c r="B15" s="8" t="s">
        <x:v>835</x:v>
      </x:c>
      <x:c r="C15" s="8">
        <x:v>36</x:v>
      </x:c>
      <x:c r="D15" s="8">
        <x:v>600</x:v>
      </x:c>
      <x:c r="E15" s="8">
        <x:v>120</x:v>
      </x:c>
      <x:c r="F15" s="8">
        <x:v>2866</x:v>
      </x:c>
      <x:c r="G15" s="8">
        <x:v>164</x:v>
      </x:c>
      <x:c r="H15" s="8">
        <x:v>13</x:v>
      </x:c>
      <x:c r="I15" s="8">
        <x:v>1.5</x:v>
      </x:c>
      <x:c r="J15" s="8">
        <x:v>32</x:v>
      </x:c>
      <x:c r="K15" s="8">
        <x:v>181.5</x:v>
      </x:c>
      <x:c r="L15" s="10">
        <x:v>0.05</x:v>
      </x:c>
      <x:c r="M15" s="8">
        <x:v>1.5</x:v>
      </x:c>
      <x:c r="N15" s="8">
        <x:f t="shared" si="0"/>
        <x:v>252.2</x:v>
      </x:c>
      <x:c r="O15" s="8">
        <x:v>1240</x:v>
      </x:c>
      <x:c r="P15" s="8">
        <x:f t="shared" si="1"/>
        <x:v>3239</x:v>
      </x:c>
      <x:c r="Q15" s="8" t="s">
        <x:v>836</x:v>
      </x:c>
      <x:c r="R15" s="8" t="s">
        <x:v>837</x:v>
      </x:c>
      <x:c r="S15" s="8" t="s">
        <x:v>838</x:v>
      </x:c>
      <x:c r="T15" s="8" t="s">
        <x:v>697</x:v>
      </x:c>
      <x:c r="U15" s="8">
        <x:v>0</x:v>
      </x:c>
      <x:c r="V15" s="8"/>
      <x:c r="W15" s="8" t="s">
        <x:v>839</x:v>
      </x:c>
      <x:c r="X15" s="8" t="s">
        <x:v>840</x:v>
      </x:c>
    </x:row>
  </x:sheetData>
  <x:mergeCells>
    <x:mergeCell ref="A1:X1"/>
    <x:mergeCell ref="A2:X2"/>
  </x:mergeCells>
  <x:pageMargins left="0.7" right="0.7" top="0.75" bottom="0.75" header="0.3" footer="0.3"/>
</x:worksheet>
</file>

<file path=xl/worksheets/sheet9.xml><?xml version="1.0" encoding="utf-8"?>
<x:worksheet xmlns:x="http://schemas.openxmlformats.org/spreadsheetml/2006/main">
  <x:sheetViews>
    <x:sheetView showGridLines="0" workbookViewId="0">
      <x:pane ySplit="3" topLeftCell="A4" activePane="bottomLeft" state="frozen"/>
    </x:sheetView>
  </x:sheetViews>
  <x:sheetFormatPr defaultColWidth="9" defaultRowHeight="14.25"/>
  <x:cols>
    <x:col min="1" max="1" width="24" customWidth="1"/>
    <x:col min="2" max="2" width="19" customWidth="1"/>
    <x:col min="3" max="3" width="16" customWidth="1"/>
    <x:col min="4" max="4" width="18" customWidth="1"/>
    <x:col min="5" max="5" width="105" customWidth="1"/>
    <x:col min="6" max="6" width="48" customWidth="1"/>
    <x:col min="7" max="7" width="65" customWidth="1"/>
    <x:col min="8" max="8" width="19" customWidth="1"/>
  </x:cols>
  <x:sheetData>
    <x:row r="1" ht="34" customHeight="1">
      <x:c r="A1" s="1" t="s">
        <x:v>841</x:v>
      </x:c>
      <x:c r="B1" s="1"/>
      <x:c r="C1" s="1"/>
      <x:c r="D1" s="1"/>
      <x:c r="E1" s="1"/>
      <x:c r="F1" s="1"/>
      <x:c r="G1" s="1"/>
      <x:c r="H1" s="1"/>
    </x:row>
    <x:row r="2" ht="32" customHeight="1">
      <x:c r="A2" s="2" t="s">
        <x:v>842</x:v>
      </x:c>
      <x:c r="B2" s="2"/>
      <x:c r="C2" s="2"/>
      <x:c r="D2" s="2"/>
      <x:c r="E2" s="2"/>
      <x:c r="F2" s="2"/>
      <x:c r="G2" s="2"/>
      <x:c r="H2" s="2"/>
    </x:row>
    <x:row r="3" ht="28" customHeight="1">
      <x:c r="A3" s="5" t="s">
        <x:v>22</x:v>
      </x:c>
      <x:c r="B3" s="5" t="s">
        <x:v>23</x:v>
      </x:c>
      <x:c r="C3" s="5" t="s">
        <x:v>843</x:v>
      </x:c>
      <x:c r="D3" s="5" t="s">
        <x:v>844</x:v>
      </x:c>
      <x:c r="E3" s="5" t="s">
        <x:v>845</x:v>
      </x:c>
      <x:c r="F3" s="5" t="s">
        <x:v>846</x:v>
      </x:c>
      <x:c r="G3" s="5" t="s">
        <x:v>847</x:v>
      </x:c>
      <x:c r="H3" s="5" t="s">
        <x:v>199</x:v>
      </x:c>
    </x:row>
    <x:row r="4" ht="38" customHeight="1">
      <x:c r="A4" s="7" t="s">
        <x:v>848</x:v>
      </x:c>
      <x:c r="B4" s="7" t="s">
        <x:v>849</x:v>
      </x:c>
      <x:c r="C4" s="7" t="s">
        <x:v>606</x:v>
      </x:c>
      <x:c r="D4" s="7" t="s">
        <x:v>850</x:v>
      </x:c>
      <x:c r="E4" s="7" t="s">
        <x:v>851</x:v>
      </x:c>
      <x:c r="F4" s="7" t="s">
        <x:v>852</x:v>
      </x:c>
      <x:c r="G4" s="7" t="s">
        <x:v>853</x:v>
      </x:c>
      <x:c r="H4" s="7" t="s">
        <x:v>546</x:v>
      </x:c>
    </x:row>
    <x:row r="5" ht="38" customHeight="1">
      <x:c r="A5" s="8" t="s">
        <x:v>854</x:v>
      </x:c>
      <x:c r="B5" s="8" t="s">
        <x:v>855</x:v>
      </x:c>
      <x:c r="C5" s="8" t="s">
        <x:v>606</x:v>
      </x:c>
      <x:c r="D5" s="8" t="s">
        <x:v>850</x:v>
      </x:c>
      <x:c r="E5" s="8" t="s">
        <x:v>856</x:v>
      </x:c>
      <x:c r="F5" s="8" t="s">
        <x:v>857</x:v>
      </x:c>
      <x:c r="G5" s="8" t="s">
        <x:v>858</x:v>
      </x:c>
      <x:c r="H5" s="8" t="s">
        <x:v>546</x:v>
      </x:c>
    </x:row>
    <x:row r="6" ht="38" customHeight="1">
      <x:c r="A6" s="7" t="s">
        <x:v>859</x:v>
      </x:c>
      <x:c r="B6" s="7" t="s">
        <x:v>860</x:v>
      </x:c>
      <x:c r="C6" s="7" t="s">
        <x:v>606</x:v>
      </x:c>
      <x:c r="D6" s="7" t="s">
        <x:v>330</x:v>
      </x:c>
      <x:c r="E6" s="7" t="s">
        <x:v>861</x:v>
      </x:c>
      <x:c r="F6" s="7" t="s">
        <x:v>862</x:v>
      </x:c>
      <x:c r="G6" s="7" t="s">
        <x:v>863</x:v>
      </x:c>
      <x:c r="H6" s="7" t="s">
        <x:v>546</x:v>
      </x:c>
    </x:row>
    <x:row r="7" ht="38" customHeight="1">
      <x:c r="A7" s="8" t="s">
        <x:v>864</x:v>
      </x:c>
      <x:c r="B7" s="8" t="s">
        <x:v>865</x:v>
      </x:c>
      <x:c r="C7" s="8" t="s">
        <x:v>606</x:v>
      </x:c>
      <x:c r="D7" s="8" t="s">
        <x:v>866</x:v>
      </x:c>
      <x:c r="E7" s="8" t="s">
        <x:v>867</x:v>
      </x:c>
      <x:c r="F7" s="8" t="s">
        <x:v>56</x:v>
      </x:c>
      <x:c r="G7" s="8" t="s">
        <x:v>863</x:v>
      </x:c>
      <x:c r="H7" s="8" t="s">
        <x:v>546</x:v>
      </x:c>
    </x:row>
    <x:row r="8" ht="38" customHeight="1">
      <x:c r="A8" s="7" t="s">
        <x:v>868</x:v>
      </x:c>
      <x:c r="B8" s="7" t="s">
        <x:v>869</x:v>
      </x:c>
      <x:c r="C8" s="7" t="s">
        <x:v>606</x:v>
      </x:c>
      <x:c r="D8" s="7" t="s">
        <x:v>870</x:v>
      </x:c>
      <x:c r="E8" s="7" t="s">
        <x:v>871</x:v>
      </x:c>
      <x:c r="F8" s="7" t="s">
        <x:v>56</x:v>
      </x:c>
      <x:c r="G8" s="7" t="s">
        <x:v>863</x:v>
      </x:c>
      <x:c r="H8" s="7" t="s">
        <x:v>546</x:v>
      </x:c>
    </x:row>
    <x:row r="9" ht="38" customHeight="1">
      <x:c r="A9" s="8" t="s">
        <x:v>872</x:v>
      </x:c>
      <x:c r="B9" s="8" t="s">
        <x:v>873</x:v>
      </x:c>
      <x:c r="C9" s="8" t="s">
        <x:v>606</x:v>
      </x:c>
      <x:c r="D9" s="8" t="s">
        <x:v>850</x:v>
      </x:c>
      <x:c r="E9" s="8" t="s">
        <x:v>874</x:v>
      </x:c>
      <x:c r="F9" s="8" t="s">
        <x:v>56</x:v>
      </x:c>
      <x:c r="G9" s="8" t="s">
        <x:v>875</x:v>
      </x:c>
      <x:c r="H9" s="8" t="s">
        <x:v>546</x:v>
      </x:c>
    </x:row>
    <x:row r="10" ht="38" customHeight="1">
      <x:c r="A10" s="7" t="s">
        <x:v>876</x:v>
      </x:c>
      <x:c r="B10" s="7" t="s">
        <x:v>877</x:v>
      </x:c>
      <x:c r="C10" s="7" t="s">
        <x:v>878</x:v>
      </x:c>
      <x:c r="D10" s="7" t="s">
        <x:v>879</x:v>
      </x:c>
      <x:c r="E10" s="7" t="s">
        <x:v>880</x:v>
      </x:c>
      <x:c r="F10" s="7" t="s">
        <x:v>881</x:v>
      </x:c>
      <x:c r="G10" s="7" t="s">
        <x:v>863</x:v>
      </x:c>
      <x:c r="H10" s="7" t="s">
        <x:v>546</x:v>
      </x:c>
    </x:row>
    <x:row r="11" ht="38" customHeight="1">
      <x:c r="A11" s="8" t="s">
        <x:v>882</x:v>
      </x:c>
      <x:c r="B11" s="8" t="s">
        <x:v>883</x:v>
      </x:c>
      <x:c r="C11" s="8" t="s">
        <x:v>878</x:v>
      </x:c>
      <x:c r="D11" s="8" t="s">
        <x:v>884</x:v>
      </x:c>
      <x:c r="E11" s="8" t="str">
        <x:v>目标流血：每秒当前生命×6%，持续3秒；我方普通棋子普攻已流血目标时伤害+15%（本次攻击新施加的流血从下一击起生效）。</x:v>
      </x:c>
      <x:c r="F11" s="8" t="s">
        <x:v>56</x:v>
      </x:c>
      <x:c r="G11" s="8" t="s">
        <x:v>863</x:v>
      </x:c>
      <x:c r="H11" s="8" t="s">
        <x:v>546</x:v>
      </x:c>
    </x:row>
    <x:row r="12" ht="38" customHeight="1">
      <x:c r="A12" s="7" t="s">
        <x:v>885</x:v>
      </x:c>
      <x:c r="B12" s="7" t="s">
        <x:v>886</x:v>
      </x:c>
      <x:c r="C12" s="7" t="s">
        <x:v>878</x:v>
      </x:c>
      <x:c r="D12" s="7" t="s">
        <x:v>887</x:v>
      </x:c>
      <x:c r="E12" s="7" t="s">
        <x:v>888</x:v>
      </x:c>
      <x:c r="F12" s="7" t="s">
        <x:v>56</x:v>
      </x:c>
      <x:c r="G12" s="7" t="s">
        <x:v>863</x:v>
      </x:c>
      <x:c r="H12" s="7" t="s">
        <x:v>546</x:v>
      </x:c>
    </x:row>
    <x:row r="13" ht="38" customHeight="1">
      <x:c r="A13" s="8" t="s">
        <x:v>889</x:v>
      </x:c>
      <x:c r="B13" s="8" t="s">
        <x:v>890</x:v>
      </x:c>
      <x:c r="C13" s="8" t="s">
        <x:v>878</x:v>
      </x:c>
      <x:c r="D13" s="8" t="s">
        <x:v>891</x:v>
      </x:c>
      <x:c r="E13" s="8" t="s">
        <x:v>892</x:v>
      </x:c>
      <x:c r="F13" s="8" t="s">
        <x:v>56</x:v>
      </x:c>
      <x:c r="G13" s="8" t="s">
        <x:v>893</x:v>
      </x:c>
      <x:c r="H13" s="8" t="s">
        <x:v>546</x:v>
      </x:c>
    </x:row>
    <x:row r="14" ht="38" customHeight="1">
      <x:c r="A14" s="7" t="s">
        <x:v>894</x:v>
      </x:c>
      <x:c r="B14" s="7" t="s">
        <x:v>895</x:v>
      </x:c>
      <x:c r="C14" s="7" t="s">
        <x:v>878</x:v>
      </x:c>
      <x:c r="D14" s="7" t="s">
        <x:v>879</x:v>
      </x:c>
      <x:c r="E14" s="7" t="s">
        <x:v>896</x:v>
      </x:c>
      <x:c r="F14" s="7" t="s">
        <x:v>56</x:v>
      </x:c>
      <x:c r="G14" s="7" t="s">
        <x:v>863</x:v>
      </x:c>
      <x:c r="H14" s="7" t="s">
        <x:v>546</x:v>
      </x:c>
    </x:row>
    <x:row r="15" ht="38" customHeight="1">
      <x:c r="A15" s="8" t="s">
        <x:v>897</x:v>
      </x:c>
      <x:c r="B15" s="8" t="s">
        <x:v>898</x:v>
      </x:c>
      <x:c r="C15" s="8" t="s">
        <x:v>605</x:v>
      </x:c>
      <x:c r="D15" s="8" t="s">
        <x:v>850</x:v>
      </x:c>
      <x:c r="E15" s="8" t="s">
        <x:v>899</x:v>
      </x:c>
      <x:c r="F15" s="8" t="s">
        <x:v>900</x:v>
      </x:c>
      <x:c r="G15" s="8" t="s">
        <x:v>901</x:v>
      </x:c>
      <x:c r="H15" s="8" t="s">
        <x:v>546</x:v>
      </x:c>
    </x:row>
    <x:row r="16" ht="38" customHeight="1">
      <x:c r="A16" s="7" t="s">
        <x:v>902</x:v>
      </x:c>
      <x:c r="B16" s="7" t="s">
        <x:v>903</x:v>
      </x:c>
      <x:c r="C16" s="7" t="s">
        <x:v>605</x:v>
      </x:c>
      <x:c r="D16" s="7" t="s">
        <x:v>904</x:v>
      </x:c>
      <x:c r="E16" s="7" t="s">
        <x:v>905</x:v>
      </x:c>
      <x:c r="F16" s="7" t="s">
        <x:v>906</x:v>
      </x:c>
      <x:c r="G16" s="7" t="s">
        <x:v>863</x:v>
      </x:c>
      <x:c r="H16" s="7" t="s">
        <x:v>546</x:v>
      </x:c>
    </x:row>
    <x:row r="17" ht="38" customHeight="1">
      <x:c r="A17" s="8" t="s">
        <x:v>907</x:v>
      </x:c>
      <x:c r="B17" s="8" t="s">
        <x:v>908</x:v>
      </x:c>
      <x:c r="C17" s="8" t="s">
        <x:v>605</x:v>
      </x:c>
      <x:c r="D17" s="8" t="s">
        <x:v>850</x:v>
      </x:c>
      <x:c r="E17" s="8" t="s">
        <x:v>909</x:v>
      </x:c>
      <x:c r="F17" s="8" t="s">
        <x:v>56</x:v>
      </x:c>
      <x:c r="G17" s="8" t="s">
        <x:v>910</x:v>
      </x:c>
      <x:c r="H17" s="8" t="s">
        <x:v>546</x:v>
      </x:c>
    </x:row>
    <x:row r="18" ht="38" customHeight="1">
      <x:c r="A18" s="7" t="s">
        <x:v>911</x:v>
      </x:c>
      <x:c r="B18" s="7" t="s">
        <x:v>912</x:v>
      </x:c>
      <x:c r="C18" s="7" t="s">
        <x:v>605</x:v>
      </x:c>
      <x:c r="D18" s="7" t="s">
        <x:v>913</x:v>
      </x:c>
      <x:c r="E18" s="7" t="s">
        <x:v>914</x:v>
      </x:c>
      <x:c r="F18" s="7" t="s">
        <x:v>56</x:v>
      </x:c>
      <x:c r="G18" s="7" t="s">
        <x:v>863</x:v>
      </x:c>
      <x:c r="H18" s="7" t="s">
        <x:v>546</x:v>
      </x:c>
    </x:row>
    <x:row r="19" ht="38" customHeight="1">
      <x:c r="A19" s="8" t="s">
        <x:v>915</x:v>
      </x:c>
      <x:c r="B19" s="8" t="s">
        <x:v>916</x:v>
      </x:c>
      <x:c r="C19" s="8" t="s">
        <x:v>605</x:v>
      </x:c>
      <x:c r="D19" s="8" t="s">
        <x:v>917</x:v>
      </x:c>
      <x:c r="E19" s="8" t="s">
        <x:v>918</x:v>
      </x:c>
      <x:c r="F19" s="8" t="s">
        <x:v>56</x:v>
      </x:c>
      <x:c r="G19" s="8" t="s">
        <x:v>863</x:v>
      </x:c>
      <x:c r="H19" s="8" t="s">
        <x:v>546</x:v>
      </x:c>
    </x:row>
    <x:row r="20" ht="38" customHeight="1">
      <x:c r="A20" s="7" t="s">
        <x:v>919</x:v>
      </x:c>
      <x:c r="B20" s="7" t="s">
        <x:v>920</x:v>
      </x:c>
      <x:c r="C20" s="7" t="s">
        <x:v>921</x:v>
      </x:c>
      <x:c r="D20" s="7" t="s">
        <x:v>922</x:v>
      </x:c>
      <x:c r="E20" s="7" t="s">
        <x:v>923</x:v>
      </x:c>
      <x:c r="F20" s="7" t="s">
        <x:v>56</x:v>
      </x:c>
      <x:c r="G20" s="7" t="s">
        <x:v>863</x:v>
      </x:c>
      <x:c r="H20" s="7" t="s">
        <x:v>546</x:v>
      </x:c>
    </x:row>
    <x:row r="21" ht="38" customHeight="1">
      <x:c r="A21" s="8" t="s">
        <x:v>924</x:v>
      </x:c>
      <x:c r="B21" s="8" t="s">
        <x:v>925</x:v>
      </x:c>
      <x:c r="C21" s="8" t="s">
        <x:v>921</x:v>
      </x:c>
      <x:c r="D21" s="8" t="s">
        <x:v>926</x:v>
      </x:c>
      <x:c r="E21" s="8" t="s">
        <x:v>927</x:v>
      </x:c>
      <x:c r="F21" s="8" t="s">
        <x:v>56</x:v>
      </x:c>
      <x:c r="G21" s="8" t="s">
        <x:v>863</x:v>
      </x:c>
      <x:c r="H21" s="8" t="s">
        <x:v>546</x:v>
      </x:c>
    </x:row>
    <x:row r="22" ht="38" customHeight="1">
      <x:c r="A22" s="7" t="s">
        <x:v>928</x:v>
      </x:c>
      <x:c r="B22" s="7" t="s">
        <x:v>929</x:v>
      </x:c>
      <x:c r="C22" s="7" t="s">
        <x:v>921</x:v>
      </x:c>
      <x:c r="D22" s="7" t="s">
        <x:v>930</x:v>
      </x:c>
      <x:c r="E22" s="7" t="s">
        <x:v>931</x:v>
      </x:c>
      <x:c r="F22" s="7" t="s">
        <x:v>56</x:v>
      </x:c>
      <x:c r="G22" s="7" t="s">
        <x:v>863</x:v>
      </x:c>
      <x:c r="H22" s="7" t="s">
        <x:v>546</x:v>
      </x:c>
    </x:row>
    <x:row r="23" ht="38" customHeight="1">
      <x:c r="A23" s="8" t="s">
        <x:v>932</x:v>
      </x:c>
      <x:c r="B23" s="8" t="s">
        <x:v>933</x:v>
      </x:c>
      <x:c r="C23" s="8" t="s">
        <x:v>921</x:v>
      </x:c>
      <x:c r="D23" s="8" t="s">
        <x:v>934</x:v>
      </x:c>
      <x:c r="E23" s="8" t="s">
        <x:v>935</x:v>
      </x:c>
      <x:c r="F23" s="8" t="s">
        <x:v>936</x:v>
      </x:c>
      <x:c r="G23" s="8" t="s">
        <x:v>863</x:v>
      </x:c>
      <x:c r="H23" s="8" t="s">
        <x:v>546</x:v>
      </x:c>
    </x:row>
    <x:row r="24" ht="38" customHeight="1">
      <x:c r="A24" s="7" t="s">
        <x:v>937</x:v>
      </x:c>
      <x:c r="B24" s="7" t="s">
        <x:v>938</x:v>
      </x:c>
      <x:c r="C24" s="7" t="s">
        <x:v>921</x:v>
      </x:c>
      <x:c r="D24" s="7" t="s">
        <x:v>330</x:v>
      </x:c>
      <x:c r="E24" s="7" t="s">
        <x:v>939</x:v>
      </x:c>
      <x:c r="F24" s="7" t="s">
        <x:v>56</x:v>
      </x:c>
      <x:c r="G24" s="7" t="s">
        <x:v>863</x:v>
      </x:c>
      <x:c r="H24" s="7" t="s">
        <x:v>546</x:v>
      </x:c>
    </x:row>
    <x:row r="25" ht="38" customHeight="1">
      <x:c r="A25" s="8" t="s">
        <x:v>940</x:v>
      </x:c>
      <x:c r="B25" s="8" t="s">
        <x:v>941</x:v>
      </x:c>
      <x:c r="C25" s="8" t="s">
        <x:v>25</x:v>
      </x:c>
      <x:c r="D25" s="8" t="s">
        <x:v>942</x:v>
      </x:c>
      <x:c r="E25" s="8" t="s">
        <x:v>943</x:v>
      </x:c>
      <x:c r="F25" s="8" t="s">
        <x:v>56</x:v>
      </x:c>
      <x:c r="G25" s="8" t="s">
        <x:v>863</x:v>
      </x:c>
      <x:c r="H25" s="8" t="s">
        <x:v>546</x:v>
      </x:c>
    </x:row>
    <x:row r="26" ht="38" customHeight="1">
      <x:c r="A26" s="7" t="s">
        <x:v>944</x:v>
      </x:c>
      <x:c r="B26" s="7" t="s">
        <x:v>945</x:v>
      </x:c>
      <x:c r="C26" s="7" t="s">
        <x:v>25</x:v>
      </x:c>
      <x:c r="D26" s="7" t="s">
        <x:v>942</x:v>
      </x:c>
      <x:c r="E26" s="7" t="s">
        <x:v>946</x:v>
      </x:c>
      <x:c r="F26" s="7" t="s">
        <x:v>56</x:v>
      </x:c>
      <x:c r="G26" s="7" t="s">
        <x:v>863</x:v>
      </x:c>
      <x:c r="H26" s="7" t="s">
        <x:v>546</x:v>
      </x:c>
    </x:row>
    <x:row r="27" ht="38" customHeight="1">
      <x:c r="A27" s="8" t="s">
        <x:v>947</x:v>
      </x:c>
      <x:c r="B27" s="8" t="s">
        <x:v>948</x:v>
      </x:c>
      <x:c r="C27" s="8" t="s">
        <x:v>25</x:v>
      </x:c>
      <x:c r="D27" s="8" t="s">
        <x:v>942</x:v>
      </x:c>
      <x:c r="E27" s="8" t="s">
        <x:v>949</x:v>
      </x:c>
      <x:c r="F27" s="8" t="s">
        <x:v>56</x:v>
      </x:c>
      <x:c r="G27" s="8" t="s">
        <x:v>863</x:v>
      </x:c>
      <x:c r="H27" s="8" t="s">
        <x:v>546</x:v>
      </x:c>
    </x:row>
    <x:row r="28" ht="38" customHeight="1">
      <x:c r="A28" s="7" t="s">
        <x:v>950</x:v>
      </x:c>
      <x:c r="B28" s="7" t="s">
        <x:v>951</x:v>
      </x:c>
      <x:c r="C28" s="7" t="s">
        <x:v>25</x:v>
      </x:c>
      <x:c r="D28" s="7" t="s">
        <x:v>942</x:v>
      </x:c>
      <x:c r="E28" s="7" t="s">
        <x:v>952</x:v>
      </x:c>
      <x:c r="F28" s="7" t="s">
        <x:v>56</x:v>
      </x:c>
      <x:c r="G28" s="7" t="s">
        <x:v>863</x:v>
      </x:c>
      <x:c r="H28" s="7" t="s">
        <x:v>546</x:v>
      </x:c>
    </x:row>
    <x:row r="29" ht="38" customHeight="1">
      <x:c r="A29" s="8"/>
      <x:c r="B29" s="8"/>
      <x:c r="C29" s="8"/>
      <x:c r="D29" s="8"/>
      <x:c r="E29" s="8"/>
      <x:c r="F29" s="8"/>
      <x:c r="G29" s="8"/>
      <x:c r="H29" s="8" t="s">
        <x:v>953</x:v>
      </x:c>
    </x:row>
    <x:row r="30" ht="38" customHeight="1">
      <x:c r="A30" s="7" t="s">
        <x:v>954</x:v>
      </x:c>
      <x:c r="B30" s="7"/>
      <x:c r="C30" s="7"/>
      <x:c r="D30" s="7"/>
      <x:c r="E30" s="7"/>
      <x:c r="F30" s="7"/>
      <x:c r="G30" s="7"/>
      <x:c r="H30" s="7" t="s">
        <x:v>953</x:v>
      </x:c>
    </x:row>
    <x:row r="31" ht="38" customHeight="1">
      <x:c r="A31" s="8" t="s">
        <x:v>955</x:v>
      </x:c>
      <x:c r="B31" s="8" t="s">
        <x:v>956</x:v>
      </x:c>
      <x:c r="C31" s="8" t="s">
        <x:v>957</x:v>
      </x:c>
      <x:c r="D31" s="8" t="s">
        <x:v>958</x:v>
      </x:c>
      <x:c r="E31" s="8" t="s">
        <x:v>959</x:v>
      </x:c>
      <x:c r="F31" s="8"/>
      <x:c r="G31" s="8" t="s">
        <x:v>960</x:v>
      </x:c>
      <x:c r="H31" s="8" t="s">
        <x:v>953</x:v>
      </x:c>
    </x:row>
    <x:row r="32" ht="38" customHeight="1">
      <x:c r="A32" s="7" t="s">
        <x:v>961</x:v>
      </x:c>
      <x:c r="B32" s="7" t="s">
        <x:v>962</x:v>
      </x:c>
      <x:c r="C32" s="7" t="s">
        <x:v>963</x:v>
      </x:c>
      <x:c r="D32" s="7" t="s">
        <x:v>958</x:v>
      </x:c>
      <x:c r="E32" s="7" t="s">
        <x:v>964</x:v>
      </x:c>
      <x:c r="F32" s="7"/>
      <x:c r="G32" s="7" t="s">
        <x:v>965</x:v>
      </x:c>
      <x:c r="H32" s="7" t="s">
        <x:v>953</x:v>
      </x:c>
    </x:row>
    <x:row r="33" ht="38" customHeight="1">
      <x:c r="A33" s="8" t="s">
        <x:v>966</x:v>
      </x:c>
      <x:c r="B33" s="8" t="s">
        <x:v>962</x:v>
      </x:c>
      <x:c r="C33" s="8" t="s">
        <x:v>967</x:v>
      </x:c>
      <x:c r="D33" s="8" t="s">
        <x:v>958</x:v>
      </x:c>
      <x:c r="E33" s="8" t="s">
        <x:v>968</x:v>
      </x:c>
      <x:c r="F33" s="8"/>
      <x:c r="G33" s="8" t="s">
        <x:v>969</x:v>
      </x:c>
      <x:c r="H33" s="8" t="s">
        <x:v>953</x:v>
      </x:c>
    </x:row>
    <x:row r="34" ht="38" customHeight="1">
      <x:c r="A34" s="7" t="s">
        <x:v>970</x:v>
      </x:c>
      <x:c r="B34" s="7" t="s">
        <x:v>962</x:v>
      </x:c>
      <x:c r="C34" s="7" t="s">
        <x:v>971</x:v>
      </x:c>
      <x:c r="D34" s="7" t="s">
        <x:v>958</x:v>
      </x:c>
      <x:c r="E34" s="7" t="s">
        <x:v>972</x:v>
      </x:c>
      <x:c r="F34" s="7"/>
      <x:c r="G34" s="7" t="s">
        <x:v>973</x:v>
      </x:c>
      <x:c r="H34" s="7" t="s">
        <x:v>953</x:v>
      </x:c>
    </x:row>
    <x:row r="35" ht="38" customHeight="1">
      <x:c r="A35" s="8" t="s">
        <x:v>974</x:v>
      </x:c>
      <x:c r="B35" s="8" t="s">
        <x:v>975</x:v>
      </x:c>
      <x:c r="C35" s="8" t="s">
        <x:v>976</x:v>
      </x:c>
      <x:c r="D35" s="8" t="s">
        <x:v>958</x:v>
      </x:c>
      <x:c r="E35" s="8" t="s">
        <x:v>977</x:v>
      </x:c>
      <x:c r="F35" s="8"/>
      <x:c r="G35" s="8" t="s">
        <x:v>978</x:v>
      </x:c>
      <x:c r="H35" s="8" t="s">
        <x:v>953</x:v>
      </x:c>
    </x:row>
  </x:sheetData>
  <x:mergeCells>
    <x:mergeCell ref="A1:H1"/>
    <x:mergeCell ref="A2:H2"/>
  </x:mergeCells>
  <x:pageMargins left="0.7" right="0.7" top="0.75" bottom="0.75" header="0.3" footer="0.3"/>
</x:worksheet>
</file>

<file path=xl/worksheets/sheet10.xml><?xml version="1.0" encoding="utf-8"?>
<x:worksheet xmlns:x="http://schemas.openxmlformats.org/spreadsheetml/2006/main">
  <x:sheetViews>
    <x:sheetView showGridLines="0" workbookViewId="0">
      <x:pane ySplit="3" topLeftCell="A4" activePane="bottomLeft" state="frozen"/>
    </x:sheetView>
  </x:sheetViews>
  <x:sheetFormatPr defaultColWidth="9" defaultRowHeight="14.25"/>
  <x:cols>
    <x:col min="1" max="1" width="25" customWidth="1"/>
    <x:col min="2" max="2" width="20" customWidth="1"/>
    <x:col min="3" max="3" width="50" customWidth="1"/>
    <x:col min="4" max="4" width="11" customWidth="1"/>
    <x:col min="5" max="5" width="118" customWidth="1"/>
    <x:col min="6" max="6" width="17" customWidth="1"/>
    <x:col min="7" max="7" width="23" customWidth="1"/>
    <x:col min="8" max="8" width="34" customWidth="1"/>
    <x:col min="9" max="9" width="28" customWidth="1"/>
  </x:cols>
  <x:sheetData>
    <x:row r="1" ht="34" customHeight="1">
      <x:c r="A1" s="1" t="s">
        <x:v>979</x:v>
      </x:c>
      <x:c r="B1" s="1"/>
      <x:c r="C1" s="1"/>
      <x:c r="D1" s="1"/>
      <x:c r="E1" s="1"/>
      <x:c r="F1" s="1"/>
      <x:c r="G1" s="1"/>
      <x:c r="H1" s="1"/>
      <x:c r="I1" s="1"/>
    </x:row>
    <x:row r="2" ht="32" customHeight="1">
      <x:c r="A2" s="2" t="s">
        <x:v>980</x:v>
      </x:c>
      <x:c r="B2" s="2"/>
      <x:c r="C2" s="2"/>
      <x:c r="D2" s="2"/>
      <x:c r="E2" s="2"/>
      <x:c r="F2" s="2"/>
      <x:c r="G2" s="2"/>
      <x:c r="H2" s="2"/>
      <x:c r="I2" s="2"/>
    </x:row>
    <x:row r="3" ht="28" customHeight="1">
      <x:c r="A3" s="5" t="s">
        <x:v>981</x:v>
      </x:c>
      <x:c r="B3" s="5" t="s">
        <x:v>23</x:v>
      </x:c>
      <x:c r="C3" s="5" t="s">
        <x:v>982</x:v>
      </x:c>
      <x:c r="D3" s="5" t="s">
        <x:v>983</x:v>
      </x:c>
      <x:c r="E3" s="5" t="s">
        <x:v>845</x:v>
      </x:c>
      <x:c r="F3" s="5" t="s">
        <x:v>984</x:v>
      </x:c>
      <x:c r="G3" s="5" t="s">
        <x:v>985</x:v>
      </x:c>
      <x:c r="H3" s="5" t="s">
        <x:v>986</x:v>
      </x:c>
      <x:c r="I3" s="5" t="s">
        <x:v>199</x:v>
      </x:c>
    </x:row>
    <x:row r="4" ht="38" customHeight="1">
      <x:c r="A4" s="7" t="s">
        <x:v>987</x:v>
      </x:c>
      <x:c r="B4" s="7" t="s">
        <x:v>988</x:v>
      </x:c>
      <x:c r="C4" s="7" t="s">
        <x:v>989</x:v>
      </x:c>
      <x:c r="D4" s="7">
        <x:v>2</x:v>
      </x:c>
      <x:c r="E4" s="7" t="s">
        <x:v>990</x:v>
      </x:c>
      <x:c r="F4" s="7" t="s">
        <x:v>991</x:v>
      </x:c>
      <x:c r="G4" s="7" t="s">
        <x:v>992</x:v>
      </x:c>
      <x:c r="H4" s="7" t="s">
        <x:v>993</x:v>
      </x:c>
      <x:c r="I4" s="7" t="s">
        <x:v>546</x:v>
      </x:c>
    </x:row>
    <x:row r="5" ht="38" customHeight="1">
      <x:c r="A5" s="8" t="s">
        <x:v>994</x:v>
      </x:c>
      <x:c r="B5" s="8" t="s">
        <x:v>995</x:v>
      </x:c>
      <x:c r="C5" s="8" t="s">
        <x:v>996</x:v>
      </x:c>
      <x:c r="D5" s="8">
        <x:v>2</x:v>
      </x:c>
      <x:c r="E5" s="8" t="s">
        <x:v>997</x:v>
      </x:c>
      <x:c r="F5" s="8" t="s">
        <x:v>991</x:v>
      </x:c>
      <x:c r="G5" s="8" t="s">
        <x:v>992</x:v>
      </x:c>
      <x:c r="H5" s="8" t="s">
        <x:v>998</x:v>
      </x:c>
      <x:c r="I5" s="8" t="s">
        <x:v>546</x:v>
      </x:c>
    </x:row>
    <x:row r="6" ht="38" customHeight="1">
      <x:c r="A6" s="7" t="s">
        <x:v>999</x:v>
      </x:c>
      <x:c r="B6" s="7" t="s">
        <x:v>1000</x:v>
      </x:c>
      <x:c r="C6" s="7" t="s">
        <x:v>1001</x:v>
      </x:c>
      <x:c r="D6" s="7">
        <x:v>2</x:v>
      </x:c>
      <x:c r="E6" s="7" t="s">
        <x:v>1002</x:v>
      </x:c>
      <x:c r="F6" s="7" t="s">
        <x:v>991</x:v>
      </x:c>
      <x:c r="G6" s="7" t="s">
        <x:v>992</x:v>
      </x:c>
      <x:c r="H6" s="7" t="s">
        <x:v>1003</x:v>
      </x:c>
      <x:c r="I6" s="7" t="s">
        <x:v>546</x:v>
      </x:c>
    </x:row>
    <x:row r="7" ht="38" customHeight="1">
      <x:c r="A7" s="8" t="s">
        <x:v>1004</x:v>
      </x:c>
      <x:c r="B7" s="8" t="s">
        <x:v>1005</x:v>
      </x:c>
      <x:c r="C7" s="8" t="s">
        <x:v>1006</x:v>
      </x:c>
      <x:c r="D7" s="8">
        <x:v>2</x:v>
      </x:c>
      <x:c r="E7" s="8" t="s">
        <x:v>1007</x:v>
      </x:c>
      <x:c r="F7" s="8" t="s">
        <x:v>991</x:v>
      </x:c>
      <x:c r="G7" s="8" t="s">
        <x:v>992</x:v>
      </x:c>
      <x:c r="H7" s="8" t="s">
        <x:v>1008</x:v>
      </x:c>
      <x:c r="I7" s="8" t="s">
        <x:v>546</x:v>
      </x:c>
    </x:row>
    <x:row r="8" ht="38" customHeight="1">
      <x:c r="A8" s="7" t="s">
        <x:v>1009</x:v>
      </x:c>
      <x:c r="B8" s="7" t="s">
        <x:v>1010</x:v>
      </x:c>
      <x:c r="C8" s="7" t="s">
        <x:v>1011</x:v>
      </x:c>
      <x:c r="D8" s="7">
        <x:v>2</x:v>
      </x:c>
      <x:c r="E8" s="7" t="s">
        <x:v>1012</x:v>
      </x:c>
      <x:c r="F8" s="7" t="s">
        <x:v>991</x:v>
      </x:c>
      <x:c r="G8" s="7" t="s">
        <x:v>992</x:v>
      </x:c>
      <x:c r="H8" s="7" t="s">
        <x:v>1013</x:v>
      </x:c>
      <x:c r="I8" s="7" t="s">
        <x:v>546</x:v>
      </x:c>
    </x:row>
    <x:row r="9" ht="38" customHeight="1">
      <x:c r="A9" s="8" t="s">
        <x:v>1014</x:v>
      </x:c>
      <x:c r="B9" s="8" t="s">
        <x:v>1015</x:v>
      </x:c>
      <x:c r="C9" s="8" t="s">
        <x:v>1016</x:v>
      </x:c>
      <x:c r="D9" s="8">
        <x:v>2</x:v>
      </x:c>
      <x:c r="E9" s="8" t="s">
        <x:v>1017</x:v>
      </x:c>
      <x:c r="F9" s="8" t="s">
        <x:v>991</x:v>
      </x:c>
      <x:c r="G9" s="8" t="s">
        <x:v>992</x:v>
      </x:c>
      <x:c r="H9" s="8" t="s">
        <x:v>1018</x:v>
      </x:c>
      <x:c r="I9" s="8" t="s">
        <x:v>546</x:v>
      </x:c>
    </x:row>
    <x:row r="10" ht="38" customHeight="1">
      <x:c r="A10" s="7" t="s">
        <x:v>1019</x:v>
      </x:c>
      <x:c r="B10" s="7" t="s">
        <x:v>1020</x:v>
      </x:c>
      <x:c r="C10" s="7" t="s">
        <x:v>1021</x:v>
      </x:c>
      <x:c r="D10" s="7">
        <x:v>2</x:v>
      </x:c>
      <x:c r="E10" s="7" t="s">
        <x:v>1022</x:v>
      </x:c>
      <x:c r="F10" s="7" t="s">
        <x:v>991</x:v>
      </x:c>
      <x:c r="G10" s="7" t="s">
        <x:v>992</x:v>
      </x:c>
      <x:c r="H10" s="7" t="s">
        <x:v>1013</x:v>
      </x:c>
      <x:c r="I10" s="7" t="s">
        <x:v>546</x:v>
      </x:c>
    </x:row>
    <x:row r="11" ht="38" customHeight="1">
      <x:c r="A11" s="8" t="s">
        <x:v>1023</x:v>
      </x:c>
      <x:c r="B11" s="8" t="s">
        <x:v>1024</x:v>
      </x:c>
      <x:c r="C11" s="8" t="s">
        <x:v>1025</x:v>
      </x:c>
      <x:c r="D11" s="8">
        <x:v>2</x:v>
      </x:c>
      <x:c r="E11" s="8" t="s">
        <x:v>1026</x:v>
      </x:c>
      <x:c r="F11" s="8" t="s">
        <x:v>991</x:v>
      </x:c>
      <x:c r="G11" s="8" t="s">
        <x:v>992</x:v>
      </x:c>
      <x:c r="H11" s="8" t="s">
        <x:v>1027</x:v>
      </x:c>
      <x:c r="I11" s="8" t="s">
        <x:v>546</x:v>
      </x:c>
    </x:row>
    <x:row r="12" ht="38" customHeight="1">
      <x:c r="A12" s="7" t="s">
        <x:v>1028</x:v>
      </x:c>
      <x:c r="B12" s="7" t="s">
        <x:v>1029</x:v>
      </x:c>
      <x:c r="C12" s="7" t="s">
        <x:v>1030</x:v>
      </x:c>
      <x:c r="D12" s="7">
        <x:v>2</x:v>
      </x:c>
      <x:c r="E12" s="7" t="s">
        <x:v>1031</x:v>
      </x:c>
      <x:c r="F12" s="7" t="s">
        <x:v>991</x:v>
      </x:c>
      <x:c r="G12" s="7" t="s">
        <x:v>992</x:v>
      </x:c>
      <x:c r="H12" s="7" t="s">
        <x:v>1032</x:v>
      </x:c>
      <x:c r="I12" s="7" t="s">
        <x:v>546</x:v>
      </x:c>
    </x:row>
    <x:row r="13" ht="38" customHeight="1">
      <x:c r="A13" s="8" t="s">
        <x:v>1033</x:v>
      </x:c>
      <x:c r="B13" s="8" t="s">
        <x:v>1034</x:v>
      </x:c>
      <x:c r="C13" s="8" t="s">
        <x:v>1035</x:v>
      </x:c>
      <x:c r="D13" s="8">
        <x:v>2</x:v>
      </x:c>
      <x:c r="E13" s="8" t="s">
        <x:v>1036</x:v>
      </x:c>
      <x:c r="F13" s="8" t="s">
        <x:v>991</x:v>
      </x:c>
      <x:c r="G13" s="8" t="s">
        <x:v>992</x:v>
      </x:c>
      <x:c r="H13" s="8" t="s">
        <x:v>1037</x:v>
      </x:c>
      <x:c r="I13" s="8" t="s">
        <x:v>546</x:v>
      </x:c>
    </x:row>
    <x:row r="14" ht="62" customHeight="1">
      <x:c r="A14" s="7" t="s">
        <x:v>1038</x:v>
      </x:c>
      <x:c r="B14" s="7" t="s">
        <x:v>1039</x:v>
      </x:c>
      <x:c r="C14" s="7" t="s">
        <x:v>1040</x:v>
      </x:c>
      <x:c r="D14" s="7">
        <x:v>5</x:v>
      </x:c>
      <x:c r="E14" s="7" t="s">
        <x:v>1041</x:v>
      </x:c>
      <x:c r="F14" s="7" t="s">
        <x:v>991</x:v>
      </x:c>
      <x:c r="G14" s="7" t="s">
        <x:v>992</x:v>
      </x:c>
      <x:c r="H14" s="7" t="s">
        <x:v>1042</x:v>
      </x:c>
      <x:c r="I14" s="7" t="s">
        <x:v>546</x:v>
      </x:c>
    </x:row>
  </x:sheetData>
  <x:mergeCells>
    <x:mergeCell ref="A1:I1"/>
    <x:mergeCell ref="A2:I2"/>
  </x:mergeCells>
  <x:pageMargins left="0.7" right="0.7" top="0.75" bottom="0.75" header="0.3" footer="0.3"/>
</x:worksheet>
</file>

<file path=xl/worksheets/sheet11.xml><?xml version="1.0" encoding="utf-8"?>
<x:worksheet xmlns:x="http://schemas.openxmlformats.org/spreadsheetml/2006/main">
  <x:sheetViews>
    <x:sheetView showGridLines="0" workbookViewId="0">
      <x:pane ySplit="3" topLeftCell="A4" activePane="bottomLeft" state="frozen"/>
    </x:sheetView>
  </x:sheetViews>
  <x:sheetFormatPr defaultColWidth="9" defaultRowHeight="14.25"/>
  <x:cols>
    <x:col min="1" max="1" width="12" customWidth="1"/>
    <x:col min="2" max="2" width="16" customWidth="1"/>
    <x:col min="3" max="4" width="15" customWidth="1"/>
    <x:col min="5" max="5" width="12" customWidth="1"/>
    <x:col min="6" max="12" width="13" customWidth="1"/>
  </x:cols>
  <x:sheetData>
    <x:row r="1" ht="34" customHeight="1">
      <x:c r="A1" s="1" t="inlineStr">
        <x:is>
          <x:t xml:space="preserve">13_怪物Boss回合</x:t>
        </x:is>
      </x:c>
      <x:c r="B1" s="1"/>
      <x:c r="C1" s="1"/>
      <x:c r="D1" s="1"/>
      <x:c r="E1" s="1"/>
      <x:c r="F1" s="1"/>
      <x:c r="G1" s="1"/>
      <x:c r="H1" s="1"/>
      <x:c r="I1" s="1"/>
      <x:c r="J1" s="1"/>
      <x:c r="K1" s="1"/>
      <x:c r="L1" s="1"/>
    </x:row>
    <x:row r="2" ht="32" customHeight="1">
      <x:c r="A2" s="2" t="inlineStr">
        <x:is>
          <x:t xml:space="preserve">21 回合的野怪数量、怪物/Boss 成长倍率及宝藏节点；商城概率与金币奖励由独立配置管理。</x:t>
        </x:is>
      </x:c>
      <x:c r="B2" s="2"/>
      <x:c r="C2" s="2"/>
      <x:c r="D2" s="2"/>
      <x:c r="E2" s="2"/>
      <x:c r="F2" s="2"/>
      <x:c r="G2" s="2"/>
      <x:c r="H2" s="2"/>
      <x:c r="I2" s="2"/>
      <x:c r="J2" s="2"/>
      <x:c r="K2" s="2"/>
      <x:c r="L2" s="2"/>
    </x:row>
    <x:row r="3" ht="28" customHeight="1">
      <x:c r="A3" s="5" t="s">
        <x:v>1043</x:v>
      </x:c>
      <x:c r="B3" s="5" t="s">
        <x:v>1044</x:v>
      </x:c>
      <x:c r="C3" s="5" t="s">
        <x:v>1045</x:v>
      </x:c>
      <x:c r="D3" s="5" t="s">
        <x:v>1046</x:v>
      </x:c>
      <x:c r="E3" s="5" t="s">
        <x:v>1047</x:v>
      </x:c>
      <x:c r="F3" s="5" t="s">
        <x:v>1048</x:v>
      </x:c>
      <x:c r="G3" s="5" t="s">
        <x:v>1049</x:v>
      </x:c>
      <x:c r="H3" s="5" t="s">
        <x:v>1050</x:v>
      </x:c>
      <x:c r="I3" s="5" t="s">
        <x:v>1051</x:v>
      </x:c>
      <x:c r="J3" s="5" t="s">
        <x:v>1052</x:v>
      </x:c>
      <x:c r="K3" s="5" t="s">
        <x:v>1053</x:v>
      </x:c>
      <x:c r="L3" s="5" t="s">
        <x:v>1054</x:v>
      </x:c>
    </x:row>
    <x:row r="4" ht="38" customHeight="1">
      <x:c r="A4" s="7">
        <x:v>1</x:v>
      </x:c>
      <x:c r="B4" s="7" t="s">
        <x:v>1055</x:v>
      </x:c>
      <x:c r="C4" s="7"/>
      <x:c r="D4" s="7">
        <x:v>3</x:v>
      </x:c>
      <x:c r="E4" s="7">
        <x:v>0</x:v>
      </x:c>
      <x:c r="F4" s="7" t="s">
        <x:v>1056</x:v>
      </x:c>
      <x:c r="G4" s="7" t="s">
        <x:v>1056</x:v>
      </x:c>
      <x:c r="H4" s="7" t="s">
        <x:v>1056</x:v>
      </x:c>
      <x:c r="I4" s="7">
        <x:v>0</x:v>
      </x:c>
      <x:c r="J4" s="7" t="s">
        <x:v>1056</x:v>
      </x:c>
      <x:c r="K4" s="7" t="s">
        <x:v>1056</x:v>
      </x:c>
      <x:c r="L4" s="7" t="s">
        <x:v>1056</x:v>
      </x:c>
    </x:row>
    <x:row r="5" ht="38" customHeight="1">
      <x:c r="A5" s="8">
        <x:v>2</x:v>
      </x:c>
      <x:c r="B5" s="8" t="s">
        <x:v>1055</x:v>
      </x:c>
      <x:c r="C5" s="8"/>
      <x:c r="D5" s="8">
        <x:v>4</x:v>
      </x:c>
      <x:c r="E5" s="8">
        <x:v>1</x:v>
      </x:c>
      <x:c r="F5" s="8" t="s">
        <x:v>1057</x:v>
      </x:c>
      <x:c r="G5" s="8" t="s">
        <x:v>1058</x:v>
      </x:c>
      <x:c r="H5" s="8" t="s">
        <x:v>1059</x:v>
      </x:c>
      <x:c r="I5" s="8">
        <x:v>0</x:v>
      </x:c>
      <x:c r="J5" s="8" t="s">
        <x:v>1056</x:v>
      </x:c>
      <x:c r="K5" s="8" t="s">
        <x:v>1056</x:v>
      </x:c>
      <x:c r="L5" s="8" t="s">
        <x:v>1056</x:v>
      </x:c>
    </x:row>
    <x:row r="6" ht="38" customHeight="1">
      <x:c r="A6" s="7">
        <x:v>3</x:v>
      </x:c>
      <x:c r="B6" s="7" t="s">
        <x:v>1055</x:v>
      </x:c>
      <x:c r="C6" s="7"/>
      <x:c r="D6" s="7">
        <x:v>5</x:v>
      </x:c>
      <x:c r="E6" s="7">
        <x:v>2</x:v>
      </x:c>
      <x:c r="F6" s="7" t="s">
        <x:v>1060</x:v>
      </x:c>
      <x:c r="G6" s="7" t="s">
        <x:v>1061</x:v>
      </x:c>
      <x:c r="H6" s="7" t="s">
        <x:v>1057</x:v>
      </x:c>
      <x:c r="I6" s="7">
        <x:v>0</x:v>
      </x:c>
      <x:c r="J6" s="7" t="s">
        <x:v>1056</x:v>
      </x:c>
      <x:c r="K6" s="7" t="s">
        <x:v>1056</x:v>
      </x:c>
      <x:c r="L6" s="7" t="s">
        <x:v>1056</x:v>
      </x:c>
    </x:row>
    <x:row r="7" ht="38" customHeight="1">
      <x:c r="A7" s="8">
        <x:v>4</x:v>
      </x:c>
      <x:c r="B7" s="8" t="s">
        <x:v>1055</x:v>
      </x:c>
      <x:c r="C7" s="8" t="s">
        <x:v>80</x:v>
      </x:c>
      <x:c r="D7" s="8">
        <x:v>5</x:v>
      </x:c>
      <x:c r="E7" s="8">
        <x:v>3</x:v>
      </x:c>
      <x:c r="F7" s="8" t="s">
        <x:v>1062</x:v>
      </x:c>
      <x:c r="G7" s="8" t="s">
        <x:v>1063</x:v>
      </x:c>
      <x:c r="H7" s="8" t="s">
        <x:v>1064</x:v>
      </x:c>
      <x:c r="I7" s="8">
        <x:v>0</x:v>
      </x:c>
      <x:c r="J7" s="8" t="s">
        <x:v>1056</x:v>
      </x:c>
      <x:c r="K7" s="8" t="s">
        <x:v>1056</x:v>
      </x:c>
      <x:c r="L7" s="8" t="s">
        <x:v>1056</x:v>
      </x:c>
    </x:row>
    <x:row r="8" ht="38" customHeight="1">
      <x:c r="A8" s="7">
        <x:v>5</x:v>
      </x:c>
      <x:c r="B8" s="7" t="s">
        <x:v>1065</x:v>
      </x:c>
      <x:c r="C8" s="7"/>
      <x:c r="D8" s="7">
        <x:v>3</x:v>
      </x:c>
      <x:c r="E8" s="7">
        <x:v>4</x:v>
      </x:c>
      <x:c r="F8" s="7" t="s">
        <x:v>1066</x:v>
      </x:c>
      <x:c r="G8" s="7" t="s">
        <x:v>1067</x:v>
      </x:c>
      <x:c r="H8" s="7" t="s">
        <x:v>1068</x:v>
      </x:c>
      <x:c r="I8" s="7">
        <x:v>0</x:v>
      </x:c>
      <x:c r="J8" s="7" t="s">
        <x:v>1056</x:v>
      </x:c>
      <x:c r="K8" s="7" t="s">
        <x:v>1056</x:v>
      </x:c>
      <x:c r="L8" s="7" t="s">
        <x:v>1056</x:v>
      </x:c>
    </x:row>
    <x:row r="9" ht="38" customHeight="1">
      <x:c r="A9" s="8">
        <x:v>6</x:v>
      </x:c>
      <x:c r="B9" s="8" t="s">
        <x:v>1069</x:v>
      </x:c>
      <x:c r="C9" s="8"/>
      <x:c r="D9" s="8">
        <x:v>0</x:v>
      </x:c>
      <x:c r="E9" s="8">
        <x:v>4</x:v>
      </x:c>
      <x:c r="F9" s="8" t="s">
        <x:v>1066</x:v>
      </x:c>
      <x:c r="G9" s="8" t="s">
        <x:v>1067</x:v>
      </x:c>
      <x:c r="H9" s="8" t="s">
        <x:v>1068</x:v>
      </x:c>
      <x:c r="I9" s="8">
        <x:v>1</x:v>
      </x:c>
      <x:c r="J9" s="8" t="s">
        <x:v>1070</x:v>
      </x:c>
      <x:c r="K9" s="8" t="s">
        <x:v>1071</x:v>
      </x:c>
      <x:c r="L9" s="8" t="s">
        <x:v>1072</x:v>
      </x:c>
    </x:row>
    <x:row r="10" ht="38" customHeight="1">
      <x:c r="A10" s="7">
        <x:v>7</x:v>
      </x:c>
      <x:c r="B10" s="7" t="s">
        <x:v>1055</x:v>
      </x:c>
      <x:c r="C10" s="7"/>
      <x:c r="D10" s="7">
        <x:v>6</x:v>
      </x:c>
      <x:c r="E10" s="7">
        <x:v>4</x:v>
      </x:c>
      <x:c r="F10" s="7" t="s">
        <x:v>1066</x:v>
      </x:c>
      <x:c r="G10" s="7" t="s">
        <x:v>1067</x:v>
      </x:c>
      <x:c r="H10" s="7" t="s">
        <x:v>1068</x:v>
      </x:c>
      <x:c r="I10" s="7">
        <x:v>1</x:v>
      </x:c>
      <x:c r="J10" s="7" t="s">
        <x:v>1070</x:v>
      </x:c>
      <x:c r="K10" s="7" t="s">
        <x:v>1071</x:v>
      </x:c>
      <x:c r="L10" s="7" t="s">
        <x:v>1072</x:v>
      </x:c>
    </x:row>
    <x:row r="11" ht="38" customHeight="1">
      <x:c r="A11" s="8">
        <x:v>8</x:v>
      </x:c>
      <x:c r="B11" s="8" t="s">
        <x:v>1055</x:v>
      </x:c>
      <x:c r="C11" s="8" t="s">
        <x:v>80</x:v>
      </x:c>
      <x:c r="D11" s="8">
        <x:v>6</x:v>
      </x:c>
      <x:c r="E11" s="8">
        <x:v>5</x:v>
      </x:c>
      <x:c r="F11" s="8" t="s">
        <x:v>1073</x:v>
      </x:c>
      <x:c r="G11" s="8" t="s">
        <x:v>1074</x:v>
      </x:c>
      <x:c r="H11" s="8" t="s">
        <x:v>1075</x:v>
      </x:c>
      <x:c r="I11" s="8">
        <x:v>1</x:v>
      </x:c>
      <x:c r="J11" s="8" t="s">
        <x:v>1070</x:v>
      </x:c>
      <x:c r="K11" s="8" t="s">
        <x:v>1071</x:v>
      </x:c>
      <x:c r="L11" s="8" t="s">
        <x:v>1072</x:v>
      </x:c>
    </x:row>
    <x:row r="12" ht="38" customHeight="1">
      <x:c r="A12" s="7">
        <x:v>9</x:v>
      </x:c>
      <x:c r="B12" s="7" t="s">
        <x:v>1055</x:v>
      </x:c>
      <x:c r="C12" s="7"/>
      <x:c r="D12" s="7">
        <x:v>6</x:v>
      </x:c>
      <x:c r="E12" s="7">
        <x:v>6</x:v>
      </x:c>
      <x:c r="F12" s="7" t="s">
        <x:v>1076</x:v>
      </x:c>
      <x:c r="G12" s="7" t="s">
        <x:v>1077</x:v>
      </x:c>
      <x:c r="H12" s="7" t="s">
        <x:v>1078</x:v>
      </x:c>
      <x:c r="I12" s="7">
        <x:v>1</x:v>
      </x:c>
      <x:c r="J12" s="7" t="s">
        <x:v>1070</x:v>
      </x:c>
      <x:c r="K12" s="7" t="s">
        <x:v>1071</x:v>
      </x:c>
      <x:c r="L12" s="7" t="s">
        <x:v>1072</x:v>
      </x:c>
    </x:row>
    <x:row r="13" ht="38" customHeight="1">
      <x:c r="A13" s="8">
        <x:v>10</x:v>
      </x:c>
      <x:c r="B13" s="8" t="s">
        <x:v>1065</x:v>
      </x:c>
      <x:c r="C13" s="8"/>
      <x:c r="D13" s="8">
        <x:v>3</x:v>
      </x:c>
      <x:c r="E13" s="8">
        <x:v>7</x:v>
      </x:c>
      <x:c r="F13" s="8" t="s">
        <x:v>1079</x:v>
      </x:c>
      <x:c r="G13" s="8" t="s">
        <x:v>1080</x:v>
      </x:c>
      <x:c r="H13" s="8" t="s">
        <x:v>1081</x:v>
      </x:c>
      <x:c r="I13" s="8">
        <x:v>1</x:v>
      </x:c>
      <x:c r="J13" s="8" t="s">
        <x:v>1070</x:v>
      </x:c>
      <x:c r="K13" s="8" t="s">
        <x:v>1071</x:v>
      </x:c>
      <x:c r="L13" s="8" t="s">
        <x:v>1072</x:v>
      </x:c>
    </x:row>
    <x:row r="14" ht="38" customHeight="1">
      <x:c r="A14" s="7">
        <x:v>11</x:v>
      </x:c>
      <x:c r="B14" s="7" t="s">
        <x:v>1055</x:v>
      </x:c>
      <x:c r="C14" s="7"/>
      <x:c r="D14" s="7">
        <x:v>8</x:v>
      </x:c>
      <x:c r="E14" s="7">
        <x:v>7</x:v>
      </x:c>
      <x:c r="F14" s="7" t="s">
        <x:v>1079</x:v>
      </x:c>
      <x:c r="G14" s="7" t="s">
        <x:v>1080</x:v>
      </x:c>
      <x:c r="H14" s="7" t="s">
        <x:v>1081</x:v>
      </x:c>
      <x:c r="I14" s="7">
        <x:v>2</x:v>
      </x:c>
      <x:c r="J14" s="7" t="s">
        <x:v>1082</x:v>
      </x:c>
      <x:c r="K14" s="7" t="s">
        <x:v>1083</x:v>
      </x:c>
      <x:c r="L14" s="7" t="s">
        <x:v>1084</x:v>
      </x:c>
    </x:row>
    <x:row r="15" ht="38" customHeight="1">
      <x:c r="A15" s="8">
        <x:v>12</x:v>
      </x:c>
      <x:c r="B15" s="8" t="s">
        <x:v>1069</x:v>
      </x:c>
      <x:c r="C15" s="8" t="s">
        <x:v>80</x:v>
      </x:c>
      <x:c r="D15" s="8">
        <x:v>0</x:v>
      </x:c>
      <x:c r="E15" s="8">
        <x:v>8</x:v>
      </x:c>
      <x:c r="F15" s="8" t="s">
        <x:v>1085</x:v>
      </x:c>
      <x:c r="G15" s="8" t="s">
        <x:v>1086</x:v>
      </x:c>
      <x:c r="H15" s="8" t="s">
        <x:v>1087</x:v>
      </x:c>
      <x:c r="I15" s="8">
        <x:v>2</x:v>
      </x:c>
      <x:c r="J15" s="8" t="s">
        <x:v>1082</x:v>
      </x:c>
      <x:c r="K15" s="8" t="s">
        <x:v>1083</x:v>
      </x:c>
      <x:c r="L15" s="8" t="s">
        <x:v>1084</x:v>
      </x:c>
    </x:row>
    <x:row r="16" ht="38" customHeight="1">
      <x:c r="A16" s="7">
        <x:v>13</x:v>
      </x:c>
      <x:c r="B16" s="7" t="s">
        <x:v>1055</x:v>
      </x:c>
      <x:c r="C16" s="7"/>
      <x:c r="D16" s="7">
        <x:v>8</x:v>
      </x:c>
      <x:c r="E16" s="7">
        <x:v>8</x:v>
      </x:c>
      <x:c r="F16" s="7" t="s">
        <x:v>1085</x:v>
      </x:c>
      <x:c r="G16" s="7" t="s">
        <x:v>1086</x:v>
      </x:c>
      <x:c r="H16" s="7" t="s">
        <x:v>1087</x:v>
      </x:c>
      <x:c r="I16" s="7">
        <x:v>2</x:v>
      </x:c>
      <x:c r="J16" s="7" t="s">
        <x:v>1082</x:v>
      </x:c>
      <x:c r="K16" s="7" t="s">
        <x:v>1083</x:v>
      </x:c>
      <x:c r="L16" s="7" t="s">
        <x:v>1084</x:v>
      </x:c>
    </x:row>
    <x:row r="17" ht="38" customHeight="1">
      <x:c r="A17" s="8">
        <x:v>14</x:v>
      </x:c>
      <x:c r="B17" s="8" t="s">
        <x:v>1055</x:v>
      </x:c>
      <x:c r="C17" s="8"/>
      <x:c r="D17" s="8">
        <x:v>12</x:v>
      </x:c>
      <x:c r="E17" s="8">
        <x:v>9</x:v>
      </x:c>
      <x:c r="F17" s="8" t="s">
        <x:v>1088</x:v>
      </x:c>
      <x:c r="G17" s="8" t="s">
        <x:v>1089</x:v>
      </x:c>
      <x:c r="H17" s="8" t="s">
        <x:v>1090</x:v>
      </x:c>
      <x:c r="I17" s="8">
        <x:v>2</x:v>
      </x:c>
      <x:c r="J17" s="8" t="s">
        <x:v>1082</x:v>
      </x:c>
      <x:c r="K17" s="8" t="s">
        <x:v>1083</x:v>
      </x:c>
      <x:c r="L17" s="8" t="s">
        <x:v>1084</x:v>
      </x:c>
    </x:row>
    <x:row r="18" ht="38" customHeight="1">
      <x:c r="A18" s="7">
        <x:v>15</x:v>
      </x:c>
      <x:c r="B18" s="7" t="s">
        <x:v>1065</x:v>
      </x:c>
      <x:c r="C18" s="7"/>
      <x:c r="D18" s="7">
        <x:v>3</x:v>
      </x:c>
      <x:c r="E18" s="7">
        <x:v>10</x:v>
      </x:c>
      <x:c r="F18" s="7" t="s">
        <x:v>1091</x:v>
      </x:c>
      <x:c r="G18" s="7" t="s">
        <x:v>1092</x:v>
      </x:c>
      <x:c r="H18" s="7" t="s">
        <x:v>1093</x:v>
      </x:c>
      <x:c r="I18" s="7">
        <x:v>2</x:v>
      </x:c>
      <x:c r="J18" s="7" t="s">
        <x:v>1082</x:v>
      </x:c>
      <x:c r="K18" s="7" t="s">
        <x:v>1083</x:v>
      </x:c>
      <x:c r="L18" s="7" t="s">
        <x:v>1084</x:v>
      </x:c>
    </x:row>
    <x:row r="19" ht="38" customHeight="1">
      <x:c r="A19" s="8">
        <x:v>16</x:v>
      </x:c>
      <x:c r="B19" s="8" t="s">
        <x:v>1055</x:v>
      </x:c>
      <x:c r="C19" s="8" t="s">
        <x:v>80</x:v>
      </x:c>
      <x:c r="D19" s="8">
        <x:v>12</x:v>
      </x:c>
      <x:c r="E19" s="8">
        <x:v>10</x:v>
      </x:c>
      <x:c r="F19" s="8" t="s">
        <x:v>1091</x:v>
      </x:c>
      <x:c r="G19" s="8" t="s">
        <x:v>1092</x:v>
      </x:c>
      <x:c r="H19" s="8" t="s">
        <x:v>1093</x:v>
      </x:c>
      <x:c r="I19" s="8">
        <x:v>3</x:v>
      </x:c>
      <x:c r="J19" s="8" t="s">
        <x:v>1094</x:v>
      </x:c>
      <x:c r="K19" s="8" t="s">
        <x:v>1095</x:v>
      </x:c>
      <x:c r="L19" s="8" t="s">
        <x:v>1096</x:v>
      </x:c>
    </x:row>
    <x:row r="20" ht="38" customHeight="1">
      <x:c r="A20" s="7">
        <x:v>17</x:v>
      </x:c>
      <x:c r="B20" s="7" t="s">
        <x:v>1055</x:v>
      </x:c>
      <x:c r="C20" s="7"/>
      <x:c r="D20" s="7">
        <x:v>12</x:v>
      </x:c>
      <x:c r="E20" s="7">
        <x:v>11</x:v>
      </x:c>
      <x:c r="F20" s="7" t="s">
        <x:v>1097</x:v>
      </x:c>
      <x:c r="G20" s="7" t="s">
        <x:v>1098</x:v>
      </x:c>
      <x:c r="H20" s="7" t="s">
        <x:v>1080</x:v>
      </x:c>
      <x:c r="I20" s="7">
        <x:v>3</x:v>
      </x:c>
      <x:c r="J20" s="7" t="s">
        <x:v>1094</x:v>
      </x:c>
      <x:c r="K20" s="7" t="s">
        <x:v>1095</x:v>
      </x:c>
      <x:c r="L20" s="7" t="s">
        <x:v>1096</x:v>
      </x:c>
    </x:row>
    <x:row r="21" ht="38" customHeight="1">
      <x:c r="A21" s="8">
        <x:v>18</x:v>
      </x:c>
      <x:c r="B21" s="8" t="s">
        <x:v>1069</x:v>
      </x:c>
      <x:c r="C21" s="8"/>
      <x:c r="D21" s="8">
        <x:v>0</x:v>
      </x:c>
      <x:c r="E21" s="8">
        <x:v>12</x:v>
      </x:c>
      <x:c r="F21" s="8" t="s">
        <x:v>1099</x:v>
      </x:c>
      <x:c r="G21" s="8" t="s">
        <x:v>1100</x:v>
      </x:c>
      <x:c r="H21" s="8" t="s">
        <x:v>1101</x:v>
      </x:c>
      <x:c r="I21" s="8">
        <x:v>3</x:v>
      </x:c>
      <x:c r="J21" s="8" t="s">
        <x:v>1094</x:v>
      </x:c>
      <x:c r="K21" s="8" t="s">
        <x:v>1095</x:v>
      </x:c>
      <x:c r="L21" s="8" t="s">
        <x:v>1096</x:v>
      </x:c>
    </x:row>
    <x:row r="22" ht="38" customHeight="1">
      <x:c r="A22" s="7">
        <x:v>19</x:v>
      </x:c>
      <x:c r="B22" s="7" t="s">
        <x:v>1055</x:v>
      </x:c>
      <x:c r="C22" s="7"/>
      <x:c r="D22" s="7">
        <x:v>15</x:v>
      </x:c>
      <x:c r="E22" s="7">
        <x:v>12</x:v>
      </x:c>
      <x:c r="F22" s="7" t="s">
        <x:v>1099</x:v>
      </x:c>
      <x:c r="G22" s="7" t="s">
        <x:v>1100</x:v>
      </x:c>
      <x:c r="H22" s="7" t="s">
        <x:v>1101</x:v>
      </x:c>
      <x:c r="I22" s="7">
        <x:v>3</x:v>
      </x:c>
      <x:c r="J22" s="7" t="s">
        <x:v>1094</x:v>
      </x:c>
      <x:c r="K22" s="7" t="s">
        <x:v>1095</x:v>
      </x:c>
      <x:c r="L22" s="7" t="s">
        <x:v>1096</x:v>
      </x:c>
    </x:row>
    <x:row r="23" ht="38" customHeight="1">
      <x:c r="A23" s="8">
        <x:v>20</x:v>
      </x:c>
      <x:c r="B23" s="8" t="s">
        <x:v>1065</x:v>
      </x:c>
      <x:c r="C23" s="8" t="s">
        <x:v>80</x:v>
      </x:c>
      <x:c r="D23" s="8">
        <x:v>18</x:v>
      </x:c>
      <x:c r="E23" s="8">
        <x:v>13</x:v>
      </x:c>
      <x:c r="F23" s="8" t="s">
        <x:v>1102</x:v>
      </x:c>
      <x:c r="G23" s="8" t="s">
        <x:v>1103</x:v>
      </x:c>
      <x:c r="H23" s="8" t="s">
        <x:v>1104</x:v>
      </x:c>
      <x:c r="I23" s="8">
        <x:v>3</x:v>
      </x:c>
      <x:c r="J23" s="8" t="s">
        <x:v>1094</x:v>
      </x:c>
      <x:c r="K23" s="8" t="s">
        <x:v>1095</x:v>
      </x:c>
      <x:c r="L23" s="8" t="s">
        <x:v>1096</x:v>
      </x:c>
    </x:row>
    <x:row r="24" ht="38" customHeight="1">
      <x:c r="A24" s="7">
        <x:v>21</x:v>
      </x:c>
      <x:c r="B24" s="7" t="s">
        <x:v>1105</x:v>
      </x:c>
      <x:c r="C24" s="7"/>
      <x:c r="D24" s="7">
        <x:v>0</x:v>
      </x:c>
      <x:c r="E24" s="7">
        <x:v>13</x:v>
      </x:c>
      <x:c r="F24" s="7" t="s">
        <x:v>1102</x:v>
      </x:c>
      <x:c r="G24" s="7" t="s">
        <x:v>1103</x:v>
      </x:c>
      <x:c r="H24" s="7" t="s">
        <x:v>1104</x:v>
      </x:c>
      <x:c r="I24" s="7">
        <x:v>4</x:v>
      </x:c>
      <x:c r="J24" s="7" t="s">
        <x:v>1106</x:v>
      </x:c>
      <x:c r="K24" s="7" t="s">
        <x:v>1107</x:v>
      </x:c>
      <x:c r="L24" s="7" t="s">
        <x:v>1108</x:v>
      </x:c>
    </x:row>
  </x:sheetData>
  <x:mergeCells>
    <x:mergeCell ref="A1:L1"/>
    <x:mergeCell ref="A2:L2"/>
  </x:mergeCells>
  <x:pageMargins left="0.7" right="0.7" top="0.75" bottom="0.75" header="0.3" footer="0.3"/>
</x:worksheet>
</file>

<file path=xl/worksheets/sheet12.xml><?xml version="1.0" encoding="utf-8"?>
<x:worksheet xmlns:x="http://schemas.openxmlformats.org/spreadsheetml/2006/main">
  <x:sheetViews>
    <x:sheetView showGridLines="0" workbookViewId="0">
      <x:pane ySplit="3" topLeftCell="A4" activePane="bottomLeft" state="frozen"/>
    </x:sheetView>
  </x:sheetViews>
  <x:sheetFormatPr defaultColWidth="9" defaultRowHeight="14.25"/>
  <x:cols>
    <x:col min="1" max="1" width="36" customWidth="1"/>
    <x:col min="2" max="2" width="16" customWidth="1"/>
    <x:col min="3" max="3" width="14" customWidth="1"/>
    <x:col min="4" max="4" width="63" customWidth="1"/>
    <x:col min="5" max="5" width="46" customWidth="1"/>
  </x:cols>
  <x:sheetData>
    <x:row r="1" ht="34" customHeight="1">
      <x:c r="A1" s="1" t="inlineStr">
        <x:is>
          <x:t xml:space="preserve">战斗代码参数对照</x:t>
        </x:is>
      </x:c>
      <x:c r="B1" s="1"/>
      <x:c r="C1" s="1"/>
      <x:c r="D1" s="1"/>
      <x:c r="E1" s="1"/>
    </x:row>
    <x:row r="2" ht="36" customHeight="1">
      <x:c r="A2" s="2" t="inlineStr">
        <x:is>
          <x:t xml:space="preserve">宝藏和羁绊中仍由代码实现的固定参数；修改规则时同步更新此页与代码。</x:t>
        </x:is>
      </x:c>
      <x:c r="B2" s="2"/>
      <x:c r="C2" s="2"/>
      <x:c r="D2" s="2"/>
      <x:c r="E2" s="2"/>
    </x:row>
    <x:row r="3" ht="28" customHeight="1">
      <x:c r="A3" s="3" t="s">
        <x:v>1109</x:v>
      </x:c>
      <x:c r="B3" s="3" t="s">
        <x:v>1110</x:v>
      </x:c>
      <x:c r="C3" s="3" t="s">
        <x:v>1111</x:v>
      </x:c>
      <x:c r="D3" s="3" t="s">
        <x:v>986</x:v>
      </x:c>
      <x:c r="E3" s="3" t="s">
        <x:v>1112</x:v>
      </x:c>
    </x:row>
    <x:row r="4" ht="24" customHeight="1">
      <x:c r="A4" s="4" t="s">
        <x:v>1113</x:v>
      </x:c>
      <x:c r="B4" s="4">
        <x:v>0.4</x:v>
      </x:c>
      <x:c r="C4" s="4" t="s">
        <x:v>1114</x:v>
      </x:c>
      <x:c r="D4" s="4" t="s">
        <x:v>1115</x:v>
      </x:c>
      <x:c r="E4" s="4" t="s">
        <x:v>1116</x:v>
      </x:c>
    </x:row>
    <x:row r="5" ht="24" customHeight="1">
      <x:c r="A5" s="4" t="s">
        <x:v>1117</x:v>
      </x:c>
      <x:c r="B5" s="4">
        <x:v>0.3</x:v>
      </x:c>
      <x:c r="C5" s="4" t="s">
        <x:v>1114</x:v>
      </x:c>
      <x:c r="D5" s="4" t="s">
        <x:v>1118</x:v>
      </x:c>
      <x:c r="E5" s="4" t="s">
        <x:v>1119</x:v>
      </x:c>
    </x:row>
  </x:sheetData>
  <x:mergeCells>
    <x:mergeCell ref="A1:E1"/>
    <x:mergeCell ref="A2:E2"/>
  </x:mergeCells>
  <x:pageMargins left="0.7" right="0.7" top="0.75" bottom="0.75" header="0.3" footer="0.3"/>
</x:worksheet>
</file>