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00" activeTab="9"/>
  </bookViews>
  <sheets>
    <sheet name="00_版本与口径" sheetId="1" r:id="rId1"/>
    <sheet name="01_棋子基础" sheetId="2" r:id="rId2"/>
    <sheet name="02_棋子技能" sheetId="3" r:id="rId3"/>
    <sheet name="03_宠物与商城" sheetId="4" r:id="rId4"/>
    <sheet name="04_羁绊" sheetId="5" r:id="rId5"/>
    <sheet name="05_野怪" sheetId="6" r:id="rId6"/>
    <sheet name="06_Boss" sheetId="7" r:id="rId7"/>
    <sheet name="07_佣兵" sheetId="8" r:id="rId8"/>
    <sheet name="08_法阵友军" sheetId="9" r:id="rId9"/>
    <sheet name="09_宝藏与套装" sheetId="10" r:id="rId10"/>
    <sheet name="10_宝藏联动" sheetId="11" r:id="rId11"/>
    <sheet name="11_金币规则" sheetId="12" r:id="rId12"/>
    <sheet name="12_萝卜规则" sheetId="13" r:id="rId13"/>
    <sheet name="13_回合与商店" sheetId="14" r:id="rId14"/>
    <sheet name="14_界面映射" sheetId="15" r:id="rId15"/>
    <sheet name="15_冲突与验证" sheetId="16" r:id="rId16"/>
    <sheet name="90_运行配置" sheetId="17" r:id="rId17"/>
    <sheet name="91_来源清单" sheetId="18" r:id="rId18"/>
    <sheet name="92_代码参数" sheetId="19" r:id="rId19"/>
    <sheet name="93_商城目录" sheetId="20"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<sst xmlns="http://schemas.openxmlformats.org/spreadsheetml/2006/main" count="16393" uniqueCount="6207">
  <si>
    <t>00_版本与口径</t>
  </si>
  <si>
    <t>本表从用户指定的 2026-10-08 新表提取游戏实际使用的字段；不收录固定靶子探针、平衡排名和单场样本。冲突项在末页单列，未审定前不用于新文案。</t>
  </si>
  <si>
    <t>项目</t>
  </si>
  <si>
    <t>内容</t>
  </si>
  <si>
    <t>来源 / 约束</t>
  </si>
  <si>
    <t>版本</t>
  </si>
  <si>
    <t>final status / 2026-10-10</t>
  </si>
  <si>
    <t>2026-10-08 新表 + 2026-10-10 运行 JSON 变更；技能探针旧样本见各页说明</t>
  </si>
  <si>
    <t>来源文件</t>
  </si>
  <si>
    <t>数值总表_Beta0.04_运行实值_20261008.xlsx</t>
  </si>
  <si>
    <t>SHA-256 0a574a561aff378d369eda13b92239bded1bc418d8f4dd7726c22621edadd5f6</t>
  </si>
  <si>
    <t>详细数值</t>
  </si>
  <si>
    <t>Godot 本机运行导出 2026-10-07T13:54:53 UTC</t>
  </si>
  <si>
    <t>线上 21/21 回放有效，但没有逐击系数</t>
  </si>
  <si>
    <t>显示口径</t>
  </si>
  <si>
    <t>中文文案以本表各业务页为准；4★ 完整技能句由 Godot 根据 4★ 覆盖值补足</t>
  </si>
  <si>
    <t>UnitDetailFormat / UnitFactory</t>
  </si>
  <si>
    <t>运行口径</t>
  </si>
  <si>
    <t>客户端以稳定 ID 查 data/balance/final_status.json 显示；战斗仍使用原 JSON 与服务端权威计算</t>
  </si>
  <si>
    <t>避免手机运行时解析 xlsx</t>
  </si>
  <si>
    <t>价格口径</t>
  </si>
  <si>
    <t>商品价格来自服务端目录；本表列出本地 data/shop.json 的配置值供核对</t>
  </si>
  <si>
    <t>账号游戏币 coin 不等于对局 gold</t>
  </si>
  <si>
    <t>待核项</t>
  </si>
  <si>
    <t>灵族、凤凰涅槃、赌博倍率已按用户确认订正</t>
  </si>
  <si>
    <t>见 14_冲突与验证</t>
  </si>
  <si>
    <t>01_棋子基础</t>
  </si>
  <si>
    <t>编辑 1★ HP / 攻击 / 防御（G、K、O 列）；2–4★由公式按游戏星级倍率计算。运行前执行 tools/run_with_final.py，同步 JSON 和游戏显示。</t>
  </si>
  <si>
    <t>ID</t>
  </si>
  <si>
    <t>名称</t>
  </si>
  <si>
    <t>种族</t>
  </si>
  <si>
    <t>属性</t>
  </si>
  <si>
    <t>阶</t>
  </si>
  <si>
    <t>售价</t>
  </si>
  <si>
    <t>1★HP</t>
  </si>
  <si>
    <t>2★HP</t>
  </si>
  <si>
    <t>3★HP</t>
  </si>
  <si>
    <t>4★HP</t>
  </si>
  <si>
    <t>1★攻</t>
  </si>
  <si>
    <t>2★攻</t>
  </si>
  <si>
    <t>3★攻</t>
  </si>
  <si>
    <t>4★攻</t>
  </si>
  <si>
    <t>1★防</t>
  </si>
  <si>
    <t>2★防</t>
  </si>
  <si>
    <t>3★防</t>
  </si>
  <si>
    <t>4★防</t>
  </si>
  <si>
    <t>攻速</t>
  </si>
  <si>
    <t>射程</t>
  </si>
  <si>
    <t>射程px</t>
  </si>
  <si>
    <t>移速</t>
  </si>
  <si>
    <t>移速px/s</t>
  </si>
  <si>
    <t>暴击</t>
  </si>
  <si>
    <t>暴伤</t>
  </si>
  <si>
    <t>1★闪避</t>
  </si>
  <si>
    <t>4★闪避</t>
  </si>
  <si>
    <t>全场唯一</t>
  </si>
  <si>
    <t>技能ID</t>
  </si>
  <si>
    <t>dark_imp</t>
  </si>
  <si>
    <t>魔童</t>
  </si>
  <si>
    <t>暗族</t>
  </si>
  <si>
    <t>人</t>
  </si>
  <si>
    <t>5%</t>
  </si>
  <si>
    <t>—</t>
  </si>
  <si>
    <t>curse_attack</t>
  </si>
  <si>
    <t>dark_mage</t>
  </si>
  <si>
    <t>暗影法师</t>
  </si>
  <si>
    <t>天</t>
  </si>
  <si>
    <t>silence_bolt</t>
  </si>
  <si>
    <t>dark_fear</t>
  </si>
  <si>
    <t>恐惧魔</t>
  </si>
  <si>
    <t>地</t>
  </si>
  <si>
    <t>8%</t>
  </si>
  <si>
    <t>fear</t>
  </si>
  <si>
    <t>dark_queen</t>
  </si>
  <si>
    <t>痛苦女王</t>
  </si>
  <si>
    <t>same_target_damage_stack</t>
  </si>
  <si>
    <t>dark_scythe</t>
  </si>
  <si>
    <t>偷袭者</t>
  </si>
  <si>
    <t>12%</t>
  </si>
  <si>
    <t>blink_low_def_backline</t>
  </si>
  <si>
    <t>dark_suc</t>
  </si>
  <si>
    <t>魅魔</t>
  </si>
  <si>
    <t>stun</t>
  </si>
  <si>
    <t>dark_doom</t>
  </si>
  <si>
    <t>末日守卫</t>
  </si>
  <si>
    <t>10%</t>
  </si>
  <si>
    <t>是</t>
  </si>
  <si>
    <t>shared_hp_link</t>
  </si>
  <si>
    <t>dark_dragon</t>
  </si>
  <si>
    <t>黑龙</t>
  </si>
  <si>
    <t>black_hole</t>
  </si>
  <si>
    <t>god_priest</t>
  </si>
  <si>
    <t>神侍</t>
  </si>
  <si>
    <t>神族</t>
  </si>
  <si>
    <t>lowest_ally_heal</t>
  </si>
  <si>
    <t>god_priestess</t>
  </si>
  <si>
    <t>大祭司</t>
  </si>
  <si>
    <t>nearest_ally_bless</t>
  </si>
  <si>
    <t>god_angel</t>
  </si>
  <si>
    <t>天使</t>
  </si>
  <si>
    <t>nearby_ally_heal_buff</t>
  </si>
  <si>
    <t>god_arbiter</t>
  </si>
  <si>
    <t>裁决者</t>
  </si>
  <si>
    <t>judgement_strike</t>
  </si>
  <si>
    <t>god_aurora</t>
  </si>
  <si>
    <t>极光射手</t>
  </si>
  <si>
    <t>true_damage_attack</t>
  </si>
  <si>
    <t>god_guard</t>
  </si>
  <si>
    <t>光之卫士</t>
  </si>
  <si>
    <t>guardian_shield_taunt</t>
  </si>
  <si>
    <t>god_archangel</t>
  </si>
  <si>
    <t>大天使</t>
  </si>
  <si>
    <t>random_ally_damage_reduction</t>
  </si>
  <si>
    <t>god_king</t>
  </si>
  <si>
    <t>神王</t>
  </si>
  <si>
    <t>global_divine_blast</t>
  </si>
  <si>
    <t>human_merchant</t>
  </si>
  <si>
    <t>商人</t>
  </si>
  <si>
    <t>人族</t>
  </si>
  <si>
    <t>post_battle_gold_by_star</t>
  </si>
  <si>
    <t>human_militia</t>
  </si>
  <si>
    <t>民兵</t>
  </si>
  <si>
    <t>attack_interrupt</t>
  </si>
  <si>
    <t>human_archer</t>
  </si>
  <si>
    <t>弓箭手</t>
  </si>
  <si>
    <t>every_fourth_combo</t>
  </si>
  <si>
    <t>human_cleric</t>
  </si>
  <si>
    <t>牧师</t>
  </si>
  <si>
    <t>every_fifth_group_heal</t>
  </si>
  <si>
    <t>human_death_servant</t>
  </si>
  <si>
    <t>死侍</t>
  </si>
  <si>
    <t>0%</t>
  </si>
  <si>
    <t>left_neighbor_sacrifice</t>
  </si>
  <si>
    <t>human_mage</t>
  </si>
  <si>
    <t>法师</t>
  </si>
  <si>
    <t>random_attribute_bolt</t>
  </si>
  <si>
    <t>human_swordsman</t>
  </si>
  <si>
    <t>剑士</t>
  </si>
  <si>
    <t>front_cone_stun</t>
  </si>
  <si>
    <t>human_king</t>
  </si>
  <si>
    <t>人王</t>
  </si>
  <si>
    <t>7%</t>
  </si>
  <si>
    <t>unique_king_growth</t>
  </si>
  <si>
    <t>undead_poison</t>
  </si>
  <si>
    <t>毒灵</t>
  </si>
  <si>
    <t>亡灵</t>
  </si>
  <si>
    <t>poison_attack</t>
  </si>
  <si>
    <t>undead_small</t>
  </si>
  <si>
    <t>小灵</t>
  </si>
  <si>
    <t>none</t>
  </si>
  <si>
    <t>undead_bomb</t>
  </si>
  <si>
    <t>自爆灵</t>
  </si>
  <si>
    <t>death_poison_explosion</t>
  </si>
  <si>
    <t>undead_fly</t>
  </si>
  <si>
    <t>飞灵</t>
  </si>
  <si>
    <t>undead_parasite</t>
  </si>
  <si>
    <t>寄生灵</t>
  </si>
  <si>
    <t>parasite_on_kill</t>
  </si>
  <si>
    <t>undead_spike</t>
  </si>
  <si>
    <t>刺灵</t>
  </si>
  <si>
    <t>15%</t>
  </si>
  <si>
    <t>defense_down_attack</t>
  </si>
  <si>
    <t>undead_titan</t>
  </si>
  <si>
    <t>巨甲灵</t>
  </si>
  <si>
    <t>poison_reflect_armor_stack</t>
  </si>
  <si>
    <t>undead_mother</t>
  </si>
  <si>
    <t>母灵</t>
  </si>
  <si>
    <t>unique_death_execute</t>
  </si>
  <si>
    <t>crimson</t>
  </si>
  <si>
    <t>赤卫</t>
  </si>
  <si>
    <t>赤族</t>
  </si>
  <si>
    <t>block_guard</t>
  </si>
  <si>
    <t>dancer</t>
  </si>
  <si>
    <t>赤舞者</t>
  </si>
  <si>
    <t>random_ally_buff</t>
  </si>
  <si>
    <t>drumer</t>
  </si>
  <si>
    <t>战鼓使</t>
  </si>
  <si>
    <t>team_random_stack</t>
  </si>
  <si>
    <t>hunter</t>
  </si>
  <si>
    <t>血猎者</t>
  </si>
  <si>
    <t>current_hp_strike</t>
  </si>
  <si>
    <t>armbreaker</t>
  </si>
  <si>
    <t>破甲者</t>
  </si>
  <si>
    <t>stacking_def_break</t>
  </si>
  <si>
    <t>Icey</t>
  </si>
  <si>
    <t>霜印使</t>
  </si>
  <si>
    <t>frost_status</t>
  </si>
  <si>
    <t>skypierce</t>
  </si>
  <si>
    <t>穿云弩手</t>
  </si>
  <si>
    <t>line_pierce</t>
  </si>
  <si>
    <t>lattern</t>
  </si>
  <si>
    <t>赤灯使</t>
  </si>
  <si>
    <t>aoe_silence</t>
  </si>
  <si>
    <t>02_棋子技能</t>
  </si>
  <si>
    <t>技能文案以本页和当前 JSON 为准；10 秒探针等记录来自旧次运行，未按 2026-10-10 数值变更重测。</t>
  </si>
  <si>
    <t>技能名</t>
  </si>
  <si>
    <t>触发方式</t>
  </si>
  <si>
    <t>冷却(实测秒)</t>
  </si>
  <si>
    <t>效果说明</t>
  </si>
  <si>
    <t>1~3★ 技能数值</t>
  </si>
  <si>
    <t>4★ 变化（运行时逐字段比对）</t>
  </si>
  <si>
    <t>60秒真实释放次数 1★→4★</t>
  </si>
  <si>
    <t>10秒原始输出 1★/2★/3★/4★</t>
  </si>
  <si>
    <t>游戏内图鉴文案(1★)</t>
  </si>
  <si>
    <t>4★ 完整中文说明</t>
  </si>
  <si>
    <t>状态</t>
  </si>
  <si>
    <t>诅咒攻击</t>
  </si>
  <si>
    <t>普攻附带（被动）</t>
  </si>
  <si>
    <t>诅咒攻击：普通攻击附带减攻8%与攻速降低8%，持续4.0秒；暗2会增强效果。</t>
  </si>
  <si>
    <t>aspd_down = 0.08
attack_down = 0.08
duration = 4
max_stacks = 2
model_idle_animation = res://assets/models/units/dark_imp_motong/dark_imp_motong_idle_zombie.fbx</t>
  </si>
  <si>
    <t>aspd_down: 0.08 → 0.32
attack_down: 0.08 → 0.32</t>
  </si>
  <si>
    <t>0 → 0</t>
  </si>
  <si>
    <t>370/560/1110/1280</t>
  </si>
  <si>
    <t>Curse Strike: Normal attacks reduce target ATK by 8% and AS by 8% for 4.0s.</t>
  </si>
  <si>
    <t>诅咒攻击：普通攻击附带减攻32%与攻速降低32%，持续4.0秒。</t>
  </si>
  <si>
    <t>已按指定新表提取</t>
  </si>
  <si>
    <t>沉默箭</t>
  </si>
  <si>
    <t>主动·冷却</t>
  </si>
  <si>
    <t>6 → 4★ 4</t>
  </si>
  <si>
    <t>沉默箭（冷却6.0秒）：沉默最近敌人3.0秒，并造成自身攻击170%伤害。</t>
  </si>
  <si>
    <t>damage_atk_pct = 1.7
silence_sec = 3
skill_cd = 6</t>
  </si>
  <si>
    <t>damage_atk_pct: 1.7 → 3.4
skill_cd: 6 → 4</t>
  </si>
  <si>
    <t>10 → 15</t>
  </si>
  <si>
    <t>618/928/1856/3186</t>
  </si>
  <si>
    <t>Silence Bolt (CD 6.0s): Silence the nearest enemy for 3.0s and deal 170% ATK damage.</t>
  </si>
  <si>
    <t>沉默箭（冷却4.0秒）：沉默最近敌人3.0秒，并造成自身攻击340%伤害。</t>
  </si>
  <si>
    <t>恐惧</t>
  </si>
  <si>
    <t>恐惧效果：1–3★ 为 2 秒，4★ 为 3 秒；实际状态为 fear。</t>
  </si>
  <si>
    <t>fear_sec = 2
skill_cd = 6</t>
  </si>
  <si>
    <t>fear_sec: 2 → 3
skill_cd: 6 → 4</t>
  </si>
  <si>
    <t>583/880/1749/1900</t>
  </si>
  <si>
    <t>Fear (CD 6.0s): Make the nearest enemy retreat for 2.0s, then resume approaching its target.</t>
  </si>
  <si>
    <t>恐惧（冷却4.0秒）：使最近敌人向后逃跑3.0秒，结束后重新接近目标。</t>
  </si>
  <si>
    <t>痛苦凝视</t>
  </si>
  <si>
    <t>痛苦凝视：持续攻击同一目标时，每层伤害+20%，最多4层；换目标重置。</t>
  </si>
  <si>
    <t>max_stacks = 4
stack_damage = 0.2</t>
  </si>
  <si>
    <t>max_stacks: 4 → 6
stack_damage: 0.2 → 0.35</t>
  </si>
  <si>
    <t>1143/1719/3434/5795</t>
  </si>
  <si>
    <t>Agonizing Gaze: Consecutive attacks on the same target deal +20% damage per stack (max 4 stacks). Resets on target switch.</t>
  </si>
  <si>
    <t>痛苦凝视：持续攻击同一目标时，每层伤害+35%，最多6层；换目标重置。</t>
  </si>
  <si>
    <t>暗影突袭</t>
  </si>
  <si>
    <t>暗影突袭（冷却时间5.0秒）：瞬移到低防后排敌人身边，造成自身攻击250%伤害；击杀后刷新冷却。</t>
  </si>
  <si>
    <t>damage_atk_pct = 2.5
refresh_on_kill = true</t>
  </si>
  <si>
    <t>damage_atk_pct: 2.5 → 5
def_down_pct: — → 0.25</t>
  </si>
  <si>
    <t>12 → 12</t>
  </si>
  <si>
    <t>1637/2455/4910/7174</t>
  </si>
  <si>
    <t>Shadow Ambush: Blink to the lowest-DEF backline enemy and deal 250% ATK damage. Cooldown resets on kill.</t>
  </si>
  <si>
    <t>暗影突袭（冷却时间5.0秒）：瞬移到低防后排敌人身边，造成自身攻击500%伤害；击杀后刷新冷却。</t>
  </si>
  <si>
    <t>暗影击晕</t>
  </si>
  <si>
    <t>5 → 4★ 3.5</t>
  </si>
  <si>
    <t>眩晕目标，并造成自身攻击 ×1.5 的技能伤害。</t>
  </si>
  <si>
    <t>damage_atk_pct = 1.5
skill_cd = 5
stun_sec = 1.5</t>
  </si>
  <si>
    <t>skill_cd: 5 → 3.5
stun_sec: 1.5 → 2</t>
  </si>
  <si>
    <t>12 → 18</t>
  </si>
  <si>
    <t>832/1248/2496/3206</t>
  </si>
  <si>
    <t>Shadow Stun (CD 5.0s): Stun the nearest enemy for 1.5s and deal 150% ATK damage.</t>
  </si>
  <si>
    <t>暗影击晕（冷却3.5秒）：眩晕最近敌人2.0秒，并造成自身攻击150%伤害。</t>
  </si>
  <si>
    <t>血链</t>
  </si>
  <si>
    <t>主动·每1秒判定（整场只成功1次）</t>
  </si>
  <si>
    <t>血链：连接最近非Boss，非唯一棋子且星级不高于自身的敌人并使其变为我方棋子；双方共享受到的生命损失。任一方死亡后清除连接，本回合不再释放。</t>
  </si>
  <si>
    <t>unique_on_board = true
until_target_death = true</t>
  </si>
  <si>
    <t>link_regen_pct: — → 0.04</t>
  </si>
  <si>
    <t>1 → 1</t>
  </si>
  <si>
    <t>0/0/0/0</t>
  </si>
  <si>
    <t>Blood Chain: Link to the nearest non-Boss, non-unique enemy whose star is no higher than your own, and convert them to your side. Both share HP loss. Link breaks on either death and will not reactivate this round.</t>
  </si>
  <si>
    <t>血链：连接最近非Boss，非唯一棋子且星级不高于自身的敌人并使其变为我方棋子；双方共享受到的生命损失；连接期间每秒回4%最大生命。任一方死亡后清除连接，本回合不再释放。</t>
  </si>
  <si>
    <t>黑洞</t>
  </si>
  <si>
    <t>黑洞（冷却8.0秒）：牵引周围敌人，眩晕1.0秒，并造成自身攻击190%伤害。</t>
  </si>
  <si>
    <t>damage_atk_pct = 1.9
pull_sec = 1
unique_on_board = true</t>
  </si>
  <si>
    <t>damage_atk_pct: 1.9 → 4.4
pull_sec: 1 → 2</t>
  </si>
  <si>
    <t>8 → 8</t>
  </si>
  <si>
    <t>1562/2343/4686/6745</t>
  </si>
  <si>
    <t>Black Hole (CD 8.0s): Pull surrounding enemies, stun for 1.0s, and deal 190% ATK damage.</t>
  </si>
  <si>
    <t>黑洞（冷却8.0秒）：牵引周围敌人，眩晕2.0秒，并造成自身攻击440%伤害。</t>
  </si>
  <si>
    <t>星辉祈愿</t>
  </si>
  <si>
    <t>4</t>
  </si>
  <si>
    <t>星辉祈愿（冷却4.0秒）：治疗生命比例最低的友军，回复其最大生命6%；有25%概率清除负面状态。</t>
  </si>
  <si>
    <t>cleanse_chance = 0.25
heal_pct = 0.06
skill_cd = 4</t>
  </si>
  <si>
    <t>cleanse_chance: 0.25 → 0.5
heal_pct: 0.06 → 0.24</t>
  </si>
  <si>
    <t>15 → 15</t>
  </si>
  <si>
    <t>310/470/930/1070</t>
  </si>
  <si>
    <t>Starlight Prayer (CD 4.0s): Heal the ally with the lowest HP ratio by 6% of their max HP; 25% chance to cleanse debuffs.</t>
  </si>
  <si>
    <t>星辉祈愿（冷却4.0秒）：治疗生命比例最低的友军，回复其最大生命24%；有50%概率清除负面状态。</t>
  </si>
  <si>
    <t>神赐祝福</t>
  </si>
  <si>
    <t>6 → 4★ 4.5</t>
  </si>
  <si>
    <t>神赐祝福（冷却6.0秒）：强化最近友军，攻击+8%、攻速+0.15，并清除负面状态。</t>
  </si>
  <si>
    <t>aspd_bonus = 0.15
atk_bonus = 0.08
skill_cd = 6</t>
  </si>
  <si>
    <t>aspd_bonus: 0.15 → 0.45
atk_bonus: 0.08 → 0.32
skill_cd: 6 → 4.5</t>
  </si>
  <si>
    <t>10 → 14</t>
  </si>
  <si>
    <t>234/351/702/810</t>
  </si>
  <si>
    <t>Divine Blessing (CD 6.0s): Buff the nearest ally — ATK +8%, AS +0.15 — and cleanse their debuffs.</t>
  </si>
  <si>
    <t>神赐祝福（冷却4.5秒）：强化最近友军，攻击+32%、攻速+0.45，并清除负面状态。</t>
  </si>
  <si>
    <t>光环治疗</t>
  </si>
  <si>
    <t>7 → 4★ 5</t>
  </si>
  <si>
    <t>光环治疗（冷却7.0秒）：治疗自身周围友军最大生命15%，并给攻击+10%、攻速+0.15，同时清除负面状态；开场冷却2.0秒。</t>
  </si>
  <si>
    <t>aspd_bonus = 0.15
atk_bonus = 0.1
heal_pct = 0.15
opening_cd = 2
skill_cd = 7</t>
  </si>
  <si>
    <t>aspd_bonus: 0.15 → 0.45
atk_bonus: 0.1 → 0.4
control_immune_sec: — → 2
heal_pct: 0.15 → 0.4
skill_cd: 7 → 5</t>
  </si>
  <si>
    <t>9 → 12</t>
  </si>
  <si>
    <t>557/831/1663/3395</t>
  </si>
  <si>
    <t>Halo Heal (CD 7.0s): Heal nearby allies for 15% max HP; grant ATK +10% and AS +0.15 and cleanse debuffs; initial cooldown 2.0s.</t>
  </si>
  <si>
    <t>光环治疗（冷却5.0秒）：治疗自身周围友军最大生命40%，并给攻击+40%、攻速+0.45，同时清除负面状态；开场冷却2.0秒。</t>
  </si>
  <si>
    <t>审判打击</t>
  </si>
  <si>
    <t>3 → 4★ 2</t>
  </si>
  <si>
    <t>审判打击（冷却3.0秒）：对最近敌人造成自身攻击220%伤害；每次释放自身防御叠加+6%，最多5层。</t>
  </si>
  <si>
    <t>damage_atk_pct = 2.2
def_stack_pct = 0.06
max_stacks = 5
skill_cd = 3</t>
  </si>
  <si>
    <t>damage_atk_pct: 2.2 → 4.4
def_stack_pct: 0.06 → 0.2
skill_cd: 3 → 2</t>
  </si>
  <si>
    <t>20 → 30</t>
  </si>
  <si>
    <t>1324/1996/3980/8353</t>
  </si>
  <si>
    <t>Judgement Strike (CD 3.0s): Deal 220% ATK damage to the nearest enemy; each cast permanently stacks own DEF +6% (max 5 stacks).</t>
  </si>
  <si>
    <t>审判打击（冷却2.0秒）：对最近敌人造成自身攻击440%伤害；每次释放自身防御叠加+20%，最多5层。</t>
  </si>
  <si>
    <t>圣枪裁决</t>
  </si>
  <si>
    <t>圣枪裁决：普通攻击额外造成自身攻击18%真实伤害。</t>
  </si>
  <si>
    <t>true_damage_pct = 0.18</t>
  </si>
  <si>
    <t>third_hit_double: — → true
true_damage_pct: 0.18 → 0.45</t>
  </si>
  <si>
    <t>1092/1644/3276/5108</t>
  </si>
  <si>
    <t>Holy Lance: Normal attacks deal bonus true damage equal to 18% ATK.</t>
  </si>
  <si>
    <t>圣枪裁决：普通攻击额外造成自身攻击45%真实伤害。</t>
  </si>
  <si>
    <t>守护嘲讽</t>
  </si>
  <si>
    <t>开场一次（被动）</t>
  </si>
  <si>
    <t>守护嘲讽：战斗开始获得最大生命20%护盾，并让周围敌人优先攻击自己。</t>
  </si>
  <si>
    <t>start_shield_pct = 0.2
taunt_radius = 180</t>
  </si>
  <si>
    <t>shield_control_immune: — → true
start_shield_pct: 0.2 → 0.4
taunt_radius: 180 → 240</t>
  </si>
  <si>
    <t>368/552/1104/1272</t>
  </si>
  <si>
    <t>Guardian Taunt: Gain a shield equal to 20% max HP at battle start; force nearby enemies to target this unit.</t>
  </si>
  <si>
    <t>守护嘲讽：战斗开始获得最大生命40%护盾，并让周围敌人优先攻击自己。</t>
  </si>
  <si>
    <t>天使庇护</t>
  </si>
  <si>
    <t>天使庇护（冷却6.0秒）：随机友军获得50%减伤，持续6.0秒。</t>
  </si>
  <si>
    <t>damage_reduction = 0.5
duration = 6
skill_cd = 6
unique_on_board = true</t>
  </si>
  <si>
    <t>damage_reduction: 0.5 → 0.65
duration: 6 → 8
skill_cd: 6 → 4</t>
  </si>
  <si>
    <t>712/1073/2135/2646</t>
  </si>
  <si>
    <t>Angel's Guard (CD 6.0s): Grant a random ally 50% damage reduction for 6.0s.</t>
  </si>
  <si>
    <t>天使庇护（冷却4.0秒）：随机友军获得65%减伤，持续8.0秒。</t>
  </si>
  <si>
    <t>神王裁决</t>
  </si>
  <si>
    <t>8 → 4★ 6</t>
  </si>
  <si>
    <t>神王裁决（冷却8.0秒）：攻击神王所在战线内所有可攻击敌人，在2.0秒内分5次造成自身攻击160%加目标最大生命8%的伤害。</t>
  </si>
  <si>
    <t>damage_atk_pct = 1.6
damage_tick_count = 5
damage_tick_interval = 0.5
max_hp_bonus_pct = 0.08
skill_cd = 8
unique_on_board = true</t>
  </si>
  <si>
    <t>damage_atk_pct: 1.6 → 3.2
max_hp_bonus_pct: 0.08 → 0.16
skill_cd: 8 → 6</t>
  </si>
  <si>
    <t>8 → 7</t>
  </si>
  <si>
    <t>4204/4873/6855/12246</t>
  </si>
  <si>
    <t>Divine Judgement (CD 8.0s): Strike all attackable enemies in God King's lane, dealing 160% ATK + 8% of each target's max HP over 5 hits in 2.0s.</t>
  </si>
  <si>
    <t>神王裁决（冷却6.0秒）：攻击神王所在战线内所有可攻击敌人，在2.0秒内分5次造成自身攻击320%加目标最大生命16%的伤害。</t>
  </si>
  <si>
    <t>战后经商</t>
  </si>
  <si>
    <t>战后结算</t>
  </si>
  <si>
    <t>战后经商：参与战斗后，按星级获得金币。1星+10，2星+20，3星+30，4星+40。</t>
  </si>
  <si>
    <t>无</t>
  </si>
  <si>
    <t>306/462/915/1050</t>
  </si>
  <si>
    <t>Trade: After each battle, gain gold by star level (★1 → +10G, ★2 → +20G, ★3 → +30G, ★4 → +40G).</t>
  </si>
  <si>
    <t>缴械攻击</t>
  </si>
  <si>
    <t>普攻附带（概率）</t>
  </si>
  <si>
    <t>缴械攻击：普通攻击有12%概率缴械目标（1 秒内无法普攻）。</t>
  </si>
  <si>
    <t>interrupt_chance = 0.12</t>
  </si>
  <si>
    <t>interrupt_chance: 0.12 → 0.2
stun_sec: — → 0.5</t>
  </si>
  <si>
    <t>422/638/1262/1454</t>
  </si>
  <si>
    <t>Disarm Strike: Normal attacks have a 12% chance to disarm the target (cannot use normal attacks for 1s).</t>
  </si>
  <si>
    <t>缴械攻击：普通攻击有20%概率眩晕目标0.5秒。</t>
  </si>
  <si>
    <t>连射</t>
  </si>
  <si>
    <t>第N次普攻（被动）</t>
  </si>
  <si>
    <t>连射：每第4次普通攻击额外造成自身攻击150%伤害。</t>
  </si>
  <si>
    <t>combo_atk_pct = 1.5
every = 4</t>
  </si>
  <si>
    <t>combo_atk_pct: 1.5 → 3
every: 4 → 3</t>
  </si>
  <si>
    <t>1365/2049/4095/6364</t>
  </si>
  <si>
    <t>Rapid Fire: Every 4 attacks, deal bonus 150% ATK damage.</t>
  </si>
  <si>
    <t>连射：每第3次普通攻击额外造成自身攻击300%伤害。</t>
  </si>
  <si>
    <t>战歌</t>
  </si>
  <si>
    <t>战歌：每第5次普通攻击治疗周围友军最大生命15%。</t>
  </si>
  <si>
    <t>every = 5
heal_pct = 0.15</t>
  </si>
  <si>
    <t>every: 5 → 4
heal_pct: 0.15 → 0.4</t>
  </si>
  <si>
    <t>567/849/1698/1960</t>
  </si>
  <si>
    <t>War Song: Every 5 attacks, heal nearby allies for 15% of their max HP.</t>
  </si>
  <si>
    <t>战歌：每第4次普通攻击治疗周围友军最大生命40%。</t>
  </si>
  <si>
    <t>死侍契约</t>
  </si>
  <si>
    <t>开场一次 + 被绑棋子首次死亡</t>
  </si>
  <si>
    <t>死侍契约：周围一圈友军防御+3持续5.0秒；战斗开始绑定左侧棋子，该棋子首次死亡时死侍代替其死亡并使其满血复活。</t>
  </si>
  <si>
    <t>ally_def_bonus = 3
ally_def_duration = 5</t>
  </si>
  <si>
    <t>ally_def_duration: 5 → 8
ally_def_pct: — → 0.4</t>
  </si>
  <si>
    <t>3/3/3/3</t>
  </si>
  <si>
    <t>Death Pact: Grant surrounding allies DEF +3 for 5.0s. At battle start, bind to the left neighbour — when that unit first dies, this unit sacrifices itself in their place, reviving them at full HP.</t>
  </si>
  <si>
    <t>死侍契约：周围一圈友军防御+40%持续8.0秒；战斗开始绑定左右两侧棋子，其中先死亡的棋子首次阵亡时由死侍代替其死亡并使其满血复活（死侍仅能牺牲一次）。</t>
  </si>
  <si>
    <t>随机法术</t>
  </si>
  <si>
    <t>2.5 → 4★ 2</t>
  </si>
  <si>
    <t>随机法术：无普攻，每2.5秒对随机敌人造成攻击300%的随机属性伤害。</t>
  </si>
  <si>
    <t>damage_atk_pct = 3
no_basic_attack = true
skill_cd = 2.5</t>
  </si>
  <si>
    <t>damage_atk_pct: 3 → 6
double_element_chance: — → 0.2
skill_cd: 2.5 → 2</t>
  </si>
  <si>
    <t>24 → 30</t>
  </si>
  <si>
    <t>3322/3782/5164/11238</t>
  </si>
  <si>
    <t>Random Spell: No basic attack. Every 2.5s, deal 300% ATK random-element damage to a random enemy.</t>
  </si>
  <si>
    <t>随机法术：无普攻，每2.0秒对随机敌人造成攻击600%的随机属性伤害，并有20%概率触发双重施法。</t>
  </si>
  <si>
    <t>盾击</t>
  </si>
  <si>
    <t>盾击（冷却5.0秒）：攻击最近敌人，造成自身攻击150%伤害并眩晕1.0秒。</t>
  </si>
  <si>
    <t>damage_atk_pct = 1.5
stun_sec = 1</t>
  </si>
  <si>
    <t>damage_atk_pct: 1.5 → 3
stun_sec: 1 → 2</t>
  </si>
  <si>
    <t>882/1326/2649/3714</t>
  </si>
  <si>
    <t>Shield Bash (CD 5.0s): Strike the nearest enemy for 150% ATK damage and stun for 1.0s.</t>
  </si>
  <si>
    <t>盾击（冷却5.0秒）：攻击最近敌人，造成自身攻击300%伤害并眩晕2.0秒。</t>
  </si>
  <si>
    <t>人王唯一技</t>
  </si>
  <si>
    <t>战后结算（需存活）</t>
  </si>
  <si>
    <t>人王唯一技：棋盘上只能存在一只人王。若参战且战后仍存活，全属性永久x1.2（上限5层）；若死亡则从棋盘移除；升星继承三只材料中成长最高的人王数值。</t>
  </si>
  <si>
    <t>max_stacks = 5
post_battle_all_stat_growth = 0.2
remove_on_death = true
unique_on_board = true</t>
  </si>
  <si>
    <t>max_stacks: 5 → 8
post_battle_all_stat_growth: 0.2 → 0.3</t>
  </si>
  <si>
    <t>418/630/1254/1444</t>
  </si>
  <si>
    <t>Human King Unique (one on board): If this unit survives a battle, HP/ATK/DEF permanently ×1.2 (cap 5 stacks). If it dies, it is removed from the board. On upgrade, inherit the highest growth value from the three materials.</t>
  </si>
  <si>
    <t>人王唯一技：棋盘上只能存在一只人王。若参战且战后仍存活，生命、攻击、防御永久x1.3（上限8层）；若死亡则从棋盘移除；升星继承三只材料中成长最高的人王数值。</t>
  </si>
  <si>
    <t>毒击</t>
  </si>
  <si>
    <t>毒击：普通攻击附带中毒，每秒造成目标最大生命3%伤害，持续4.0秒；灵4毒伤x2。</t>
  </si>
  <si>
    <t>poison_duration = 4
poison_pct_max_hp = 0.03</t>
  </si>
  <si>
    <t>poison_duration: 4 → 6
poison_pct_max_hp: 0.03 → 0.06</t>
  </si>
  <si>
    <t>11730/11900/12390/20000</t>
  </si>
  <si>
    <t>Poison Strike: Normal attacks apply poison — 3% max HP per second for 4.0s. Up to 2 stacks tick separately.</t>
  </si>
  <si>
    <t>毒击：普通攻击附带中毒，每秒造成目标最大生命6%伤害，持续6.0秒；最多2层，分别扣血。</t>
  </si>
  <si>
    <t>无主动技能。</t>
  </si>
  <si>
    <t>star4_multiplier = 1.5</t>
  </si>
  <si>
    <t>240/360/720/1080</t>
  </si>
  <si>
    <t>No active skill.</t>
  </si>
  <si>
    <t>死亡毒爆</t>
  </si>
  <si>
    <t>自身死亡时</t>
  </si>
  <si>
    <t>死亡毒爆：死亡时对周围敌人造成自身攻击250%真实伤害，并施加中毒。</t>
  </si>
  <si>
    <t>damage_atk_pct = 2.5</t>
  </si>
  <si>
    <t>damage_atk_pct: 2.5 → 5</t>
  </si>
  <si>
    <t>1102/1657/3306/3800</t>
  </si>
  <si>
    <t>Death Poison Burst: On death, deal 250% ATK true damage to surrounding enemies and apply poison (up to 2 separate damage stacks).</t>
  </si>
  <si>
    <t>死亡毒爆：死亡时对周围敌人造成自身攻击500%真实伤害，并施加中毒（最多2层，分别扣血）。</t>
  </si>
  <si>
    <t>dodge: 0.25 → 0.4
poison_duration: 4 → 6
poison_pct_max_hp: 0.03 → 0.06</t>
  </si>
  <si>
    <t>13392/13788/14976/20000</t>
  </si>
  <si>
    <t>寄生</t>
  </si>
  <si>
    <t>普攻标记 + 目标死亡时</t>
  </si>
  <si>
    <t>寄生：普攻标记非 Boss 敌人，被标记敌人死亡时，召唤该敌人的分身，生命为原目标20%，攻防为原目标50%。</t>
  </si>
  <si>
    <t>clone_atk_def_pct = 0.5
clone_hp_pct = 0.2</t>
  </si>
  <si>
    <t>clone_atk_def_pct: 0.5 → 0.75
clone_hp_pct: 0.2 → 0.5</t>
  </si>
  <si>
    <t>547/826/1642/1891</t>
  </si>
  <si>
    <t>Parasite: When a basic attack kills a non-Boss enemy, summon its clone at 20% HP and 50% ATK/DEF.</t>
  </si>
  <si>
    <t>寄生：普攻标记非 Boss 敌人，被标记敌人死亡时，召唤该敌人的分身，生命为原目标50%，攻防为原目标75%。</t>
  </si>
  <si>
    <t>腐蚀攻击</t>
  </si>
  <si>
    <t>腐蚀攻击：普通攻击降低目标防御30%，持续5.0秒；暗2会增强效果。</t>
  </si>
  <si>
    <t>def_down_pct = 0.3
duration = 5</t>
  </si>
  <si>
    <t>def_down_pct: 0.3 → 0.6
duration: 5 → 8</t>
  </si>
  <si>
    <t>694/1042/2084/2396</t>
  </si>
  <si>
    <t>Corrosive Strike: Normal attacks reduce target DEF by 30% for 5.0s.</t>
  </si>
  <si>
    <t>腐蚀攻击：普通攻击降低目标防御60%，持续8.0秒。</t>
  </si>
  <si>
    <t>毒甲</t>
  </si>
  <si>
    <t>被命中时（被动）</t>
  </si>
  <si>
    <t>毒甲：受伤后反弹本次伤害15%真实伤害并使攻击者中毒；自身防御每次+14%，最多10层。</t>
  </si>
  <si>
    <t>armor_per_hit_pct = 0.14
max_stacks = 10
reflect_taken_damage_pct = 0.15</t>
  </si>
  <si>
    <t>armor_per_hit_pct: 0.14 → 0.28
reflect_taken_damage_pct: 0.15 → 0.3</t>
  </si>
  <si>
    <t>6453/6678/7353/7560</t>
  </si>
  <si>
    <t>Toxic Armor: On taking damage, reflect 15% as true damage and poison the attacker (up to 2 separate damage stacks). Own DEF stacks +14% per hit (max 10 stacks).</t>
  </si>
  <si>
    <t>毒甲：受伤后反弹本次伤害30%真实伤害并使攻击者中毒（最多2层，分别扣血）；自身防御每次+28%，最多10层。</t>
  </si>
  <si>
    <t>母灵处决</t>
  </si>
  <si>
    <t>己方每击杀N个敌人</t>
  </si>
  <si>
    <t>母灵：每名玩家最多1只；3v3中多个玩家的母灵可同时生效且各自独立计数。每5个非母灵处决造成的敌军死亡触发一次；1阶/佣兵50%、2阶35%、3阶10%即死，Boss改为20%最大生命伤害。</t>
  </si>
  <si>
    <t>boss_max_hp_damage = 0.2
death_threshold = 5
tier1_or_merc_chance = 0.5
tier2_chance = 0.35
tier3_chance = 0.1
unique_on_board = true</t>
  </si>
  <si>
    <t>boss_max_hp_damage: 0.2 → 0.3
death_threshold: 5 → 4
tier1_or_merc_chance: 0.5 → 0.55
tier2_chance: 0.35 → 0.35</t>
  </si>
  <si>
    <t>963/1444/2888/3316</t>
  </si>
  <si>
    <t>Matron: each player can field 1; in 3v3, each player's Matron works at the same time and counts independently. Every 5 enemy deaths not caused by Matron execute: Tier 1/Merc 50%, Tier 2 35%, Tier 3 10%; vs Boss deal 20% max HP instead.</t>
  </si>
  <si>
    <t>母灵：每名玩家最多1只；3v3中多个玩家的母灵可同时生效且各自独立计数。每4个非母灵处决造成的敌军死亡触发一次；1阶/佣兵55%、2阶35%、3阶10%即死，Boss改为30%最大生命伤害。</t>
  </si>
  <si>
    <t>赤卫格挡</t>
  </si>
  <si>
    <t>受击被动</t>
  </si>
  <si>
    <t>直接普攻或技能命中时有 20% 概率完全格挡，4★ 为 30%；持续伤害跳数不触发。</t>
  </si>
  <si>
    <t>block_chance = 0.2</t>
  </si>
  <si>
    <t>block_chance: 0.2 → 0.3</t>
  </si>
  <si>
    <t>279/423/837/963</t>
  </si>
  <si>
    <t>Crimson Guard: 20% chance to fully block each direct basic or skill hit; damage-over-time ticks do not trigger it.</t>
  </si>
  <si>
    <t>赤卫格挡：每次受到普攻或技能直击时，有30%概率完全格挡；持续伤害不触发。</t>
  </si>
  <si>
    <t>赤舞</t>
  </si>
  <si>
    <t>5</t>
  </si>
  <si>
    <t>每 5 秒选 1 名友军，随机令技能剩余冷却 -2 秒，或攻击 / 攻速 +20% 持续 3 秒；4★ 选 2 名。</t>
  </si>
  <si>
    <t>ally_count = 1
buff_duration = 3
buff_pct = 0.2
skill_cd = 5</t>
  </si>
  <si>
    <t>ally_count: 1 → 2</t>
  </si>
  <si>
    <t>294/441/882/1019</t>
  </si>
  <si>
    <t>Crimson Dance (CD 5.0s): Choose 1 distinct random allies. Each gets one random effect: 2s off remaining skill cooldown, +20% ATK, or +20% attack speed for 3.0s. Same-type buffs refresh.</t>
  </si>
  <si>
    <t>赤舞祝福（冷却5.0秒）：随机选择2名不同友军（优先其他存活队友，人数不足时可选自身），各随机获得一种效果：技能剩余冷却-2秒、攻击+20%或攻速+20%，增益持续3.0秒，同类刷新不叠加。</t>
  </si>
  <si>
    <t>战鼓</t>
  </si>
  <si>
    <t>普攻被动</t>
  </si>
  <si>
    <t>普攻命中使符合条件的友军攻击和攻速各 +5%，最多 15 层，持续 3 秒且每次刷新；每击有 1/3 概率治疗友军最大生命 5%；4★ 每层 +8%。</t>
  </si>
  <si>
    <t>heal_pct = 0.05
max_stacks = 15
stack_duration = 3
stack_pct = 0.05</t>
  </si>
  <si>
    <t>stack_pct: 0.05 → 0.08</t>
  </si>
  <si>
    <t>879/1319/2637/4189</t>
  </si>
  <si>
    <t>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t>
  </si>
  <si>
    <t>战鼓共振：每次普攻命中使可作用的存活友军同时叠加攻击+8%和攻速+8%，各最多15层；每次叠加刷新该棋子全部战鼓层的3.0秒持续时间。分路战斗先作用本路，开放并连通后可跨路；另有1/3概率立刻回复可作用友军最大生命5%。</t>
  </si>
  <si>
    <t>血猎</t>
  </si>
  <si>
    <t>普攻附加目标受击前当前生命 10% 伤害，Boss 为 5%，不暴击；4★ 增加低血处决。</t>
  </si>
  <si>
    <t>boss_hp_pct = 0.05
current_hp_pct = 0.1</t>
  </si>
  <si>
    <t>execute_atk_pct: — → 0.5
execute_threshold: — → 0.3</t>
  </si>
  <si>
    <t>11709/11870/12347/12490</t>
  </si>
  <si>
    <t>Blood Hunt: Basics deal extra damage equal to 10% of the target's pre-hit current HP (5% against bosses); the extra damage cannot crit.</t>
  </si>
  <si>
    <t>血猎：普攻额外造成目标受击前当前生命10%的伤害，Boss为5%；额外伤害不暴击。目标受击前生命低于30%时，再造成自身攻击50%伤害。</t>
  </si>
  <si>
    <t>破甲</t>
  </si>
  <si>
    <t>每次普攻命中永久降低目标防御 2 点，可叠至零；4★ 每次降低 4 点。</t>
  </si>
  <si>
    <t>break_amount = 2
break_chance = 1</t>
  </si>
  <si>
    <t>break_amount: 2 → 4</t>
  </si>
  <si>
    <t>486/729/1458/1674</t>
  </si>
  <si>
    <t>Armor Break: Each landed basic has a 100% chance to permanently reduce target DEF by 2, stacking down to zero.</t>
  </si>
  <si>
    <t>破甲：每次普攻命中有100%概率使目标防御永久降低4点，可叠加，最低为0。</t>
  </si>
  <si>
    <t>霜印</t>
  </si>
  <si>
    <t>6</t>
  </si>
  <si>
    <t>每 6 秒对目标周围两格敌人造成攻击 110% 伤害并附加 3 秒冰弱：受伤 +25%，Boss +13%；4★ 伤害 150%、持续 5 秒。</t>
  </si>
  <si>
    <t>aoe_radius = 144
damage_atk_pct = 1.1
ice_duration = 3
ice_vulnerable_pct = 0.25
skill_cd = 6</t>
  </si>
  <si>
    <t>damage_atk_pct: 1.1 → 1.5
ice_duration: 3 → 5</t>
  </si>
  <si>
    <t>10 → 10</t>
  </si>
  <si>
    <t>888/1333/2661/3434</t>
  </si>
  <si>
    <t>Frost Mark (CD 6.0s): Deal 110% ATK skill damage to each enemy within two cells of the target and apply Ice Vulnerable for 3.0s. Damage taken +25% (+13% for bosses).</t>
  </si>
  <si>
    <t>霜印（冷却6.0秒）：以当前目标为中心，对2格范围内每名敌人造成自身攻击150%技能伤害，并附加冰易伤5.0秒，使其受到的伤害+25%（Boss为+13%）。</t>
  </si>
  <si>
    <t>穿云连射</t>
  </si>
  <si>
    <t>普攻最多穿透一线 4 个目标，依次造成攻击 100% / 80% / 60% / 40% 伤害；4★ 衰减改为每目标 10%。分别结算防御和属性。</t>
  </si>
  <si>
    <t>pierce_falloff = 0.2
pierce_targets = 4</t>
  </si>
  <si>
    <t>pierce_falloff: 0.2 → 0.1</t>
  </si>
  <si>
    <t>1014/1521/3042/3500</t>
  </si>
  <si>
    <t>Skypierce: Basics strike up to 4 enemies in a line for 100%, 80%, 60%, and 40% ATK damage. DEF and element are calculated separately.</t>
  </si>
  <si>
    <t>穿云：普攻沿直线最多命中4名敌人，第1至第4名分别受到自身攻击的100%、90%、80%、70%伤害，各自计算防御与元素克制。</t>
  </si>
  <si>
    <t>赤灯沉默</t>
  </si>
  <si>
    <t>10 → 4★ 9</t>
  </si>
  <si>
    <t>开场沉默可选中路线的所有敌人 3 秒，期间攻速 -30%；4★ 沉默 4 秒、冷却 9 秒。</t>
  </si>
  <si>
    <t>silence_duration = 3
skill_cd = 10
skill_global = true
unique_on_board = true</t>
  </si>
  <si>
    <t>silence_duration: 3 → 4
skill_cd: 10 → 9</t>
  </si>
  <si>
    <t>6 → 7</t>
  </si>
  <si>
    <t>718/1076/2153/2476</t>
  </si>
  <si>
    <t>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t>
  </si>
  <si>
    <t>赤灯禁言（冷却9.0秒）：开战立即释放，使当前可攻击路线的所有敌人沉默4.0秒；沉默期间无法释放主动技能，攻速降低30%，普攻与被动正常。本路清空后，后续施法可按分路规则影响其他路（Boss控制时长减半）。</t>
  </si>
  <si>
    <t>03_宠物与商城</t>
  </si>
  <si>
    <t>编辑 E 列效果百分比时，同步修改 F、N 列的说明百分比；工具会阻止文案与效果不一致。商品价格仍由 data/shop.json 管理。</t>
  </si>
  <si>
    <t>宠物 ID</t>
  </si>
  <si>
    <t>英文名</t>
  </si>
  <si>
    <t>技能类型</t>
  </si>
  <si>
    <t>加成</t>
  </si>
  <si>
    <t>完整中文技能说明</t>
  </si>
  <si>
    <t>作用对象 / 时机</t>
  </si>
  <si>
    <t>初始可选</t>
  </si>
  <si>
    <t>来源</t>
  </si>
  <si>
    <t>商品 ID</t>
  </si>
  <si>
    <t>货币</t>
  </si>
  <si>
    <t>本地配置价</t>
  </si>
  <si>
    <t>在本地商城上架</t>
  </si>
  <si>
    <t>短说明</t>
  </si>
  <si>
    <t>pet_mushroom</t>
  </si>
  <si>
    <t>蘑菇</t>
  </si>
  <si>
    <t>Mushroom</t>
  </si>
  <si>
    <t>生命加成</t>
  </si>
  <si>
    <t>己方棋子最大生命 +10%。</t>
  </si>
  <si>
    <t>己方普通棋子；战斗开场</t>
  </si>
  <si>
    <t>pets.json / PetService / LocaleManager</t>
  </si>
  <si>
    <t>shop_pet_mushroom</t>
  </si>
  <si>
    <t>coin</t>
  </si>
  <si>
    <t>己方棋子生命 +10%</t>
  </si>
  <si>
    <t>pet_cat</t>
  </si>
  <si>
    <t>猫</t>
  </si>
  <si>
    <t>Cat</t>
  </si>
  <si>
    <t>利息</t>
  </si>
  <si>
    <t>金币利息率额外 +5%，与基础及复利宝藏分别计算。</t>
  </si>
  <si>
    <t>持有者；战后利息</t>
  </si>
  <si>
    <t>shop_pet_cat</t>
  </si>
  <si>
    <t>金币利息 +5%</t>
  </si>
  <si>
    <t>pet_rabbit</t>
  </si>
  <si>
    <t>兔子</t>
  </si>
  <si>
    <t>Rabbit</t>
  </si>
  <si>
    <t>攻击加成</t>
  </si>
  <si>
    <t>己方棋子攻击 +10%。</t>
  </si>
  <si>
    <t>shop_pet_rabbit</t>
  </si>
  <si>
    <t>己方棋子攻击 +10%</t>
  </si>
  <si>
    <t>pet_squirrel</t>
  </si>
  <si>
    <t>松鼠</t>
  </si>
  <si>
    <t>Squirrel</t>
  </si>
  <si>
    <t>萝卜采集 / 容量</t>
  </si>
  <si>
    <t>20%</t>
  </si>
  <si>
    <t>每次萝卜收获额外 +20%，增量向下取整且至少 +1；己方营地萝卜容量 +20%，增量向下取整。</t>
  </si>
  <si>
    <t>己方采集和营地容量</t>
  </si>
  <si>
    <t>否</t>
  </si>
  <si>
    <t>draw_pet_squirrel</t>
  </si>
  <si>
    <t>diamond</t>
  </si>
  <si>
    <t>萝卜采集与营地容量 +20%（采集至少多 1）</t>
  </si>
  <si>
    <t>pet_tiger</t>
  </si>
  <si>
    <t>老虎</t>
  </si>
  <si>
    <t>Tiger</t>
  </si>
  <si>
    <t>升星成长</t>
  </si>
  <si>
    <t>每次自己的棋子升星永久 +1 层，棋盘和备战区、1–3 阶升星均计；每层使自己所有 1 阶棋子的生命、攻击、防御 +5%，无限累计。后来上场也继承；卖掉棋子不清层数。2–3 阶、队友和敌方不加成。</t>
  </si>
  <si>
    <t>自己的一阶棋子；升星永久叠层</t>
  </si>
  <si>
    <t>draw_pet_tiger</t>
  </si>
  <si>
    <t>每次升星：一阶棋子生命、攻击、防御 +5%（无限累计）</t>
  </si>
  <si>
    <t>04_羁绊</t>
  </si>
  <si>
    <t>按稳定种族 ID 与人数档提取。灵族按用户确认的双毒、减疗和毒伤玩法订正。</t>
  </si>
  <si>
    <t>种族 ID</t>
  </si>
  <si>
    <t>门槛</t>
  </si>
  <si>
    <t>中文效果</t>
  </si>
  <si>
    <t>原表位置</t>
  </si>
  <si>
    <t>god</t>
  </si>
  <si>
    <t>神族·死亡净化</t>
  </si>
  <si>
    <t>己方任一棋子死亡 → 随机一名己方存活棋子清除全部负面状态</t>
  </si>
  <si>
    <t>已审定</t>
  </si>
  <si>
    <t>10_种族羁绊!C4</t>
  </si>
  <si>
    <t>神族·吸血</t>
  </si>
  <si>
    <t>仅神族棋子普攻吸血 20%，按实际造成的伤害结算。</t>
  </si>
  <si>
    <t>10_种族羁绊!C5</t>
  </si>
  <si>
    <t>神族·神圣脉冲</t>
  </si>
  <si>
    <t>神族 ≥7：从开战第 1 秒起每 5 秒，全队普通棋子无敌 1 秒；免普攻与技能伤害，中毒/流血/灼烧仍生效。</t>
  </si>
  <si>
    <t>10_种族羁绊!C6</t>
  </si>
  <si>
    <t>dark</t>
  </si>
  <si>
    <t>暗族·死亡叠伤</t>
  </si>
  <si>
    <t>敌方每死 3 个 → 暗族单位普攻伤害 +6%（线性叠加，代码里没有上限）</t>
  </si>
  <si>
    <t>10_种族羁绊!C7</t>
  </si>
  <si>
    <t>暗族·负面增强</t>
  </si>
  <si>
    <t>暗族施加的减攻 / 减速 / 减防效果 +30%。</t>
  </si>
  <si>
    <t>10_种族羁绊!C9</t>
  </si>
  <si>
    <t>暗族·增伤</t>
  </si>
  <si>
    <t>暗族单位普攻伤害 +25%</t>
  </si>
  <si>
    <t>10_种族羁绊!C8</t>
  </si>
  <si>
    <t>暗族·汲取</t>
  </si>
  <si>
    <t>暗族普攻命中即可叠层：目标攻击 / 防御 / 攻速各 -3%/层；自身各 +3%/层，最多 15 层。</t>
  </si>
  <si>
    <t>10_种族羁绊!C10</t>
  </si>
  <si>
    <t>undead</t>
  </si>
  <si>
    <t>灵族特性·双毒</t>
  </si>
  <si>
    <t>灵族施加的中毒最多叠加 2 层，分别计时和造成伤害。</t>
  </si>
  <si>
    <t>10_种族羁绊!C12</t>
  </si>
  <si>
    <t>灵2·剧毒抑疗</t>
  </si>
  <si>
    <t>目标中毒期间，其治疗与吸血获得的生命减少 30%。</t>
  </si>
  <si>
    <t>10_种族羁绊!C11</t>
  </si>
  <si>
    <t>灵4·剧毒</t>
  </si>
  <si>
    <t>灵族中毒伤害翻倍。</t>
  </si>
  <si>
    <t>灵7·噬毒</t>
  </si>
  <si>
    <t>灵族单位攻击已中毒的敌人时，每次回复自身 15% 最大生命。</t>
  </si>
  <si>
    <t>10_种族羁绊!C13</t>
  </si>
  <si>
    <t>human</t>
  </si>
  <si>
    <t>人族·三连暴</t>
  </si>
  <si>
    <t>人族单位每第 3 次普攻必定暴击（写在普攻里，不是羁绊，任何人族棋子都吃）</t>
  </si>
  <si>
    <t>10_种族羁绊!C16</t>
  </si>
  <si>
    <t>人族·开场护盾</t>
  </si>
  <si>
    <t>开场获得 最大生命×8% 的护盾</t>
  </si>
  <si>
    <t>10_种族羁绊!C14</t>
  </si>
  <si>
    <t>人族·死亡集结</t>
  </si>
  <si>
    <t>人族 ≥7：己方普通棋子死亡时，同一持有人的存活普通棋子获得一层集结：按开战基础值最大生命/攻击/防御/攻速各 +20%，回复新增生命，暴击率 +20%，暴伤 +10%；可叠层。</t>
  </si>
  <si>
    <t>10_种族羁绊!C15</t>
  </si>
  <si>
    <t>赤族·符文</t>
  </si>
  <si>
    <t>自身效果触发累积符文，最多 9 层；3 层暴击率 +30%，6 层攻速 ×1.6，9 层暴伤 +0.9。</t>
  </si>
  <si>
    <t>10_种族羁绊!C72</t>
  </si>
  <si>
    <t>赤族·延时</t>
  </si>
  <si>
    <t>施加的状态时长 +20%；沉默、眩晕、打断、冰冻类额外延时最多 0.5 秒。</t>
  </si>
  <si>
    <t>10_种族羁绊!C73</t>
  </si>
  <si>
    <t>赤族·共鸣</t>
  </si>
  <si>
    <t>赤族施加状态时自身获得 1 层共鸣，最多 10 层；每层攻击和攻速 +5%，4 秒未刷新即结束。</t>
  </si>
  <si>
    <t>10_种族羁绊!C74</t>
  </si>
  <si>
    <t>赤族·脉冲</t>
  </si>
  <si>
    <t>开战第 2 秒起每 5 秒：赤族单位技能剩余冷却 -1 秒、清除负面、治疗最大生命 6%、获得 1 层脉冲。每层攻击、攻速、暴击率 +10%，最多 5 层。</t>
  </si>
  <si>
    <t>10_种族羁绊!C75</t>
  </si>
  <si>
    <t>05_野怪</t>
  </si>
  <si>
    <t>编辑 E–G 列基础 HP / 攻击 / 防御；回合成长和技能机制由 data/pve/pve_monsters.json 管理。运行前执行同步工具。</t>
  </si>
  <si>
    <t>系列</t>
  </si>
  <si>
    <t>HP</t>
  </si>
  <si>
    <t>攻击</t>
  </si>
  <si>
    <t>防御</t>
  </si>
  <si>
    <t>理论DPS</t>
  </si>
  <si>
    <t>10秒原始输出</t>
  </si>
  <si>
    <t>有效血量</t>
  </si>
  <si>
    <t>表里写的 skill_id</t>
  </si>
  <si>
    <t>主动技实跑60秒</t>
  </si>
  <si>
    <t>普攻挂钩实跑</t>
  </si>
  <si>
    <t>被击/死亡/击杀挂钩</t>
  </si>
  <si>
    <t>结论</t>
  </si>
  <si>
    <t>被击杀赏金</t>
  </si>
  <si>
    <t>游戏内图鉴文案</t>
  </si>
  <si>
    <t>pve_sky_cloud_eagle</t>
  </si>
  <si>
    <t>云羽鹰</t>
  </si>
  <si>
    <t>sky</t>
  </si>
  <si>
    <t>dive_backline</t>
  </si>
  <si>
    <t>0 次</t>
  </si>
  <si>
    <t>❌ 只掉血，无任何状态</t>
  </si>
  <si>
    <t>❌ 无</t>
  </si>
  <si>
    <t>只会普攻</t>
  </si>
  <si>
    <t>15 金</t>
  </si>
  <si>
    <t>pve_sky_thunder_spirit</t>
  </si>
  <si>
    <t>雷鸣灵</t>
  </si>
  <si>
    <t>chain_lightning</t>
  </si>
  <si>
    <t>pve_sky_star_butterfly</t>
  </si>
  <si>
    <t>星辉蝶</t>
  </si>
  <si>
    <t>heal_allies</t>
  </si>
  <si>
    <t>pve_sky_dome_guard</t>
  </si>
  <si>
    <t>天穹守卫</t>
  </si>
  <si>
    <t>holy_shield_burst</t>
  </si>
  <si>
    <t>pve_sky_wind_falcon</t>
  </si>
  <si>
    <t>风刃隼</t>
  </si>
  <si>
    <t>wind_bleed</t>
  </si>
  <si>
    <t>pve_sky_hymn_spirit</t>
  </si>
  <si>
    <t>圣歌灵</t>
  </si>
  <si>
    <t>slow_aura</t>
  </si>
  <si>
    <t>pve_land_rock_beast</t>
  </si>
  <si>
    <t>岩甲兽</t>
  </si>
  <si>
    <t>land</t>
  </si>
  <si>
    <t>stun_impact</t>
  </si>
  <si>
    <t>pve_land_vine_guard</t>
  </si>
  <si>
    <t>藤蔓守卫</t>
  </si>
  <si>
    <t>entangle</t>
  </si>
  <si>
    <t>pve_land_vein_worm</t>
  </si>
  <si>
    <t>地脉虫</t>
  </si>
  <si>
    <t>burrow_ambush</t>
  </si>
  <si>
    <t>pve_land_lava_golem</t>
  </si>
  <si>
    <t>熔岩傀儡</t>
  </si>
  <si>
    <t>lava_burst</t>
  </si>
  <si>
    <t>pve_land_ancient_tree</t>
  </si>
  <si>
    <t>古树长者</t>
  </si>
  <si>
    <t>nature_heal</t>
  </si>
  <si>
    <t>pve_land_mountain_giant</t>
  </si>
  <si>
    <t>山岳巨人</t>
  </si>
  <si>
    <t>earth_slam</t>
  </si>
  <si>
    <t>pve_ren_shadow_thief</t>
  </si>
  <si>
    <t>影行盗徒</t>
  </si>
  <si>
    <t>ren</t>
  </si>
  <si>
    <t>backstab</t>
  </si>
  <si>
    <t>pve_ren_voodoo_witch</t>
  </si>
  <si>
    <t>巫毒术士</t>
  </si>
  <si>
    <t>curse</t>
  </si>
  <si>
    <t>pve_ren_wandering_swordsman</t>
  </si>
  <si>
    <t>流浪剑客</t>
  </si>
  <si>
    <t>counter_slash</t>
  </si>
  <si>
    <t>pve_ren_poison_doctor</t>
  </si>
  <si>
    <t>药毒医师</t>
  </si>
  <si>
    <t>06_Boss</t>
  </si>
  <si>
    <t>D/E/O 为可编辑的首场 HP、攻击和 R5 防御；R5–R20 的属性列按公式计算。技能探针与 10 秒输出为旧次运行样本，2026-10-10 数值变更后未重测。</t>
  </si>
  <si>
    <t>首次出场HP</t>
  </si>
  <si>
    <t>首次出场攻击</t>
  </si>
  <si>
    <t>首次出场防御</t>
  </si>
  <si>
    <t>R5 HP</t>
  </si>
  <si>
    <t>R10 HP</t>
  </si>
  <si>
    <t>R15 HP</t>
  </si>
  <si>
    <t>R20 HP</t>
  </si>
  <si>
    <t>R5 攻</t>
  </si>
  <si>
    <t>R10 攻</t>
  </si>
  <si>
    <t>R15 攻</t>
  </si>
  <si>
    <t>R20 攻</t>
  </si>
  <si>
    <t>R5 防</t>
  </si>
  <si>
    <t>R10 防</t>
  </si>
  <si>
    <t>R15 防</t>
  </si>
  <si>
    <t>R20 防</t>
  </si>
  <si>
    <t>体型格</t>
  </si>
  <si>
    <t>实跑</t>
  </si>
  <si>
    <t>60秒释放</t>
  </si>
  <si>
    <t>技能数值(实测)</t>
  </si>
  <si>
    <t>boss_meteor_caster</t>
  </si>
  <si>
    <t>天罚投星者</t>
  </si>
  <si>
    <t>陨星轰击</t>
  </si>
  <si>
    <t>element_meteor</t>
  </si>
  <si>
    <t>✔</t>
  </si>
  <si>
    <t>footprint_cells = 2
skill_cd = 6
skill_damage = 240</t>
  </si>
  <si>
    <t>陨星轰击（冷却6.0秒）：召唤陨星砸向最近的敌人，对其与周围敌人造成 360 点真实伤害，并附加自身属性效果。</t>
  </si>
  <si>
    <t>boss_thunder_core</t>
  </si>
  <si>
    <t>雷怒核心</t>
  </si>
  <si>
    <t>过载反击</t>
  </si>
  <si>
    <t>overload_counter</t>
  </si>
  <si>
    <t>被命中N次时</t>
  </si>
  <si>
    <t>footprint_cells = 2
hit_threshold = 8
interrupt_chance = 0.25
skill_damage = 300</t>
  </si>
  <si>
    <t>过载反击：每承受 8 次攻击后释放一次过载，对攻击者造成 450 点真实伤害，并有 25% 概率打断其攻击。</t>
  </si>
  <si>
    <t>boss_mirror_lord</t>
  </si>
  <si>
    <t>镜像魔君</t>
  </si>
  <si>
    <t>镜像分裂</t>
  </si>
  <si>
    <t>mirror_clone</t>
  </si>
  <si>
    <t>主动·每1秒判定</t>
  </si>
  <si>
    <t>clone_atk_pct = 0.4
clone_def = 0
clone_hp_pct = 0.3
clone_per_missing_hp_pct = 0.25
footprint_cells = 2</t>
  </si>
  <si>
    <t>镜像分裂：自身每损失 25% 最大生命就分裂出一个镜像；镜像生命为本体最大生命 30%、攻击为本体 40%，且不会释放技能。</t>
  </si>
  <si>
    <t>boss_holy_priest</t>
  </si>
  <si>
    <t>圣愈祭司</t>
  </si>
  <si>
    <t>圣愈净化</t>
  </si>
  <si>
    <t>holy_purify</t>
  </si>
  <si>
    <t>footprint_cells = 2
heal_pct = 0.12
shield_pct = 0.1
skill_cd = 8</t>
  </si>
  <si>
    <t>圣愈净化（冷却8.0秒）：清除全体友军身上的所有状态，治疗其最大生命 12%，并给予最大生命 10% 的护盾。</t>
  </si>
  <si>
    <t>boss_rage_beast</t>
  </si>
  <si>
    <t>狂战灾兽</t>
  </si>
  <si>
    <t>狂怒叠加</t>
  </si>
  <si>
    <t>rage_stack</t>
  </si>
  <si>
    <t>每次普攻命中后（被动）</t>
  </si>
  <si>
    <t>aspd_per_hit = 0.03
atk_per_hit = 0.03
footprint_cells = 2
max_stacks = 20</t>
  </si>
  <si>
    <t>狂怒叠加：每次普通攻击命中后攻击 +3%、攻速 +0.03，最多叠加 20 层。</t>
  </si>
  <si>
    <t>boss_blood_demon</t>
  </si>
  <si>
    <t>血怒魔王</t>
  </si>
  <si>
    <t>血怒暴走</t>
  </si>
  <si>
    <t>blood_rage</t>
  </si>
  <si>
    <t>生命低于阈值时一次性</t>
  </si>
  <si>
    <t>aspd_bonus = 0.3
atk_bonus = 0.4
footprint_cells = 2
lifesteal = 0.1
trigger_hp_pct = 0.35</t>
  </si>
  <si>
    <t>血怒暴走：生命降至 35% 以下时永久进入暴走，攻击 +40%、攻速 +0.30，并获得 10% 吸血。</t>
  </si>
  <si>
    <t>boss_soul_devourer</t>
  </si>
  <si>
    <t>噬魂领主</t>
  </si>
  <si>
    <t>噬魂</t>
  </si>
  <si>
    <t>soul_devour</t>
  </si>
  <si>
    <t>击杀时（被动）</t>
  </si>
  <si>
    <t>atk_stack = 0.1
footprint_cells = 2
kill_heal_pct = 0.15</t>
  </si>
  <si>
    <t>噬魂：每击杀一个目标，回复自身最大生命 15%，并永久提升攻击 10%。</t>
  </si>
  <si>
    <t>boss_twin_gate</t>
  </si>
  <si>
    <t>双生守门人</t>
  </si>
  <si>
    <t>双生复活</t>
  </si>
  <si>
    <t>twin_revive</t>
  </si>
  <si>
    <t>死亡时（被动）</t>
  </si>
  <si>
    <t>footprint_cells = 2
is_twin = true
revive_delay = 5
revive_hp_pct = 0.3
revives_per_twin = 1
twin_second_element = sky</t>
  </si>
  <si>
    <t>双生复活：双子同时登场。任一方死亡后 5.0 秒以 30% 生命复活，每只最多复活 1 次；若同伴已全部阵亡则不再复活。</t>
  </si>
  <si>
    <t>boss_apocalypse</t>
  </si>
  <si>
    <t>灭世裁决者</t>
  </si>
  <si>
    <t>灭世蓄力</t>
  </si>
  <si>
    <t>apocalypse_charge</t>
  </si>
  <si>
    <t>charge_sec = 2
charge_shield_pct = 0.1
damage_atk_pct = 2.5
footprint_cells = 2
ignore_def = true
skill_cd = 10</t>
  </si>
  <si>
    <t>灭世蓄力（冷却10.0秒）：先获得最大生命 10% 的护盾并蓄力 2.0 秒，随后对全场敌人造成自身攻击 250% 的伤害（无视防御）；蓄力期间护盾被打破则中断。</t>
  </si>
  <si>
    <t>07_佣兵</t>
  </si>
  <si>
    <t>佣兵基础属性与技能文案已对齐 2026-10-10 的运行 JSON；理论 DPS、有效血量为公式。10 秒输出和实跑探针仍是旧次战斗样本，未重新实测。</t>
  </si>
  <si>
    <t>萝卜价</t>
  </si>
  <si>
    <t>cost字段</t>
  </si>
  <si>
    <t>被杀赏金</t>
  </si>
  <si>
    <t>实跑到的效果</t>
  </si>
  <si>
    <t>merc_pisces_bubble</t>
  </si>
  <si>
    <t>泡沫术士</t>
  </si>
  <si>
    <t>泡沫梦境</t>
  </si>
  <si>
    <t>bubble_dream</t>
  </si>
  <si>
    <t>hp: 50000000 -&gt; 49998404；statuses_added: slow</t>
  </si>
  <si>
    <t>burst_damage = 140
carrot_cost = 3
heal = 150
skill_cd = 7
slow_pct = 0.3</t>
  </si>
  <si>
    <t>泡沫梦境（冷却7.0秒）：治疗最低血友军150点，并使最近敌人减速30%、受到140点真实伤害。</t>
  </si>
  <si>
    <t>merc_cancer_shell</t>
  </si>
  <si>
    <t>甲壳守卫</t>
  </si>
  <si>
    <t>甲壳守护</t>
  </si>
  <si>
    <t>shell_guard</t>
  </si>
  <si>
    <t>主动·固定冷却6秒</t>
  </si>
  <si>
    <t>carrot_cost = 6
duration = 5
reduction = 0.5</t>
  </si>
  <si>
    <t>甲壳守护（冷却6.0秒）：获得50%减伤，持续5.0秒。</t>
  </si>
  <si>
    <t>merc_libra_judge</t>
  </si>
  <si>
    <t>审判剑士</t>
  </si>
  <si>
    <t>均衡裁决</t>
  </si>
  <si>
    <t>balance_judge</t>
  </si>
  <si>
    <t>bonus_vs_higher_hp = 1
carrot_cost = 9</t>
  </si>
  <si>
    <t>均衡裁决：攻击当前生命高于自己的目标时，伤害+100%。</t>
  </si>
  <si>
    <t>merc_taurus_charge</t>
  </si>
  <si>
    <t>黄金重骑</t>
  </si>
  <si>
    <t>黄金冲锋</t>
  </si>
  <si>
    <t>gold_charge</t>
  </si>
  <si>
    <t>主动·固定冷却7秒</t>
  </si>
  <si>
    <t>hp: 50000000 -&gt; 49997384；statuses_added: stun</t>
  </si>
  <si>
    <t>bonus_vs_higher_hp = 0.4
carrot_cost = 12
skill_damage = 240
stun_sec = 1.6</t>
  </si>
  <si>
    <t>黄金冲锋（冷却7.0秒）：冲向最近敌人，造成240点真实伤害并眩晕1.6秒。</t>
  </si>
  <si>
    <t>merc_virgo_heal</t>
  </si>
  <si>
    <t>圣愈修女</t>
  </si>
  <si>
    <t>圣歌</t>
  </si>
  <si>
    <t>holy_song</t>
  </si>
  <si>
    <t>carrot_cost = 15
cleanse_control = true
heal_pct = 0.15
skill_cd = 10</t>
  </si>
  <si>
    <t>圣歌（冷却10.0秒）：治疗全体友军最大生命15%，并清除控制类负面状态。</t>
  </si>
  <si>
    <t>merc_gemini_assassin</t>
  </si>
  <si>
    <t>镜像刺客</t>
  </si>
  <si>
    <t>镜像突袭</t>
  </si>
  <si>
    <t>twin_strike</t>
  </si>
  <si>
    <t>carrot_cost = 18
clone_atk_pct = 0.4
clone_hp_pct = 0.3
skill_cd = 10</t>
  </si>
  <si>
    <t>镜像突袭（冷却10.0秒）：召唤自身镜像，镜像生命30%、攻击40%。</t>
  </si>
  <si>
    <t>merc_leo_sun</t>
  </si>
  <si>
    <t>炎阳王者</t>
  </si>
  <si>
    <t>王者光环</t>
  </si>
  <si>
    <t>king_aura</t>
  </si>
  <si>
    <t>主动·固定冷却2秒</t>
  </si>
  <si>
    <t>ally_aspd_bonus = 0.25
ally_crit_bonus = 0.25
aura_radius = 2
carrot_cost = 21</t>
  </si>
  <si>
    <t>王者光环：每2秒强化周围友军，攻速+25%、暴击+25%。</t>
  </si>
  <si>
    <t>merc_sagittarius_rain</t>
  </si>
  <si>
    <t>星轨猎人</t>
  </si>
  <si>
    <t>箭雨</t>
  </si>
  <si>
    <t>arrow_rain</t>
  </si>
  <si>
    <t>hp: 50000000 -&gt; 49999144</t>
  </si>
  <si>
    <t>carrot_cost = 24
skill_cd = 3
targets = 5</t>
  </si>
  <si>
    <t>箭雨（冷却3.0秒）：攻击最近5名敌人，每个目标受到自身攻击85%伤害。</t>
  </si>
  <si>
    <t>merc_aries_blood</t>
  </si>
  <si>
    <t>狂战先锋</t>
  </si>
  <si>
    <t>血怒</t>
  </si>
  <si>
    <t>blood_rampage</t>
  </si>
  <si>
    <t>持续被动</t>
  </si>
  <si>
    <t>aspd_per_step = 0.1
carrot_cost = 27
hp_step = 0.1
lifesteal_per_step = 0.05</t>
  </si>
  <si>
    <t>血怒：每损失10%最大生命，攻速+10%、吸血+5%，并获得少量伤害提升。</t>
  </si>
  <si>
    <t>merc_capricorn_steel</t>
  </si>
  <si>
    <t>黑钢统帅</t>
  </si>
  <si>
    <t>钢铁号令</t>
  </si>
  <si>
    <t>steel_order</t>
  </si>
  <si>
    <t>aspd_bonus = 0.3
buff_targets = 3
carrot_cost = 30
control_time_reduction = 0.3
damage_reduction = 0.2
duration = 8
skill_cd = 8</t>
  </si>
  <si>
    <t>钢铁号令（冷却8.0秒）：强化最近3名友军，减伤20%、攻速+30%、控制时间降低30%，持续8.0秒。</t>
  </si>
  <si>
    <t>merc_aquarius_time</t>
  </si>
  <si>
    <t>时空观测者</t>
  </si>
  <si>
    <t>时空迟缓</t>
  </si>
  <si>
    <t>time_slow</t>
  </si>
  <si>
    <t>statuses_added: slow</t>
  </si>
  <si>
    <t>carrot_cost = 33
duration = 5
skill_cd = 8
skill_dodge_interval = 8
slow_pct = 0.6</t>
  </si>
  <si>
    <t>时空迟缓（冷却8.0秒）：自身短暂闪避提高，并使全体敌人减速60%，持续5.0秒。</t>
  </si>
  <si>
    <t>merc_scorpio_death</t>
  </si>
  <si>
    <t>冥界执行者</t>
  </si>
  <si>
    <t>冥界处决</t>
  </si>
  <si>
    <t>death_hunt</t>
  </si>
  <si>
    <t>目标选择+普攻附带+击杀时</t>
  </si>
  <si>
    <t>armor_break = 12
carrot_cost = 36
duration = 4
heal_reduction = 0.7
kill_heal_pct = 0.15
prefer_low_hp = true</t>
  </si>
  <si>
    <t>冥界处决：优先攻击低血目标；击杀回复最大生命15%。普攻破甲12并降低治疗70%，持续4.0秒。</t>
  </si>
  <si>
    <t>08_法阵友军</t>
  </si>
  <si>
    <t>编辑 E–G 列 HP / 攻击 / 防御；技能和召唤规则由 JSON / GDScript 管理。运行前执行同步工具。</t>
  </si>
  <si>
    <t>触发法阵HP</t>
  </si>
  <si>
    <t>服务实测归属</t>
  </si>
  <si>
    <t>运行时tier</t>
  </si>
  <si>
    <t>运行时cost</t>
  </si>
  <si>
    <t>免疫宝藏加成</t>
  </si>
  <si>
    <t>全场技</t>
  </si>
  <si>
    <t>开场冷却</t>
  </si>
  <si>
    <t>冷却</t>
  </si>
  <si>
    <t>首次释放(秒)</t>
  </si>
  <si>
    <t>ally_flame_claw</t>
  </si>
  <si>
    <t>焰爪魔灵</t>
  </si>
  <si>
    <t>1 ~ 10</t>
  </si>
  <si>
    <t>ally_flame_claw ✔一致</t>
  </si>
  <si>
    <t>焰爪</t>
  </si>
  <si>
    <t>burn_claw</t>
  </si>
  <si>
    <t>否（要进射程）</t>
  </si>
  <si>
    <t>0.1</t>
  </si>
  <si>
    <t>poison、burn</t>
  </si>
  <si>
    <t>burn_dps = 36
burn_duration = 3
footprint_cells = 3
self_heal = 200
self_shield = 100
shield_cap = 300
skill_cd = 5</t>
  </si>
  <si>
    <t>焰爪（冷却5.0秒）：回复自身 200 点生命并叠加 100 点护盾（上限 300）；普通攻击附带中毒与灼烧，每秒 36 点伤害，持续 3.0 秒。</t>
  </si>
  <si>
    <t>ally_soul_chain</t>
  </si>
  <si>
    <t>暗狱锁魂者</t>
  </si>
  <si>
    <t>11 ~ 20</t>
  </si>
  <si>
    <t>ally_soul_chain ✔一致</t>
  </si>
  <si>
    <t>锁魂</t>
  </si>
  <si>
    <t>soul_chain</t>
  </si>
  <si>
    <t>是（不吃射程）</t>
  </si>
  <si>
    <t>2.5</t>
  </si>
  <si>
    <t>9</t>
  </si>
  <si>
    <t>2.6</t>
  </si>
  <si>
    <t>stun、slow</t>
  </si>
  <si>
    <t>aspd_down_duration = 3
aspd_down_pct = 0.5
footprint_cells = 3
opening_cd = 2.5
skill_cd = 9
skill_global = true
stun_sec = 1.5</t>
  </si>
  <si>
    <t>锁魂（冷却9.0秒）：眩晕全场敌人 1.5 秒，并使其攻速降低 50%，持续 3.0 秒。</t>
  </si>
  <si>
    <t>ally_abyss_beast</t>
  </si>
  <si>
    <t>深渊噬兽</t>
  </si>
  <si>
    <t>21 ~ 30</t>
  </si>
  <si>
    <t>ally_abyss_beast ✔一致</t>
  </si>
  <si>
    <t>噬咬</t>
  </si>
  <si>
    <t>devour_bite</t>
  </si>
  <si>
    <t>3</t>
  </si>
  <si>
    <t>12</t>
  </si>
  <si>
    <t>3.1</t>
  </si>
  <si>
    <t>silence</t>
  </si>
  <si>
    <t>footprint_cells = 3
lifesteal = 0.18
opening_cd = 3
silence_sec = 3.5
skill_cd = 12
skill_global = true</t>
  </si>
  <si>
    <t>噬咬（冷却12.0秒）：沉默全场敌人 3.5 秒，期间无法释放技能；普通攻击回复自身攻击 18% 的生命。</t>
  </si>
  <si>
    <t>ally_hell_inferno</t>
  </si>
  <si>
    <t>炼狱焚界者</t>
  </si>
  <si>
    <t>31 ~ 40</t>
  </si>
  <si>
    <t>ally_hell_inferno ✔一致</t>
  </si>
  <si>
    <t>炼狱焚界</t>
  </si>
  <si>
    <t>hell_burst</t>
  </si>
  <si>
    <t>burn、attack_down</t>
  </si>
  <si>
    <t>attack_down_duration = 5
attack_down_pct = 0.25
burn_dps = 100
burn_duration = 5
footprint_cells = 4
opening_cd = 3
skill_cd = 9
skill_global = true</t>
  </si>
  <si>
    <t>炼狱焚界（冷却9.0秒）：使全场敌人灼烧，每秒 100 点伤害持续 5.0 秒，并降低攻击 25%，持续 5.0 秒。</t>
  </si>
  <si>
    <t>ally_eternal_night</t>
  </si>
  <si>
    <t>深渊魔君·厄夜</t>
  </si>
  <si>
    <t>41 ~ 50</t>
  </si>
  <si>
    <t>ally_eternal_night ✔一致</t>
  </si>
  <si>
    <t>厄夜流星</t>
  </si>
  <si>
    <t>eternal_night</t>
  </si>
  <si>
    <t>3.5</t>
  </si>
  <si>
    <t>3.6</t>
  </si>
  <si>
    <t>hp: 50000000 -&gt; 49995440</t>
  </si>
  <si>
    <t>footprint_cells = 3
meteor_damage = 800
opening_cd = 3.5
skill_cd = 12
skill_global = true</t>
  </si>
  <si>
    <t>厄夜流星（冷却12.0秒）：召唤流星雨覆盖全场，对每个敌人造成 800 点真实伤害（无视防御）。</t>
  </si>
  <si>
    <t>09_宝藏与套装</t>
  </si>
  <si>
    <t>25 件宝藏及原表套装段。赌博胜利倍率已按实际结算订正为 2.5 倍。</t>
  </si>
  <si>
    <t>类别</t>
  </si>
  <si>
    <t>生效时机</t>
  </si>
  <si>
    <t>中文效果与数值</t>
  </si>
  <si>
    <t>胡牌手联动后</t>
  </si>
  <si>
    <t>固定探针</t>
  </si>
  <si>
    <t>def_iron_wall</t>
  </si>
  <si>
    <t>铁壁之护</t>
  </si>
  <si>
    <t>开场一次</t>
  </si>
  <si>
    <t>开战时防御 +10（绝对值，不随星级缩放 → 对本来就高防的棋子收益递减）</t>
  </si>
  <si>
    <t>—（不在胡牌手 5 件内）</t>
  </si>
  <si>
    <t>defense: 12 -&gt; 22</t>
  </si>
  <si>
    <t>def_life_monument</t>
  </si>
  <si>
    <t>生命丰碑</t>
  </si>
  <si>
    <t>最大生命 ×1.20 并回满</t>
  </si>
  <si>
    <t>×1.40</t>
  </si>
  <si>
    <t>hp: 1920 -&gt; 2304；max_hp: 1920 -&gt; 2304</t>
  </si>
  <si>
    <t>def_formation_heal</t>
  </si>
  <si>
    <t>法阵回春</t>
  </si>
  <si>
    <t>胜利或平局：法阵 HP +1；失败：法阵 HP +2；不超过初始上限 50</t>
  </si>
  <si>
    <t>—（胡牌手现需黄金祭坛）</t>
  </si>
  <si>
    <t>（非开场类，见生效时机列）</t>
  </si>
  <si>
    <t>def_soul_counter</t>
  </si>
  <si>
    <t>亡魂反击</t>
  </si>
  <si>
    <t>自身被击杀时</t>
  </si>
  <si>
    <t>击杀你这枚棋子的单位立刻受到 其自身最大生命×35% 真实伤害</t>
  </si>
  <si>
    <t>def_lifesteal_emblem</t>
  </si>
  <si>
    <t>吸血纹章</t>
  </si>
  <si>
    <t>每次造成伤害后</t>
  </si>
  <si>
    <t>回复 本次实际伤害×20% 生命</t>
  </si>
  <si>
    <t>def_phantom_step</t>
  </si>
  <si>
    <t>幻影步伐</t>
  </si>
  <si>
    <t>闪避 +20%（闪避是完全免伤，不是减伤）</t>
  </si>
  <si>
    <t>dodge: 0.0 -&gt; 0.2</t>
  </si>
  <si>
    <t>ctrl_shockwave</t>
  </si>
  <si>
    <t>震荡余波</t>
  </si>
  <si>
    <t>控制</t>
  </si>
  <si>
    <t>普攻附带·冷却5秒</t>
  </si>
  <si>
    <t>眩晕目标 1.0 秒</t>
  </si>
  <si>
    <t>眩晕 2.0 秒</t>
  </si>
  <si>
    <t>ctrl_corrosive_needle</t>
  </si>
  <si>
    <t>腐蚀毒针</t>
  </si>
  <si>
    <t>每第4次普攻·冷却5秒</t>
  </si>
  <si>
    <t>目标流血：每秒 当前生命×6%，持续 3 秒</t>
  </si>
  <si>
    <t>ctrl_interrupt_chain</t>
  </si>
  <si>
    <t>打断锁链</t>
  </si>
  <si>
    <t>普攻附带·冷却3秒</t>
  </si>
  <si>
    <t>25% 概率缴械目标 1.5 秒</t>
  </si>
  <si>
    <t>ctrl_time_compress</t>
  </si>
  <si>
    <t>时空压缩</t>
  </si>
  <si>
    <t>开场一次（持续生效）</t>
  </si>
  <si>
    <t>本方棋子全部技能冷却 ×0.75，开场冷却也 ×0.75</t>
  </si>
  <si>
    <t>skill_cd_multiplier = 0.75（单件开场实测）</t>
  </si>
  <si>
    <t>ctrl_binding_weight</t>
  </si>
  <si>
    <t>束缚重压</t>
  </si>
  <si>
    <t>目标移速 -25% / 攻速 -20% / 造成伤害 -20%，持续 2 秒</t>
  </si>
  <si>
    <t>atk_blood_pact</t>
  </si>
  <si>
    <t>血契之刃</t>
  </si>
  <si>
    <t>攻击 ×1.25；代价：自身永久流血（每秒 当前生命×6%，999 秒）</t>
  </si>
  <si>
    <t>攻击 ×1.50（流血代价不变）</t>
  </si>
  <si>
    <t>atk: 93 -&gt; 116；statuses_added: bleed</t>
  </si>
  <si>
    <t>atk_fury_roster</t>
  </si>
  <si>
    <t>狂怒阵容</t>
  </si>
  <si>
    <t>备战期（持续）</t>
  </si>
  <si>
    <t>上场棋子上限 7 → 8</t>
  </si>
  <si>
    <t>7 → 9</t>
  </si>
  <si>
    <t>atk_burst_core</t>
  </si>
  <si>
    <t>爆裂核心</t>
  </si>
  <si>
    <t>暴击率 +25%</t>
  </si>
  <si>
    <t>crit_bonus: 0.0 -&gt; 0.25</t>
  </si>
  <si>
    <t>atk_wail_resonance</t>
  </si>
  <si>
    <t>哀鸣共鸣</t>
  </si>
  <si>
    <t>击杀时</t>
  </si>
  <si>
    <t>死者周围 180 像素内敌人各受 自身最大生命×15% 真实伤害</t>
  </si>
  <si>
    <t>atk_frenzy_assault</t>
  </si>
  <si>
    <t>狂暴进攻</t>
  </si>
  <si>
    <t>普攻附带（无冷却）</t>
  </si>
  <si>
    <t>每次普攻自身攻速 ×1.15（封顶 2.5）；换目标层数清零但攻速不回退</t>
  </si>
  <si>
    <t>money_compound</t>
  </si>
  <si>
    <t>复利之道</t>
  </si>
  <si>
    <t>金钱</t>
  </si>
  <si>
    <t>战后利息</t>
  </si>
  <si>
    <t>基础利息 5% 之外再加 5%；本回合未花金币再加 3%（实际结算与利息预览一致；免费刷新不算消费）</t>
  </si>
  <si>
    <t>money_generous_fate</t>
  </si>
  <si>
    <t>慷慨命运</t>
  </si>
  <si>
    <t>备战期每回合1次手动</t>
  </si>
  <si>
    <t>赌博：50% 金币变为 2.5 倍 / 50% 只剩 20%</t>
  </si>
  <si>
    <t>money_discount</t>
  </si>
  <si>
    <t>折扣令牌</t>
  </si>
  <si>
    <t>商店（持续）</t>
  </si>
  <si>
    <t>棋子价格 ×0.7（向上取整，最低 1 金）；与清仓特卖互斥，最多降价 60%</t>
  </si>
  <si>
    <t>money_golden_altar</t>
  </si>
  <si>
    <t>黄金祭坛</t>
  </si>
  <si>
    <t>备战期每回合最多3次；战后未使用回复</t>
  </si>
  <si>
    <t>每次 -1 法阵 HP → +100 金；法阵 HP ≤10 时不可用。持有人本回合未使用：法阵 HP +1；3v3 每位持有人独立判断，最多 +3</t>
  </si>
  <si>
    <t>胡牌手激活：使用不扣法阵 HP；选到胡牌手立即 +2 法阵 HP（选到当回合也生效）</t>
  </si>
  <si>
    <t>money_lucky_envelope</t>
  </si>
  <si>
    <t>幸运信封</t>
  </si>
  <si>
    <t>战后随机 +30 / +40 / +50 金</t>
  </si>
  <si>
    <t>elem_flame_shatter</t>
  </si>
  <si>
    <t>炎焰碎裂</t>
  </si>
  <si>
    <t>普攻附带·25%概率</t>
  </si>
  <si>
    <t>触发火属性：额外 自身攻击×40% 真实伤害</t>
  </si>
  <si>
    <t>elem_frost_blade</t>
  </si>
  <si>
    <t>冰封霜刃</t>
  </si>
  <si>
    <t>25% 概率：目标移速 -35% / 攻速 -50%，持续 2 秒</t>
  </si>
  <si>
    <t>elem_thunder_haste</t>
  </si>
  <si>
    <t>雷霆加速</t>
  </si>
  <si>
    <t>自身攻速 +60%，持续 3 秒</t>
  </si>
  <si>
    <t>elem_toxic_spread</t>
  </si>
  <si>
    <t>剧毒蔓延</t>
  </si>
  <si>
    <t>触发毒属性：中毒（每秒 目标最大生命×3%，4 秒）</t>
  </si>
  <si>
    <t>套装/标题</t>
  </si>
  <si>
    <t>── 套装（引擎逐件累加实测激活门槛）──</t>
  </si>
  <si>
    <t>防御 套装</t>
  </si>
  <si>
    <t>共 6 件</t>
  </si>
  <si>
    <t>defense</t>
  </si>
  <si>
    <t>持有 4 件即激活</t>
  </si>
  <si>
    <t>开战时全部普通棋子：最大生命 ×1.30 并回满、防御 ×1.30、闪避 +15%</t>
  </si>
  <si>
    <t>def_iron_wall、def_life_monument、def_formation_heal、def_soul_counter、def_lifesteal_emblem、def_phantom_step</t>
  </si>
  <si>
    <t>控制 套装</t>
  </si>
  <si>
    <t>共 5 件</t>
  </si>
  <si>
    <t>control</t>
  </si>
  <si>
    <t>每次普攻若成功给目标新增了状态，再随机追加一个负面：减速20%/2s、减攻12%/2s、沉默1s、眩晕0.5s、中毒、缴械、流血6%/3s</t>
  </si>
  <si>
    <t>ctrl_shockwave、ctrl_corrosive_needle、ctrl_interrupt_chain、ctrl_time_compress、ctrl_binding_weight</t>
  </si>
  <si>
    <t>攻击 套装</t>
  </si>
  <si>
    <t>attack</t>
  </si>
  <si>
    <t>持有人普通棋子：优先攻击生命比例最低的敌人；普攻后若非 Boss 目标生命 ≤10%，直接斩杀。实际斩杀的棋子攻速 +25%，持续 5 秒；再触发刷新时间，不叠加数值。3v3 同样生效。</t>
  </si>
  <si>
    <t>atk_blood_pact、atk_fury_roster、atk_burst_core、atk_wail_resonance、atk_frenzy_assault</t>
  </si>
  <si>
    <t>金钱 套装</t>
  </si>
  <si>
    <t>money</t>
  </si>
  <si>
    <t>商店刷新 与 宝藏刷新 全部免费</t>
  </si>
  <si>
    <t>money_compound、money_generous_fate、money_discount、money_golden_altar、money_lucky_envelope</t>
  </si>
  <si>
    <t>属性 套装</t>
  </si>
  <si>
    <t>共 4 件</t>
  </si>
  <si>
    <t>element</t>
  </si>
  <si>
    <t>每枚普通棋子各自计算：普攻 20% 概率触发，目标周围 180 像素内敌人各受自身最大生命×10% 真实伤害；触发后该棋子内置冷却 2 秒。</t>
  </si>
  <si>
    <t>elem_flame_shatter、elem_frost_blade、elem_thunder_haste、elem_toxic_spread</t>
  </si>
  <si>
    <t>10_宝藏联动</t>
  </si>
  <si>
    <t>11 个联动按原表提取；凤凰涅槃按用户确认的 40% 最大生命复活定稿。</t>
  </si>
  <si>
    <t>联动 ID</t>
  </si>
  <si>
    <t>需要宝藏</t>
  </si>
  <si>
    <t>件数</t>
  </si>
  <si>
    <t>全齐实测</t>
  </si>
  <si>
    <t>缺一件实测</t>
  </si>
  <si>
    <t>代码位置</t>
  </si>
  <si>
    <t>link_phoenix</t>
  </si>
  <si>
    <t>凤凰涅槃</t>
  </si>
  <si>
    <t>哀鸣共鸣 + 亡魂反击</t>
  </si>
  <si>
    <t>该棋子死亡 0.1 秒后以最大生命的 40% 复活并获得 3 秒无敌，3.1 秒后强制真死；每枚棋子每场 1 次。</t>
  </si>
  <si>
    <t>✔ 激活</t>
  </si>
  <si>
    <t>❌ 不激活（正确）</t>
  </si>
  <si>
    <t>_queue_phoenix_revive</t>
  </si>
  <si>
    <t>link_money_magic</t>
  </si>
  <si>
    <t>金钱魔法</t>
  </si>
  <si>
    <t>幸运信封 + 时空压缩</t>
  </si>
  <si>
    <t>战后额外随机 +60/70/80 金，另有 10% 概率再 +200 金。</t>
  </si>
  <si>
    <t>EconomyService.settle_post_battle_gold</t>
  </si>
  <si>
    <t>link_blood_covenant</t>
  </si>
  <si>
    <t>血之契约</t>
  </si>
  <si>
    <t>炎焰碎裂 + 吸血纹章</t>
  </si>
  <si>
    <t>火属性伤害从 攻击×40% 提升到 攻击×100%。
表内字段：true_damage_atk_pct = 1</t>
  </si>
  <si>
    <t>BattleSimShared._fire_bonus_multiplier</t>
  </si>
  <si>
    <t>link_paralysis_shackles</t>
  </si>
  <si>
    <t>麻痹枷锁</t>
  </si>
  <si>
    <t>打断锁链 + 冰封霜刃</t>
  </si>
  <si>
    <t>缴械触发时再附加冰效果、冰易伤 +25% 与治疗降低 75%，持续 4 秒。
表内字段：ice_damage_taken_bonus = 0.25；heal_reduction = 0.75</t>
  </si>
  <si>
    <t>_apply_attack_treasure_effects</t>
  </si>
  <si>
    <t>link_oppression_counter</t>
  </si>
  <si>
    <t>压迫反击</t>
  </si>
  <si>
    <t>束缚重压 + 狂暴进攻</t>
  </si>
  <si>
    <t>被攻击时使攻击者获得狂暴进攻的一层攻速，并使攻击者攻击 -25%，持续 2 秒。</t>
  </si>
  <si>
    <t>_apply_defender_treasure_reaction</t>
  </si>
  <si>
    <t>link_fraud_fate</t>
  </si>
  <si>
    <t>诡诈命运</t>
  </si>
  <si>
    <t>幻影步伐 + 慷慨命运</t>
  </si>
  <si>
    <t>赌博改为 60% 变为 2.5 倍 / 40% 只剩 50%。</t>
  </si>
  <si>
    <t>PrepFlowController._on_generous_fate_gamble</t>
  </si>
  <si>
    <t>link_iron_maiden</t>
  </si>
  <si>
    <t>铁处女</t>
  </si>
  <si>
    <t>铁壁之护 + 腐蚀毒针</t>
  </si>
  <si>
    <t>被攻击时（冷却 8 秒）给攻击者流血 6%/秒持续 5 秒、防御 -50% 持续 5 秒。</t>
  </si>
  <si>
    <t>link_toxic_burst</t>
  </si>
  <si>
    <t>剧毒爆发</t>
  </si>
  <si>
    <t>爆裂核心 + 剧毒蔓延</t>
  </si>
  <si>
    <t>造成伤害后，若目标中毒则 50% 概率立刻引爆剩余全部毒伤（按剩余跳数一次性结算）并移除中毒。
表内字段：proc_chance = 0.5</t>
  </si>
  <si>
    <t>BattleSimTreasures._try_toxic_burst</t>
  </si>
  <si>
    <t>link_rich_path</t>
  </si>
  <si>
    <t>富裕之路</t>
  </si>
  <si>
    <t>复利之道 + 雷霆加速</t>
  </si>
  <si>
    <t>每次造成正伤害 25% 概率 +10 金（计入 bonus_gold）。
表内字段：attack_gold_chance = 0.25</t>
  </si>
  <si>
    <t>_apply_post_damage_treasures</t>
  </si>
  <si>
    <t>link_clearance_sale</t>
  </si>
  <si>
    <t>清仓特卖</t>
  </si>
  <si>
    <t>狂怒阵容 + 折扣令牌</t>
  </si>
  <si>
    <t>同队只要有一人激活，队友买棋子均享受原价 ×0.4（向上取整，最低 1 金）；与折扣令牌互斥，最多降价 60%。
表内字段：shop_price_multiplier = 0.4</t>
  </si>
  <si>
    <t>EconomyLedger.unit_cost</t>
  </si>
  <si>
    <t>link_hu_pai_master</t>
  </si>
  <si>
    <t>胡牌手</t>
  </si>
  <si>
    <t>生命丰碑 + 黄金祭坛 + 震荡余波 + 血契之刃 + 狂怒阵容</t>
  </si>
  <si>
    <t>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t>
  </si>
  <si>
    <t>各挂钩点的 _f_has_linkage 判定</t>
  </si>
  <si>
    <t>11_金币规则</t>
  </si>
  <si>
    <t>金币、利息、击杀赏金、刷新价和结算顺序；含宠物猫 +5% 的已更新数据。</t>
  </si>
  <si>
    <t>类目</t>
  </si>
  <si>
    <t>规则 / 数值（引擎实测）</t>
  </si>
  <si>
    <t>初始金币</t>
  </si>
  <si>
    <t>100</t>
  </si>
  <si>
    <t>GameState.START_GOLD</t>
  </si>
  <si>
    <t>★ 基础利息率</t>
  </si>
  <si>
    <t>5%：利息 = floor(结算后金币 × 0.05)。无上限、无分段。</t>
  </si>
  <si>
    <t>EconomyService.BASE_INTEREST_RATE</t>
  </si>
  <si>
    <t>── 利息实测表 ──</t>
  </si>
  <si>
    <t>当前金币</t>
  </si>
  <si>
    <t>基础 5% / +复利之道 5% / +宠物猫 5% / 三者合计（本回合已花金币；未花再 +3%）</t>
  </si>
  <si>
    <t>合计后实际到手</t>
  </si>
  <si>
    <t>0 金</t>
  </si>
  <si>
    <t>0 / 0 / 0 / 0</t>
  </si>
  <si>
    <t>+0 金（实际 0%）</t>
  </si>
  <si>
    <t>50 金</t>
  </si>
  <si>
    <t>2 / 4 / 3 / 7</t>
  </si>
  <si>
    <t>+7 金（实际 14%）</t>
  </si>
  <si>
    <t>100 金</t>
  </si>
  <si>
    <t>5 / 10 / 5 / 15</t>
  </si>
  <si>
    <t>+15 金（实际 15%）</t>
  </si>
  <si>
    <t>200 金</t>
  </si>
  <si>
    <t>10 / 20 / 10 / 30</t>
  </si>
  <si>
    <t>+30 金（实际 15%）</t>
  </si>
  <si>
    <t>300 金</t>
  </si>
  <si>
    <t>15 / 30 / 15 / 45</t>
  </si>
  <si>
    <t>+45 金（实际 15%）</t>
  </si>
  <si>
    <t>500 金</t>
  </si>
  <si>
    <t>25 / 50 / 25 / 75</t>
  </si>
  <si>
    <t>+75 金（实际 15%）</t>
  </si>
  <si>
    <t>800 金</t>
  </si>
  <si>
    <t>40 / 80 / 40 / 120</t>
  </si>
  <si>
    <t>+120 金（实际 15%）</t>
  </si>
  <si>
    <t>1000 金</t>
  </si>
  <si>
    <t>50 / 100 / 50 / 150</t>
  </si>
  <si>
    <t>+150 金（实际 15%）</t>
  </si>
  <si>
    <t>1500 金</t>
  </si>
  <si>
    <t>75 / 150 / 75 / 225</t>
  </si>
  <si>
    <t>+225 金（实际 15%）</t>
  </si>
  <si>
    <t>2000 金</t>
  </si>
  <si>
    <t>100 / 200 / 100 / 300</t>
  </si>
  <si>
    <t>+300 金（实际 15%）</t>
  </si>
  <si>
    <t>── 战后结算顺序（代码里的累加次序）──</t>
  </si>
  <si>
    <t>(1) 局型基础奖励</t>
  </si>
  <si>
    <t>PVE：击杀金（输赢都给）+ 胜利才给的「回合号 × 10」　｜　Boss：胜利给固定奖励，失败给「固定奖励 ×(1-Boss剩余血量比)」，且不结算击杀金　｜　PVP/final：击杀金 + 胜 100 / 负 50</t>
  </si>
  <si>
    <t>settle_post_battle_gold</t>
  </si>
  <si>
    <t>(2) 击杀金｜PVE 野怪</t>
  </si>
  <si>
    <t>每只固定 15 金（不随场次成长；PVE 收入的成长靠「怪数」与「回合奖励」两处）</t>
  </si>
  <si>
    <t>EconomyService.PVE_MONSTER_KILL_GOLD</t>
  </si>
  <si>
    <t>(2) 击杀金｜PVP 棋子</t>
  </si>
  <si>
    <t>1阶1★=10金　1阶2★=30金　1阶3★=40金　1阶4★=50金　2阶1★=20金　2阶2★=40金　2阶3★=50金　2阶4★=60金　3阶1★=30金　3阶2★=50金　3阶3★=60金　3阶4★=70金</t>
  </si>
  <si>
    <t>pvp_normal_kill_reward 实调</t>
  </si>
  <si>
    <t>(2) 击杀金｜佣兵</t>
  </si>
  <si>
    <t>泡沫术士 50费→10金　甲壳守卫 100费→20金　审判剑士 150费→30金　黄金重骑 200费→40金　圣愈修女 250费→50金　镜像刺客 300费→60金　炎阳王者 350费→70金　星轨猎人 400费→80金　狂战先锋 450费→90金　黑钢统帅 500费→100金　时空观测者 550费→110金　冥界执行者 600费→120金</t>
  </si>
  <si>
    <t>pvp_mercenary_kill_reward 实调</t>
  </si>
  <si>
    <t>(2) 击杀金｜法阵友军</t>
  </si>
  <si>
    <t>_kill_reward_for_victim</t>
  </si>
  <si>
    <t>(2) 跨路击杀分账</t>
  </si>
  <si>
    <t>3v3 打死别路的敌人：赏金对半分，一半给击杀者、一半给被入侵那一路的路线主（奇数余数归击杀者）</t>
  </si>
  <si>
    <t>_add_kill_reward</t>
  </si>
  <si>
    <t>⚠ (2) 击杀金漏洞</t>
  </si>
  <si>
    <t>持续伤害（中毒/流血等）的击杀来源已由伤害上下文追踪；具体赏金按击杀者归属结算。战斗衰减的无来源击杀仍需按对应战斗结算规则处理。</t>
  </si>
  <si>
    <t>_process_pending_kill_rewards</t>
  </si>
  <si>
    <t>(3) 胜负固定奖励</t>
  </si>
  <si>
    <t>PVP/final：胜 100 / 负 50</t>
  </si>
  <si>
    <t>EconomyService</t>
  </si>
  <si>
    <t>(4) 连败安慰金</t>
  </si>
  <si>
    <t>0连败=0金　1连败=20金　2连败=40金　3连败=60金　4连败=80金　5连败=100金　6连败=120金</t>
  </si>
  <si>
    <t>consolation_reward 实调</t>
  </si>
  <si>
    <t>(5) 商人棋子</t>
  </si>
  <si>
    <t>1★=+10金　2★=+20金　3★=+30金　4★=+40金（棋盘上每个商人都算，不需要存活）</t>
  </si>
  <si>
    <t>merchant_gold_from_board 实调</t>
  </si>
  <si>
    <t>(6) 战斗内额外金币</t>
  </si>
  <si>
    <t>富裕之路联动：每次造成正伤害 25% 概率 +10 金</t>
  </si>
  <si>
    <t>bonus_gold</t>
  </si>
  <si>
    <t>(7) 宝藏战后金币</t>
  </si>
  <si>
    <t>幸运信封 +30/40/50　｜　金钱魔法联动 +60/70/80，另 10% 概率再 +200</t>
  </si>
  <si>
    <t>(8) 利息</t>
  </si>
  <si>
    <t>基础 5% + 复利之道 5%；本回合没花金币时复利之道再 +3%；宠物猫额外 +5%。按 EconomyService 分项结算。</t>
  </si>
  <si>
    <t>base_interest + pet_interest_bonus</t>
  </si>
  <si>
    <t>(9) 萝卜营地固定收入</t>
  </si>
  <si>
    <t>按萝卜田等级发放，刻意放在利息之后 → 这笔钱不参与本回合利息</t>
  </si>
  <si>
    <t>CarrotEconomy.income_for_spent</t>
  </si>
  <si>
    <t>── 战后结算实跑场景（直接调 settle_post_battle_gold）──</t>
  </si>
  <si>
    <t>PVE 第1回合 胜 (杀3怪)</t>
  </si>
  <si>
    <t>结算前 100 → 结算后 162（净 +62）</t>
  </si>
  <si>
    <t>settle_post_battle_gold 实调</t>
  </si>
  <si>
    <t>PVE 第13回合 胜 (杀8怪)</t>
  </si>
  <si>
    <t>结算前 300 → 结算后 577（净 +277）</t>
  </si>
  <si>
    <t>PVE 第13回合 败 (杀5怪)</t>
  </si>
  <si>
    <t>结算前 300 → 结算后 435（净 +135）</t>
  </si>
  <si>
    <t>Boss 第10回合 胜</t>
  </si>
  <si>
    <t>结算前 300 → 结算后 472（净 +172）</t>
  </si>
  <si>
    <t>Boss 第10回合 败(Boss剩30%)</t>
  </si>
  <si>
    <t>结算前 300 → 结算后 446（净 +146）</t>
  </si>
  <si>
    <t>PVP 第12回合 胜(击杀120)</t>
  </si>
  <si>
    <t>结算前 400 → 结算后 651（净 +251）</t>
  </si>
  <si>
    <t>PVP 第12回合 败</t>
  </si>
  <si>
    <t>结算前 400 → 结算后 535（净 +135）</t>
  </si>
  <si>
    <t>── 花钱的地方 ──</t>
  </si>
  <si>
    <t>10 金原价棋子</t>
  </si>
  <si>
    <t>原价 10 金　｜　折扣令牌 7 金　｜　清仓特卖 4 金（队友共享）</t>
  </si>
  <si>
    <t>EconomyLedger.unit_cost 实调</t>
  </si>
  <si>
    <t>20 金原价棋子</t>
  </si>
  <si>
    <t>原价 20 金　｜　折扣令牌 14 金　｜　清仓特卖 8 金（队友共享）</t>
  </si>
  <si>
    <t>30 金原价棋子</t>
  </si>
  <si>
    <t>原价 30 金　｜　折扣令牌 21 金　｜　清仓特卖 12 金（队友共享）</t>
  </si>
  <si>
    <t>50 金原价棋子</t>
  </si>
  <si>
    <t>原价 50 金　｜　折扣令牌 35 金　｜　清仓特卖 20 金（队友共享）</t>
  </si>
  <si>
    <t>棋子出售返还</t>
  </si>
  <si>
    <t>实付20→退10　实付30→退15　实付50→退25（按实付价而非定价表；星级倍率 1★×0.5 / 2★×1.0 / 3★×1.5）</t>
  </si>
  <si>
    <t>EconomyLedger.sell_refund 实调</t>
  </si>
  <si>
    <t>商店刷新价</t>
  </si>
  <si>
    <t>第0次=0金　第1次=10金　第2次=20金　第3次=40金　第4次=80金　第5次=160金　第6次=320金　第7次=640金（金钱套装激活则全 0）</t>
  </si>
  <si>
    <t>shop_refresh_cost 实调</t>
  </si>
  <si>
    <t>宝藏刷新价</t>
  </si>
  <si>
    <t>第0次=50金　第1次=100金　第2次=200金　第3次=400金　第4次=800金　第5次=1600金　第6次=3200金　第7次=6400金（金钱套装激活则全 0）</t>
  </si>
  <si>
    <t>TreasureService.refresh_cost 实调</t>
  </si>
  <si>
    <t>★ 4★ 升级金币</t>
  </si>
  <si>
    <t>1阶=500金　2阶=800金　3阶=1100金（另需 1 颗同属性升级石）</t>
  </si>
  <si>
    <t>four_star_gold 实调</t>
  </si>
  <si>
    <t>每次 -2 法阵 HP → +100 金，每回合最多 3 次；HP ≤10 不可用。持有人未使用则回合末 +1 HP（3v3 最多 +3）；胡牌手激活后使用不扣 HP。</t>
  </si>
  <si>
    <t>NetworkService.ALTAR_*</t>
  </si>
  <si>
    <t>── 商店档位曲线（把 0~1 扫 10000 次实测）──</t>
  </si>
  <si>
    <t>第 1 回合起</t>
  </si>
  <si>
    <t>1阶 80%　｜　2阶 20%　｜　3阶 0%</t>
  </si>
  <si>
    <t>ShopRoll.tier_for_roll 实测</t>
  </si>
  <si>
    <t>第 5 回合起</t>
  </si>
  <si>
    <t>1阶 50%　｜　2阶 50%　｜　3阶 0%</t>
  </si>
  <si>
    <t>第 10 回合起</t>
  </si>
  <si>
    <t>1阶 25%　｜　2阶 60%　｜　3阶 15%</t>
  </si>
  <si>
    <t>第 15 回合起</t>
  </si>
  <si>
    <t>1阶 15%　｜　2阶 60%　｜　3阶 25%</t>
  </si>
  <si>
    <t>12_萝卜规则</t>
  </si>
  <si>
    <t>采集科技、萝卜田、升级石、佣兵萝卜价格；宠物松鼠加成另见宠物页。</t>
  </si>
  <si>
    <t>★ 每回合总产量</t>
  </si>
  <si>
    <t>基础 3 + 采集科技加成 + 萝卜田等级加成（所有地方都必须走 total_production()）</t>
  </si>
  <si>
    <t>CarrotEconomy.total_production</t>
  </si>
  <si>
    <t>溢出</t>
  </si>
  <si>
    <t>超过容量的部分直接丢弃，不累积</t>
  </si>
  <si>
    <t>CarrotEconomy.harvest</t>
  </si>
  <si>
    <t>萝卜用途</t>
  </si>
  <si>
    <t>① 召唤佣兵（3~36 萝卜）　② 抽升级石每回合最多 1 次；跨回合累计第 1/2/3 次分别花 50/70/90 萝卜，之后每次再 +20。</t>
  </si>
  <si>
    <t>CarrotCampPanel / EconomyLedger</t>
  </si>
  <si>
    <t>── 采集科技（金币买；下方实测 Lv0~Lv9，后续每级仍可升级）──</t>
  </si>
  <si>
    <t>科技 Lv0</t>
  </si>
  <si>
    <t>从本级升下一级花 100 金　｜　当前只算科技的产量 = 3 /回合</t>
  </si>
  <si>
    <t>production_for_tech 实调</t>
  </si>
  <si>
    <t>科技 Lv1</t>
  </si>
  <si>
    <t>从本级升下一级花 200 金　｜　当前只算科技的产量 = 6 /回合</t>
  </si>
  <si>
    <t>科技 Lv2</t>
  </si>
  <si>
    <t>从本级升下一级花 400 金　｜　当前只算科技的产量 = 9 /回合</t>
  </si>
  <si>
    <t>科技 Lv3</t>
  </si>
  <si>
    <t>从本级升下一级花 800 金　｜　当前只算科技的产量 = 13 /回合</t>
  </si>
  <si>
    <t>科技 Lv4</t>
  </si>
  <si>
    <t>从本级升下一级花 1600 金　｜　当前只算科技的产量 = 25 /回合</t>
  </si>
  <si>
    <t>科技 Lv5</t>
  </si>
  <si>
    <t>从本级升下一级花 1600 金　｜　当前只算科技的产量 = 35 /回合</t>
  </si>
  <si>
    <t>── 萝卜田（按累计花掉的萝卜自动升级）──</t>
  </si>
  <si>
    <t>田 Lv0</t>
  </si>
  <si>
    <t>累计花费 ≥ 0 萝卜　｜　容量 12　｜　营地收入 +0 金/回合　｜　田额外产量 +0　｜　总产量 科技0=3 / 科技Lv5=35　｜　下一档门槛 9</t>
  </si>
  <si>
    <t>farm_* 实调</t>
  </si>
  <si>
    <t>田 Lv1</t>
  </si>
  <si>
    <t>累计花费 ≥ 9 萝卜　｜　容量 24　｜　营地收入 +10 金/回合　｜　田额外产量 +2　｜　总产量 科技0=5 / 科技Lv5=37　｜　下一档门槛 20</t>
  </si>
  <si>
    <t>田 Lv2</t>
  </si>
  <si>
    <t>累计花费 ≥ 20 萝卜　｜　容量 40　｜　营地收入 +25 金/回合　｜　田额外产量 +4　｜　总产量 科技0=7 / 科技Lv5=39　｜　下一档门槛 35</t>
  </si>
  <si>
    <t>田 Lv3</t>
  </si>
  <si>
    <t>累计花费 ≥ 35 萝卜　｜　容量 60　｜　营地收入 +45 金/回合　｜　田额外产量 +6　｜　总产量 科技0=9 / 科技Lv5=41　｜　下一档门槛 55</t>
  </si>
  <si>
    <t>田 Lv4</t>
  </si>
  <si>
    <t>累计花费 ≥ 55 萝卜　｜　容量 90　｜　营地收入 +70 金/回合　｜　田额外产量 +8　｜　总产量 科技0=11 / 科技Lv5=43　｜　下一档门槛 75</t>
  </si>
  <si>
    <t>田 Lv5</t>
  </si>
  <si>
    <t>累计花费 ≥ 75 萝卜　｜　容量 150　｜　营地收入 +100 金/回合　｜　田额外产量 +12　｜　总产量 科技0=15 / 科技Lv5=47　｜　下一档门槛 110</t>
  </si>
  <si>
    <t>── 升级石 / 4★ ──</t>
  </si>
  <si>
    <t>★ 抽石价</t>
  </si>
  <si>
    <t>升级石每回合最多抽 1 次；按整场累计次数，第 1/2/3 次分别花 50/70/90 萝卜，之后每次 +20。田 Lv3 容量 60 可付首抽；第 3 抽需田 Lv4 容量 90。</t>
  </si>
  <si>
    <t>CarrotEconomy.STONE_COST + capacity_for_spent 实调</t>
  </si>
  <si>
    <t>石头种类</t>
  </si>
  <si>
    <t>sky　land　ren（天 / 地 / 人），三者等概率（draw_type_from_roll 三等分）</t>
  </si>
  <si>
    <t>CarrotEconomy.STONE_TYPES</t>
  </si>
  <si>
    <t>★ 4★ 升级条件</t>
  </si>
  <si>
    <t>① 已是 3★　② 持有 1 颗与该棋子 element 相同的升级石　③ 金币够：1阶 500金　2阶 800金　3阶 1100金　④ 不能是佣兵</t>
  </si>
  <si>
    <t>GameState.four_star_check</t>
  </si>
  <si>
    <t>4★ 收益</t>
  </si>
  <si>
    <t>属性只有 ×1.15（3.0 → 3.45），且只有 HP / 攻击 / 防御三项；真正的价值在 star4 的技能数值覆写（见「02」表）。小灵没有技能，所以给纯属性补偿 ×1.5。</t>
  </si>
  <si>
    <t>star_stat_multiplier 实调</t>
  </si>
  <si>
    <t>石头是队伍共享</t>
  </si>
  <si>
    <t>team_upgrade_stones 是队伍共享池，不是个人池</t>
  </si>
  <si>
    <t>GameState.team_upgrade_stones</t>
  </si>
  <si>
    <t>── 各佣兵萝卜价 ──</t>
  </si>
  <si>
    <t>泡沫术士（merc_pisces_bubble）</t>
  </si>
  <si>
    <t>3 萝卜　（cost 字段 50 不是购买价，见「07_佣兵」）</t>
  </si>
  <si>
    <t>mercenaries.json</t>
  </si>
  <si>
    <t>甲壳守卫（merc_cancer_shell）</t>
  </si>
  <si>
    <t>6 萝卜　（cost 字段 100 不是购买价，见「07_佣兵」）</t>
  </si>
  <si>
    <t>审判剑士（merc_libra_judge）</t>
  </si>
  <si>
    <t>9 萝卜　（cost 字段 150 不是购买价，见「07_佣兵」）</t>
  </si>
  <si>
    <t>黄金重骑（merc_taurus_charge）</t>
  </si>
  <si>
    <t>12 萝卜　（cost 字段 200 不是购买价，见「07_佣兵」）</t>
  </si>
  <si>
    <t>圣愈修女（merc_virgo_heal）</t>
  </si>
  <si>
    <t>15 萝卜　（cost 字段 250 不是购买价，见「07_佣兵」）</t>
  </si>
  <si>
    <t>镜像刺客（merc_gemini_assassin）</t>
  </si>
  <si>
    <t>18 萝卜　（cost 字段 300 不是购买价，见「07_佣兵」）</t>
  </si>
  <si>
    <t>炎阳王者（merc_leo_sun）</t>
  </si>
  <si>
    <t>21 萝卜　（cost 字段 350 不是购买价，见「07_佣兵」）</t>
  </si>
  <si>
    <t>星轨猎人（merc_sagittarius_rain）</t>
  </si>
  <si>
    <t>24 萝卜　（cost 字段 400 不是购买价，见「07_佣兵」）</t>
  </si>
  <si>
    <t>狂战先锋（merc_aries_blood）</t>
  </si>
  <si>
    <t>27 萝卜　（cost 字段 450 不是购买价，见「07_佣兵」）</t>
  </si>
  <si>
    <t>黑钢统帅（merc_capricorn_steel）</t>
  </si>
  <si>
    <t>30 萝卜　（cost 字段 500 不是购买价，见「07_佣兵」）</t>
  </si>
  <si>
    <t>时空观测者（merc_aquarius_time）</t>
  </si>
  <si>
    <t>33 萝卜　（cost 字段 550 不是购买价，见「07_佣兵」）</t>
  </si>
  <si>
    <t>冥界执行者（merc_scorpio_death）</t>
  </si>
  <si>
    <t>36 萝卜　（cost 字段 600 不是购买价，见「07_佣兵」）</t>
  </si>
  <si>
    <t>── 接近满容量时的收割实测（验证溢出）──</t>
  </si>
  <si>
    <t>累计花费 0 / 科技 Lv0</t>
  </si>
  <si>
    <t>容量 12，产量 3，只差 1 格时实收 1，溢出丢弃 2</t>
  </si>
  <si>
    <t>CarrotEconomy.harvest 实调</t>
  </si>
  <si>
    <t>累计花费 0 / 科技 Lv3</t>
  </si>
  <si>
    <t>容量 12，产量 13，只差 1 格时实收 1，溢出丢弃 12</t>
  </si>
  <si>
    <t>累计花费 0 / 科技 Lv5</t>
  </si>
  <si>
    <t>容量 12，产量 35，只差 1 格时实收 1，溢出丢弃 34</t>
  </si>
  <si>
    <t>累计花费 9 / 科技 Lv0</t>
  </si>
  <si>
    <t>容量 24，产量 5，只差 1 格时实收 1，溢出丢弃 4</t>
  </si>
  <si>
    <t>累计花费 9 / 科技 Lv3</t>
  </si>
  <si>
    <t>容量 24，产量 15，只差 1 格时实收 1，溢出丢弃 14</t>
  </si>
  <si>
    <t>累计花费 9 / 科技 Lv5</t>
  </si>
  <si>
    <t>容量 24，产量 37，只差 1 格时实收 1，溢出丢弃 36</t>
  </si>
  <si>
    <t>累计花费 20 / 科技 Lv0</t>
  </si>
  <si>
    <t>容量 40，产量 7，只差 1 格时实收 1，溢出丢弃 6</t>
  </si>
  <si>
    <t>累计花费 20 / 科技 Lv3</t>
  </si>
  <si>
    <t>容量 40，产量 17，只差 1 格时实收 1，溢出丢弃 16</t>
  </si>
  <si>
    <t>累计花费 20 / 科技 Lv5</t>
  </si>
  <si>
    <t>容量 40，产量 39，只差 1 格时实收 1，溢出丢弃 38</t>
  </si>
  <si>
    <t>累计花费 35 / 科技 Lv0</t>
  </si>
  <si>
    <t>容量 60，产量 9，只差 1 格时实收 1，溢出丢弃 8</t>
  </si>
  <si>
    <t>累计花费 35 / 科技 Lv3</t>
  </si>
  <si>
    <t>容量 60，产量 19，只差 1 格时实收 1，溢出丢弃 18</t>
  </si>
  <si>
    <t>累计花费 35 / 科技 Lv5</t>
  </si>
  <si>
    <t>容量 60，产量 41，只差 1 格时实收 1，溢出丢弃 40</t>
  </si>
  <si>
    <t>累计花费 55 / 科技 Lv0</t>
  </si>
  <si>
    <t>容量 90，产量 11，只差 1 格时实收 1，溢出丢弃 10</t>
  </si>
  <si>
    <t>累计花费 55 / 科技 Lv3</t>
  </si>
  <si>
    <t>容量 90，产量 21，只差 1 格时实收 1，溢出丢弃 20</t>
  </si>
  <si>
    <t>累计花费 55 / 科技 Lv5</t>
  </si>
  <si>
    <t>容量 90，产量 43，只差 1 格时实收 1，溢出丢弃 42</t>
  </si>
  <si>
    <t>累计花费 75 / 科技 Lv0</t>
  </si>
  <si>
    <t>容量 150，产量 15，只差 1 格时实收 1，溢出丢弃 14</t>
  </si>
  <si>
    <t>累计花费 75 / 科技 Lv3</t>
  </si>
  <si>
    <t>容量 150，产量 25，只差 1 格时实收 1，溢出丢弃 24</t>
  </si>
  <si>
    <t>累计花费 75 / 科技 Lv5</t>
  </si>
  <si>
    <t>容量 150，产量 47，只差 1 格时实收 1，溢出丢弃 46</t>
  </si>
  <si>
    <t>── 采集科技 Lv6~Lv9 实测（Lv10 起每级产量再 +10）──</t>
  </si>
  <si>
    <t>科技 Lv6</t>
  </si>
  <si>
    <t>从本级升下一级花 1600 金　｜　当前只算科技的产量 = 45 /回合</t>
  </si>
  <si>
    <t>CarrotEconomy.production_for_tech 实调</t>
  </si>
  <si>
    <t>科技 Lv7</t>
  </si>
  <si>
    <t>从本级升下一级花 1600 金　｜　当前只算科技的产量 = 55 /回合</t>
  </si>
  <si>
    <t>科技 Lv8</t>
  </si>
  <si>
    <t>从本级升下一级花 1600 金　｜　当前只算科技的产量 = 65 /回合</t>
  </si>
  <si>
    <t>科技 Lv9</t>
  </si>
  <si>
    <t>从本级升下一级花 1600 金　｜　当前只算科技的产量 = 75 /回合</t>
  </si>
  <si>
    <t>── 萝卜田 Lv6~Lv11 实测（Lv12 起按公式继续增长）──</t>
  </si>
  <si>
    <t>田 Lv6</t>
  </si>
  <si>
    <t>累计花费 ≥ 110 萝卜　｜　容量 220　｜　营地收入 +110 金/回合　｜　田额外产量 +14　｜　总产量 科技0=17 / 科技Lv5=49　｜　下一档门槛 155</t>
  </si>
  <si>
    <t>CarrotEconomy.farm_* 实调</t>
  </si>
  <si>
    <t>田 Lv7</t>
  </si>
  <si>
    <t>累计花费 ≥ 155 萝卜　｜　容量 300　｜　营地收入 +120 金/回合　｜　田额外产量 +16　｜　总产量 科技0=19 / 科技Lv5=51　｜　下一档门槛 210</t>
  </si>
  <si>
    <t>田 Lv8</t>
  </si>
  <si>
    <t>累计花费 ≥ 210 萝卜　｜　容量 390　｜　营地收入 +130 金/回合　｜　田额外产量 +18　｜　总产量 科技0=21 / 科技Lv5=53　｜　下一档门槛 275</t>
  </si>
  <si>
    <t>田 Lv9</t>
  </si>
  <si>
    <t>累计花费 ≥ 275 萝卜　｜　容量 490　｜　营地收入 +140 金/回合　｜　田额外产量 +20　｜　总产量 科技0=23 / 科技Lv5=55　｜　下一档门槛 350</t>
  </si>
  <si>
    <t>田 Lv10</t>
  </si>
  <si>
    <t>累计花费 ≥ 350 萝卜　｜　容量 600　｜　营地收入 +150 金/回合　｜　田额外产量 +22　｜　总产量 科技0=25 / 科技Lv5=57　｜　下一档门槛 435</t>
  </si>
  <si>
    <t>田 Lv11</t>
  </si>
  <si>
    <t>累计花费 ≥ 435 萝卜　｜　容量 720　｜　营地收入 +160 金/回合　｜　田额外产量 +24　｜　总产量 科技0=27 / 科技Lv5=59　｜　下一档门槛 530</t>
  </si>
  <si>
    <t>13_回合与商店</t>
  </si>
  <si>
    <t>21 回合、怪物/Boss 成长、宝藏节点和商店阶级概率。</t>
  </si>
  <si>
    <t>回合</t>
  </si>
  <si>
    <t>局型</t>
  </si>
  <si>
    <t>宝藏回合</t>
  </si>
  <si>
    <t>每路野怪数</t>
  </si>
  <si>
    <t>已完PVE</t>
  </si>
  <si>
    <t>怪HP×</t>
  </si>
  <si>
    <t>怪攻×</t>
  </si>
  <si>
    <t>怪防×</t>
  </si>
  <si>
    <t>已完Boss</t>
  </si>
  <si>
    <t>BossHP×</t>
  </si>
  <si>
    <t>Boss攻×</t>
  </si>
  <si>
    <t>Boss防×</t>
  </si>
  <si>
    <t>PVE胜利奖励</t>
  </si>
  <si>
    <t>Boss胜利奖励</t>
  </si>
  <si>
    <t>商店1阶</t>
  </si>
  <si>
    <t>商店2阶</t>
  </si>
  <si>
    <t>商店3阶</t>
  </si>
  <si>
    <t>pve</t>
  </si>
  <si>
    <t>×1.00</t>
  </si>
  <si>
    <t>×1.10</t>
  </si>
  <si>
    <t>×1.08</t>
  </si>
  <si>
    <t>×1.05</t>
  </si>
  <si>
    <t>×1.21</t>
  </si>
  <si>
    <t>×1.17</t>
  </si>
  <si>
    <t>×1.33</t>
  </si>
  <si>
    <t>×1.26</t>
  </si>
  <si>
    <t>×1.16</t>
  </si>
  <si>
    <t>boss</t>
  </si>
  <si>
    <t>×1.46</t>
  </si>
  <si>
    <t>×1.36</t>
  </si>
  <si>
    <t>×1.22</t>
  </si>
  <si>
    <t>pvp</t>
  </si>
  <si>
    <t>×1.45</t>
  </si>
  <si>
    <t>×1.35</t>
  </si>
  <si>
    <t>×1.30</t>
  </si>
  <si>
    <t>×1.61</t>
  </si>
  <si>
    <t>×1.47</t>
  </si>
  <si>
    <t>×1.28</t>
  </si>
  <si>
    <t>×1.77</t>
  </si>
  <si>
    <t>×1.59</t>
  </si>
  <si>
    <t>×1.34</t>
  </si>
  <si>
    <t>×1.95</t>
  </si>
  <si>
    <t>×1.71</t>
  </si>
  <si>
    <t>×1.41</t>
  </si>
  <si>
    <t>×2.10</t>
  </si>
  <si>
    <t>×1.82</t>
  </si>
  <si>
    <t>×1.69</t>
  </si>
  <si>
    <t>×2.14</t>
  </si>
  <si>
    <t>×1.85</t>
  </si>
  <si>
    <t>×1.48</t>
  </si>
  <si>
    <t>×2.36</t>
  </si>
  <si>
    <t>×2.00</t>
  </si>
  <si>
    <t>×1.55</t>
  </si>
  <si>
    <t>×2.59</t>
  </si>
  <si>
    <t>×2.16</t>
  </si>
  <si>
    <t>×1.63</t>
  </si>
  <si>
    <t>×3.05</t>
  </si>
  <si>
    <t>×2.46</t>
  </si>
  <si>
    <t>×2.20</t>
  </si>
  <si>
    <t>×2.85</t>
  </si>
  <si>
    <t>×2.33</t>
  </si>
  <si>
    <t>×3.14</t>
  </si>
  <si>
    <t>×2.52</t>
  </si>
  <si>
    <t>×1.80</t>
  </si>
  <si>
    <t>×3.45</t>
  </si>
  <si>
    <t>×2.72</t>
  </si>
  <si>
    <t>×1.89</t>
  </si>
  <si>
    <t>final</t>
  </si>
  <si>
    <t>×4.42</t>
  </si>
  <si>
    <t>×3.32</t>
  </si>
  <si>
    <t>×2.86</t>
  </si>
  <si>
    <t>14_界面映射</t>
  </si>
  <si>
    <t>所有显示按稳定 ID 查询 final_status.json；动态星级、成长和回合倍率继续由现有战斗/经济服务计算。</t>
  </si>
  <si>
    <t>界面</t>
  </si>
  <si>
    <t>显示内容</t>
  </si>
  <si>
    <t>统一入口</t>
  </si>
  <si>
    <t>备注</t>
  </si>
  <si>
    <t>备战棋子详情</t>
  </si>
  <si>
    <t>棋子技能中文说明、星级</t>
  </si>
  <si>
    <t>UnitDetailFormat → FinalStatusCatalog.units</t>
  </si>
  <si>
    <t>当前 HP/攻击/防御仍按 UnitFactory/UnitGrowth 动态计算</t>
  </si>
  <si>
    <t>图鉴</t>
  </si>
  <si>
    <t>棋子技能、宠物、宝藏、联动</t>
  </si>
  <si>
    <t>CodexService / UnitDetailFormat / PetService → FinalStatusCatalog</t>
  </si>
  <si>
    <t>解锁与隐藏状态保留</t>
  </si>
  <si>
    <t>备战羁绊</t>
  </si>
  <si>
    <t>五族各档说明</t>
  </si>
  <si>
    <t>SynergyPanel → FinalStatusCatalog.synergies</t>
  </si>
  <si>
    <t>门槛仍由 SynergyService 判定</t>
  </si>
  <si>
    <t>备战宝藏</t>
  </si>
  <si>
    <t>宝藏、联动效果</t>
  </si>
  <si>
    <t>TreasureChoicePanel → FinalStatusCatalog.treasures/linkages</t>
  </si>
  <si>
    <t>待确认项用现有说明</t>
  </si>
  <si>
    <t>备战宠物</t>
  </si>
  <si>
    <t>名称和短说明</t>
  </si>
  <si>
    <t>PetService → FinalStatusCatalog.pets</t>
  </si>
  <si>
    <t>卡片仍使用适合两行的摘要</t>
  </si>
  <si>
    <t>背包宠物</t>
  </si>
  <si>
    <t>摘要、详细技能</t>
  </si>
  <si>
    <t>归属/出战状态继续从账号读取</t>
  </si>
  <si>
    <t>商城宠物</t>
  </si>
  <si>
    <t>名称、技能详情</t>
  </si>
  <si>
    <t>价格和可售状态以服务端目录为准</t>
  </si>
  <si>
    <t>战斗显示</t>
  </si>
  <si>
    <t>单位名、动态属性和回放</t>
  </si>
  <si>
    <t>DataRegistry/UnitDetailFormat；战斗仍以服务端回放为准</t>
  </si>
  <si>
    <t>不让显示目录参与伤害计算</t>
  </si>
  <si>
    <t>15_冲突与验证</t>
  </si>
  <si>
    <t>记录新表与运行值的差异及用户定稿决定。</t>
  </si>
  <si>
    <t>新表写法</t>
  </si>
  <si>
    <t>当前运行代码 / 既有显示</t>
  </si>
  <si>
    <t>处理状态</t>
  </si>
  <si>
    <t>证据</t>
  </si>
  <si>
    <t>灵族羁绊</t>
  </si>
  <si>
    <t>旧表写每死 30 个单位复制一只亡灵（40% 属性）</t>
  </si>
  <si>
    <t>现有 1 档双毒，2 档中毒期间治疗与吸血 -30%</t>
  </si>
  <si>
    <t>用户确认：按现行减疗</t>
  </si>
  <si>
    <t>10_种族羁绊!C12 / SynergyService.gd</t>
  </si>
  <si>
    <t>最大生命 40% 复活</t>
  </si>
  <si>
    <t>此前实际入场时回满生命，现有备战提示为满血</t>
  </si>
  <si>
    <t>用户确认：玩法改为 40% 生命</t>
  </si>
  <si>
    <t>11_宝藏联动!E4 / BattleSimTreasures.gd</t>
  </si>
  <si>
    <t>慷慨命运与诡诈命运</t>
  </si>
  <si>
    <t>胜利时金币“翻倍”</t>
  </si>
  <si>
    <t>EconomyLedger 按 2.5 倍结算；现有 UI 写 2.5 倍</t>
  </si>
  <si>
    <t>用户确认：按实际结算 2.5 倍</t>
  </si>
  <si>
    <t>09_宝藏!E21 / 11_宝藏联动!E9</t>
  </si>
  <si>
    <t>线上服务端逐项系数</t>
  </si>
  <si>
    <t>本机运行值</t>
  </si>
  <si>
    <t>用户实战日志没有逐击系数</t>
  </si>
  <si>
    <t>线上待核</t>
  </si>
  <si>
    <t>2026-10-07 线上回放日志</t>
  </si>
  <si>
    <t>90_运行配置</t>
  </si>
  <si>
    <t>历史配置快照，仅供查阅，不再参与运行前同步。基础数值以 01/03/05/06/08 业务页为准；其余复杂字段以项目中的 JSON / GDScript 为准。</t>
  </si>
  <si>
    <t>运行文件</t>
  </si>
  <si>
    <t>JSON 路径</t>
  </si>
  <si>
    <t>类型</t>
  </si>
  <si>
    <t>值（JSON）</t>
  </si>
  <si>
    <t>data/rounds/round_schedule.json</t>
  </si>
  <si>
    <t>$</t>
  </si>
  <si>
    <t>object</t>
  </si>
  <si>
    <t/>
  </si>
  <si>
    <t>$/final_round</t>
  </si>
  <si>
    <t>int</t>
  </si>
  <si>
    <t>21</t>
  </si>
  <si>
    <t>$/pvp_rounds</t>
  </si>
  <si>
    <t>array</t>
  </si>
  <si>
    <t>$/pvp_rounds/0</t>
  </si>
  <si>
    <t>$/pvp_rounds/1</t>
  </si>
  <si>
    <t>$/pvp_rounds/2</t>
  </si>
  <si>
    <t>18</t>
  </si>
  <si>
    <t>$/pvp_rounds/3</t>
  </si>
  <si>
    <t>$/boss_rounds</t>
  </si>
  <si>
    <t>$/boss_rounds/0</t>
  </si>
  <si>
    <t>$/boss_rounds/1</t>
  </si>
  <si>
    <t>10</t>
  </si>
  <si>
    <t>$/boss_rounds/2</t>
  </si>
  <si>
    <t>15</t>
  </si>
  <si>
    <t>$/boss_rounds/3</t>
  </si>
  <si>
    <t>20</t>
  </si>
  <si>
    <t>$/treasure_after_battle_rounds</t>
  </si>
  <si>
    <t>$/treasure_after_battle_rounds/0</t>
  </si>
  <si>
    <t>$/treasure_after_battle_rounds/1</t>
  </si>
  <si>
    <t>8</t>
  </si>
  <si>
    <t>$/treasure_after_battle_rounds/2</t>
  </si>
  <si>
    <t>$/treasure_after_battle_rounds/3</t>
  </si>
  <si>
    <t>16</t>
  </si>
  <si>
    <t>$/treasure_after_battle_rounds/4</t>
  </si>
  <si>
    <t>$/pvp_without_online_opponent</t>
  </si>
  <si>
    <t>string</t>
  </si>
  <si>
    <t>"pve"</t>
  </si>
  <si>
    <t>data/units/race_units.json</t>
  </si>
  <si>
    <t>$/star_scaling</t>
  </si>
  <si>
    <t>$/star_scaling/max_star</t>
  </si>
  <si>
    <t>$/star_scaling/hp_atk_def_per_star</t>
  </si>
  <si>
    <t>float</t>
  </si>
  <si>
    <t>1.5</t>
  </si>
  <si>
    <t>$/units</t>
  </si>
  <si>
    <t>$/units/0</t>
  </si>
  <si>
    <t>$/units/0/id</t>
  </si>
  <si>
    <t>"god_priest"</t>
  </si>
  <si>
    <t>$/units/0/star4</t>
  </si>
  <si>
    <t>$/units/0/star4/heal_pct</t>
  </si>
  <si>
    <t>0.24</t>
  </si>
  <si>
    <t>$/units/0/star4/cleanse_chance</t>
  </si>
  <si>
    <t>0.5</t>
  </si>
  <si>
    <t>$/units/0/name</t>
  </si>
  <si>
    <t>"神侍"</t>
  </si>
  <si>
    <t>$/units/0/race</t>
  </si>
  <si>
    <t>"god"</t>
  </si>
  <si>
    <t>$/units/0/element</t>
  </si>
  <si>
    <t>"ren"</t>
  </si>
  <si>
    <t>$/units/0/tier</t>
  </si>
  <si>
    <t>1</t>
  </si>
  <si>
    <t>$/units/0/cost</t>
  </si>
  <si>
    <t>$/units/0/hp</t>
  </si>
  <si>
    <t>640</t>
  </si>
  <si>
    <t>$/units/0/atk</t>
  </si>
  <si>
    <t>31</t>
  </si>
  <si>
    <t>$/units/0/def</t>
  </si>
  <si>
    <t>$/units/0/attack_speed</t>
  </si>
  <si>
    <t>0.95</t>
  </si>
  <si>
    <t>$/units/0/range</t>
  </si>
  <si>
    <t>$/units/0/move_speed</t>
  </si>
  <si>
    <t>3.2</t>
  </si>
  <si>
    <t>$/units/0/crit</t>
  </si>
  <si>
    <t>0.05</t>
  </si>
  <si>
    <t>$/units/0/crit_dmg</t>
  </si>
  <si>
    <t>$/units/0/skill_id</t>
  </si>
  <si>
    <t>"lowest_ally_heal"</t>
  </si>
  <si>
    <t>$/units/0/skill_cd</t>
  </si>
  <si>
    <t>4.0</t>
  </si>
  <si>
    <t>$/units/0/heal_pct</t>
  </si>
  <si>
    <t>0.06</t>
  </si>
  <si>
    <t>$/units/0/cleanse_chance</t>
  </si>
  <si>
    <t>0.25</t>
  </si>
  <si>
    <t>$/units/0/model</t>
  </si>
  <si>
    <t>"res://assets/models/units/god_priest_refined/god_priest_refined.tscn"</t>
  </si>
  <si>
    <t>$/units/0/model_visual_scale</t>
  </si>
  <si>
    <t>1.0</t>
  </si>
  <si>
    <t>$/units/0/model_base_yaw</t>
  </si>
  <si>
    <t>180.0</t>
  </si>
  <si>
    <t>$/units/0/model_idle_animation_name</t>
  </si>
  <si>
    <t>"idle"</t>
  </si>
  <si>
    <t>$/units/0/model_attack_animation_name</t>
  </si>
  <si>
    <t>"attack"</t>
  </si>
  <si>
    <t>$/units/0/model_attack_sync_seek</t>
  </si>
  <si>
    <t>0.18</t>
  </si>
  <si>
    <t>$/units/0/model_attack_lock_time</t>
  </si>
  <si>
    <t>0.4</t>
  </si>
  <si>
    <t>$/units/0/model_run_animation_name</t>
  </si>
  <si>
    <t>"run"</t>
  </si>
  <si>
    <t>$/units/0/name_en</t>
  </si>
  <si>
    <t>"Godhand"</t>
  </si>
  <si>
    <t>$/units/1</t>
  </si>
  <si>
    <t>$/units/1/id</t>
  </si>
  <si>
    <t>"god_priestess"</t>
  </si>
  <si>
    <t>$/units/1/model_in_place_actions</t>
  </si>
  <si>
    <t>$/units/1/model_in_place_actions/0</t>
  </si>
  <si>
    <t>$/units/1/star4</t>
  </si>
  <si>
    <t>$/units/1/star4/atk_bonus</t>
  </si>
  <si>
    <t>0.32</t>
  </si>
  <si>
    <t>$/units/1/star4/aspd_bonus</t>
  </si>
  <si>
    <t>0.45</t>
  </si>
  <si>
    <t>$/units/1/star4/skill_cd</t>
  </si>
  <si>
    <t>4.5</t>
  </si>
  <si>
    <t>$/units/1/name</t>
  </si>
  <si>
    <t>"大祭司"</t>
  </si>
  <si>
    <t>$/units/1/race</t>
  </si>
  <si>
    <t>$/units/1/element</t>
  </si>
  <si>
    <t>$/units/1/tier</t>
  </si>
  <si>
    <t>$/units/1/cost</t>
  </si>
  <si>
    <t>$/units/1/hp</t>
  </si>
  <si>
    <t>600</t>
  </si>
  <si>
    <t>$/units/1/atk</t>
  </si>
  <si>
    <t>26</t>
  </si>
  <si>
    <t>$/units/1/def</t>
  </si>
  <si>
    <t>$/units/1/attack_speed</t>
  </si>
  <si>
    <t>0.9</t>
  </si>
  <si>
    <t>$/units/1/range</t>
  </si>
  <si>
    <t>$/units/1/move_speed</t>
  </si>
  <si>
    <t>3.15</t>
  </si>
  <si>
    <t>$/units/1/crit</t>
  </si>
  <si>
    <t>$/units/1/crit_dmg</t>
  </si>
  <si>
    <t>$/units/1/skill_id</t>
  </si>
  <si>
    <t>"nearest_ally_bless"</t>
  </si>
  <si>
    <t>$/units/1/skill_cd</t>
  </si>
  <si>
    <t>6.0</t>
  </si>
  <si>
    <t>$/units/1/atk_bonus</t>
  </si>
  <si>
    <t>0.08</t>
  </si>
  <si>
    <t>$/units/1/aspd_bonus</t>
  </si>
  <si>
    <t>0.15</t>
  </si>
  <si>
    <t>$/units/1/model</t>
  </si>
  <si>
    <t>"res://assets/models/units/god_priestess_refined/god_priestess_refined.tscn"</t>
  </si>
  <si>
    <t>$/units/1/model_visual_scale</t>
  </si>
  <si>
    <t>$/units/1/model_base_yaw</t>
  </si>
  <si>
    <t>180</t>
  </si>
  <si>
    <t>$/units/1/name_en</t>
  </si>
  <si>
    <t>"Priestess"</t>
  </si>
  <si>
    <t>$/units/2</t>
  </si>
  <si>
    <t>$/units/2/id</t>
  </si>
  <si>
    <t>"god_guard"</t>
  </si>
  <si>
    <t>$/units/2/star4</t>
  </si>
  <si>
    <t>$/units/2/star4/shield_control_immune</t>
  </si>
  <si>
    <t>bool</t>
  </si>
  <si>
    <t>true</t>
  </si>
  <si>
    <t>$/units/2/star4/start_shield_pct</t>
  </si>
  <si>
    <t>$/units/2/star4/taunt_radius</t>
  </si>
  <si>
    <t>240</t>
  </si>
  <si>
    <t>$/units/2/name</t>
  </si>
  <si>
    <t>"光之卫士"</t>
  </si>
  <si>
    <t>$/units/2/race</t>
  </si>
  <si>
    <t>$/units/2/element</t>
  </si>
  <si>
    <t>"land"</t>
  </si>
  <si>
    <t>$/units/2/tier</t>
  </si>
  <si>
    <t>2</t>
  </si>
  <si>
    <t>$/units/2/cost</t>
  </si>
  <si>
    <t>30</t>
  </si>
  <si>
    <t>$/units/2/hp</t>
  </si>
  <si>
    <t>1520</t>
  </si>
  <si>
    <t>$/units/2/atk</t>
  </si>
  <si>
    <t>46</t>
  </si>
  <si>
    <t>$/units/2/def</t>
  </si>
  <si>
    <t>14</t>
  </si>
  <si>
    <t>$/units/2/attack_speed</t>
  </si>
  <si>
    <t>0.75</t>
  </si>
  <si>
    <t>$/units/2/range</t>
  </si>
  <si>
    <t>$/units/2/move_speed</t>
  </si>
  <si>
    <t>3.0</t>
  </si>
  <si>
    <t>$/units/2/crit</t>
  </si>
  <si>
    <t>$/units/2/crit_dmg</t>
  </si>
  <si>
    <t>$/units/2/skill_id</t>
  </si>
  <si>
    <t>"guardian_shield_taunt"</t>
  </si>
  <si>
    <t>$/units/2/start_shield_pct</t>
  </si>
  <si>
    <t>0.2</t>
  </si>
  <si>
    <t>$/units/2/taunt_radius</t>
  </si>
  <si>
    <t>$/units/2/model</t>
  </si>
  <si>
    <t>"res://assets/models/units/god_guard_refined/god_guard_refined.tscn"</t>
  </si>
  <si>
    <t>$/units/2/model_attack_animation_name</t>
  </si>
  <si>
    <t>$/units/2/model_attack_sync_seek</t>
  </si>
  <si>
    <t>0.35</t>
  </si>
  <si>
    <t>$/units/2/model_attack_lock_time</t>
  </si>
  <si>
    <t>$/units/2/model_run_animation_name</t>
  </si>
  <si>
    <t>$/units/2/model_visual_scale</t>
  </si>
  <si>
    <t>$/units/2/model_base_yaw</t>
  </si>
  <si>
    <t>$/units/2/name_en</t>
  </si>
  <si>
    <t>"Lightguard"</t>
  </si>
  <si>
    <t>$/units/3</t>
  </si>
  <si>
    <t>$/units/3/id</t>
  </si>
  <si>
    <t>"god_aurora"</t>
  </si>
  <si>
    <t>$/units/3/model_in_place_actions</t>
  </si>
  <si>
    <t>$/units/3/model_in_place_actions/0</t>
  </si>
  <si>
    <t>$/units/3/star4</t>
  </si>
  <si>
    <t>$/units/3/star4/third_hit_double</t>
  </si>
  <si>
    <t>$/units/3/star4/true_damage_pct</t>
  </si>
  <si>
    <t>$/units/3/name</t>
  </si>
  <si>
    <t>"极光射手"</t>
  </si>
  <si>
    <t>$/units/3/race</t>
  </si>
  <si>
    <t>$/units/3/element</t>
  </si>
  <si>
    <t>"sky"</t>
  </si>
  <si>
    <t>$/units/3/tier</t>
  </si>
  <si>
    <t>$/units/3/cost</t>
  </si>
  <si>
    <t>$/units/3/hp</t>
  </si>
  <si>
    <t>720</t>
  </si>
  <si>
    <t>$/units/3/atk</t>
  </si>
  <si>
    <t>77</t>
  </si>
  <si>
    <t>$/units/3/def</t>
  </si>
  <si>
    <t>$/units/3/attack_speed</t>
  </si>
  <si>
    <t>1.2</t>
  </si>
  <si>
    <t>$/units/3/range</t>
  </si>
  <si>
    <t>$/units/3/move_speed</t>
  </si>
  <si>
    <t>$/units/3/crit</t>
  </si>
  <si>
    <t>$/units/3/crit_dmg</t>
  </si>
  <si>
    <t>1.6</t>
  </si>
  <si>
    <t>$/units/3/skill_id</t>
  </si>
  <si>
    <t>"true_damage_attack"</t>
  </si>
  <si>
    <t>$/units/3/true_damage_pct</t>
  </si>
  <si>
    <t>$/units/3/model</t>
  </si>
  <si>
    <t>"res://assets/models/units/god_aurora_refined/god_aurora_refined.tscn"</t>
  </si>
  <si>
    <t>$/units/3/model_visual_scale</t>
  </si>
  <si>
    <t>$/units/3/model_base_yaw</t>
  </si>
  <si>
    <t>$/units/3/name_en</t>
  </si>
  <si>
    <t>"Aurora"</t>
  </si>
  <si>
    <t>$/units/4</t>
  </si>
  <si>
    <t>$/units/4/id</t>
  </si>
  <si>
    <t>"god_angel"</t>
  </si>
  <si>
    <t>$/units/4/star4</t>
  </si>
  <si>
    <t>$/units/4/star4/control_immune_sec</t>
  </si>
  <si>
    <t>$/units/4/star4/heal_pct</t>
  </si>
  <si>
    <t>$/units/4/star4/atk_bonus</t>
  </si>
  <si>
    <t>$/units/4/star4/aspd_bonus</t>
  </si>
  <si>
    <t>$/units/4/star4/skill_cd</t>
  </si>
  <si>
    <t>$/units/4/name</t>
  </si>
  <si>
    <t>"天使"</t>
  </si>
  <si>
    <t>$/units/4/race</t>
  </si>
  <si>
    <t>$/units/4/element</t>
  </si>
  <si>
    <t>$/units/4/tier</t>
  </si>
  <si>
    <t>$/units/4/cost</t>
  </si>
  <si>
    <t>$/units/4/hp</t>
  </si>
  <si>
    <t>1080</t>
  </si>
  <si>
    <t>$/units/4/atk</t>
  </si>
  <si>
    <t>48</t>
  </si>
  <si>
    <t>$/units/4/def</t>
  </si>
  <si>
    <t>$/units/4/attack_speed</t>
  </si>
  <si>
    <t>$/units/4/range</t>
  </si>
  <si>
    <t>$/units/4/move_speed</t>
  </si>
  <si>
    <t>3.25</t>
  </si>
  <si>
    <t>$/units/4/crit</t>
  </si>
  <si>
    <t>$/units/4/crit_dmg</t>
  </si>
  <si>
    <t>$/units/4/skill_id</t>
  </si>
  <si>
    <t>"nearby_ally_heal_buff"</t>
  </si>
  <si>
    <t>$/units/4/skill_cd</t>
  </si>
  <si>
    <t>7.0</t>
  </si>
  <si>
    <t>$/units/4/heal_pct</t>
  </si>
  <si>
    <t>$/units/4/atk_bonus</t>
  </si>
  <si>
    <t>$/units/4/aspd_bonus</t>
  </si>
  <si>
    <t>$/units/4/model</t>
  </si>
  <si>
    <t>"res://assets/models/units/god_angel_refined/god_angel_refined.tscn"</t>
  </si>
  <si>
    <t>$/units/4/model_visual_scale</t>
  </si>
  <si>
    <t>$/units/4/model_base_yaw</t>
  </si>
  <si>
    <t>$/units/4/opening_cd</t>
  </si>
  <si>
    <t>$/units/4/name_en</t>
  </si>
  <si>
    <t>"Angel"</t>
  </si>
  <si>
    <t>$/units/5</t>
  </si>
  <si>
    <t>$/units/5/id</t>
  </si>
  <si>
    <t>"god_arbiter"</t>
  </si>
  <si>
    <t>$/units/5/model_in_place_actions</t>
  </si>
  <si>
    <t>$/units/5/model_in_place_actions/0</t>
  </si>
  <si>
    <t>$/units/5/star4</t>
  </si>
  <si>
    <t>$/units/5/star4/damage_atk_pct</t>
  </si>
  <si>
    <t>4.4</t>
  </si>
  <si>
    <t>$/units/5/star4/def_stack_pct</t>
  </si>
  <si>
    <t>$/units/5/star4/skill_cd</t>
  </si>
  <si>
    <t>$/units/5/name</t>
  </si>
  <si>
    <t>"裁决者"</t>
  </si>
  <si>
    <t>$/units/5/race</t>
  </si>
  <si>
    <t>$/units/5/element</t>
  </si>
  <si>
    <t>$/units/5/tier</t>
  </si>
  <si>
    <t>$/units/5/cost</t>
  </si>
  <si>
    <t>$/units/5/hp</t>
  </si>
  <si>
    <t>1040</t>
  </si>
  <si>
    <t>$/units/5/atk</t>
  </si>
  <si>
    <t>79</t>
  </si>
  <si>
    <t>$/units/5/def</t>
  </si>
  <si>
    <t>$/units/5/attack_speed</t>
  </si>
  <si>
    <t>0.8</t>
  </si>
  <si>
    <t>$/units/5/range</t>
  </si>
  <si>
    <t>$/units/5/move_speed</t>
  </si>
  <si>
    <t>3.05</t>
  </si>
  <si>
    <t>$/units/5/crit</t>
  </si>
  <si>
    <t>$/units/5/crit_dmg</t>
  </si>
  <si>
    <t>$/units/5/skill_id</t>
  </si>
  <si>
    <t>"judgement_strike"</t>
  </si>
  <si>
    <t>$/units/5/skill_cd</t>
  </si>
  <si>
    <t>$/units/5/damage_atk_pct</t>
  </si>
  <si>
    <t>2.2</t>
  </si>
  <si>
    <t>$/units/5/def_stack_pct</t>
  </si>
  <si>
    <t>$/units/5/max_stacks</t>
  </si>
  <si>
    <t>$/units/5/model</t>
  </si>
  <si>
    <t>"res://assets/models/units/god_arbiter_refined/god_arbiter_refined.tscn"</t>
  </si>
  <si>
    <t>$/units/5/model_visual_scale</t>
  </si>
  <si>
    <t>$/units/5/model_base_yaw</t>
  </si>
  <si>
    <t>$/units/5/name_en</t>
  </si>
  <si>
    <t>"Arbiter"</t>
  </si>
  <si>
    <t>$/units/6</t>
  </si>
  <si>
    <t>$/units/6/id</t>
  </si>
  <si>
    <t>"god_archangel"</t>
  </si>
  <si>
    <t>$/units/6/star4</t>
  </si>
  <si>
    <t>$/units/6/star4/damage_reduction</t>
  </si>
  <si>
    <t>0.65</t>
  </si>
  <si>
    <t>$/units/6/star4/duration</t>
  </si>
  <si>
    <t>$/units/6/star4/skill_cd</t>
  </si>
  <si>
    <t>$/units/6/name</t>
  </si>
  <si>
    <t>"大天使"</t>
  </si>
  <si>
    <t>$/units/6/race</t>
  </si>
  <si>
    <t>$/units/6/element</t>
  </si>
  <si>
    <t>$/units/6/tier</t>
  </si>
  <si>
    <t>$/units/6/cost</t>
  </si>
  <si>
    <t>50</t>
  </si>
  <si>
    <t>$/units/6/hp</t>
  </si>
  <si>
    <t>1700</t>
  </si>
  <si>
    <t>$/units/6/atk</t>
  </si>
  <si>
    <t>73</t>
  </si>
  <si>
    <t>$/units/6/def</t>
  </si>
  <si>
    <t>$/units/6/attack_speed</t>
  </si>
  <si>
    <t>0.85</t>
  </si>
  <si>
    <t>$/units/6/range</t>
  </si>
  <si>
    <t>$/units/6/move_speed</t>
  </si>
  <si>
    <t>$/units/6/crit</t>
  </si>
  <si>
    <t>$/units/6/crit_dmg</t>
  </si>
  <si>
    <t>1.75</t>
  </si>
  <si>
    <t>$/units/6/skill_id</t>
  </si>
  <si>
    <t>"random_ally_damage_reduction"</t>
  </si>
  <si>
    <t>$/units/6/skill_cd</t>
  </si>
  <si>
    <t>$/units/6/damage_reduction</t>
  </si>
  <si>
    <t>$/units/6/duration</t>
  </si>
  <si>
    <t>$/units/6/unique_on_board</t>
  </si>
  <si>
    <t>$/units/6/model</t>
  </si>
  <si>
    <t>"res://assets/models/units/god_archangel_refined/god_archangel_refined.tscn"</t>
  </si>
  <si>
    <t>$/units/6/model_visual_scale</t>
  </si>
  <si>
    <t>$/units/6/model_base_yaw</t>
  </si>
  <si>
    <t>$/units/6/name_en</t>
  </si>
  <si>
    <t>"Archangel"</t>
  </si>
  <si>
    <t>$/units/7</t>
  </si>
  <si>
    <t>$/units/7/id</t>
  </si>
  <si>
    <t>"god_king"</t>
  </si>
  <si>
    <t>$/units/7/star4</t>
  </si>
  <si>
    <t>$/units/7/star4/damage_atk_pct</t>
  </si>
  <si>
    <t>$/units/7/star4/max_hp_bonus_pct</t>
  </si>
  <si>
    <t>0.16</t>
  </si>
  <si>
    <t>$/units/7/star4/skill_cd</t>
  </si>
  <si>
    <t>$/units/7/name</t>
  </si>
  <si>
    <t>"神王"</t>
  </si>
  <si>
    <t>$/units/7/race</t>
  </si>
  <si>
    <t>$/units/7/element</t>
  </si>
  <si>
    <t>$/units/7/tier</t>
  </si>
  <si>
    <t>$/units/7/cost</t>
  </si>
  <si>
    <t>$/units/7/hp</t>
  </si>
  <si>
    <t>1800</t>
  </si>
  <si>
    <t>$/units/7/atk</t>
  </si>
  <si>
    <t>105</t>
  </si>
  <si>
    <t>$/units/7/def</t>
  </si>
  <si>
    <t>$/units/7/attack_speed</t>
  </si>
  <si>
    <t>0.88</t>
  </si>
  <si>
    <t>$/units/7/range</t>
  </si>
  <si>
    <t>$/units/7/move_speed</t>
  </si>
  <si>
    <t>$/units/7/crit</t>
  </si>
  <si>
    <t>0.12</t>
  </si>
  <si>
    <t>$/units/7/crit_dmg</t>
  </si>
  <si>
    <t>$/units/7/skill_id</t>
  </si>
  <si>
    <t>"global_divine_blast"</t>
  </si>
  <si>
    <t>$/units/7/skill_cd</t>
  </si>
  <si>
    <t>8.0</t>
  </si>
  <si>
    <t>$/units/7/damage_atk_pct</t>
  </si>
  <si>
    <t>$/units/7/max_hp_bonus_pct</t>
  </si>
  <si>
    <t>$/units/7/damage_tick_count</t>
  </si>
  <si>
    <t>$/units/7/damage_tick_interval</t>
  </si>
  <si>
    <t>$/units/7/unique_on_board</t>
  </si>
  <si>
    <t>$/units/7/model</t>
  </si>
  <si>
    <t>"res://assets/models/units/god_king_refined/god_king_refined.tscn"</t>
  </si>
  <si>
    <t>$/units/7/model_visual_scale</t>
  </si>
  <si>
    <t>$/units/7/model_base_yaw</t>
  </si>
  <si>
    <t>$/units/7/name_en</t>
  </si>
  <si>
    <t>"God King"</t>
  </si>
  <si>
    <t>$/units/8</t>
  </si>
  <si>
    <t>$/units/8/id</t>
  </si>
  <si>
    <t>"dark_imp"</t>
  </si>
  <si>
    <t>$/units/8/star4</t>
  </si>
  <si>
    <t>$/units/8/star4/attack_down</t>
  </si>
  <si>
    <t>$/units/8/star4/aspd_down</t>
  </si>
  <si>
    <t>$/units/8/name</t>
  </si>
  <si>
    <t>"魔童"</t>
  </si>
  <si>
    <t>$/units/8/race</t>
  </si>
  <si>
    <t>"dark"</t>
  </si>
  <si>
    <t>$/units/8/element</t>
  </si>
  <si>
    <t>$/units/8/tier</t>
  </si>
  <si>
    <t>$/units/8/cost</t>
  </si>
  <si>
    <t>$/units/8/hp</t>
  </si>
  <si>
    <t>580</t>
  </si>
  <si>
    <t>$/units/8/atk</t>
  </si>
  <si>
    <t>37</t>
  </si>
  <si>
    <t>$/units/8/def</t>
  </si>
  <si>
    <t>$/units/8/attack_speed</t>
  </si>
  <si>
    <t>1.05</t>
  </si>
  <si>
    <t>$/units/8/range</t>
  </si>
  <si>
    <t>$/units/8/move_speed</t>
  </si>
  <si>
    <t>3.35</t>
  </si>
  <si>
    <t>$/units/8/crit</t>
  </si>
  <si>
    <t>$/units/8/crit_dmg</t>
  </si>
  <si>
    <t>$/units/8/skill_id</t>
  </si>
  <si>
    <t>"curse_attack"</t>
  </si>
  <si>
    <t>$/units/8/attack_down</t>
  </si>
  <si>
    <t>$/units/8/aspd_down</t>
  </si>
  <si>
    <t>$/units/8/duration</t>
  </si>
  <si>
    <t>$/units/8/max_stacks</t>
  </si>
  <si>
    <t>$/units/8/model</t>
  </si>
  <si>
    <t>"res://assets/models/units/dark_refined/dark_imp/dark_imp_refined.tscn"</t>
  </si>
  <si>
    <t>$/units/8/model_idle_animation</t>
  </si>
  <si>
    <t>"res://assets/models/units/dark_imp_motong/dark_imp_motong_idle_zombie.fbx"</t>
  </si>
  <si>
    <t>$/units/8/model_idle_animation_name</t>
  </si>
  <si>
    <t>"mixamo_com"</t>
  </si>
  <si>
    <t>$/units/8/model_attack_animation_name</t>
  </si>
  <si>
    <t>$/units/8/model_attack_sync_seek</t>
  </si>
  <si>
    <t>$/units/8/model_visual_scale</t>
  </si>
  <si>
    <t>$/units/8/model_base_yaw</t>
  </si>
  <si>
    <t>$/units/8/name_en</t>
  </si>
  <si>
    <t>"Imp"</t>
  </si>
  <si>
    <t>$/units/9</t>
  </si>
  <si>
    <t>$/units/9/id</t>
  </si>
  <si>
    <t>"dark_mage"</t>
  </si>
  <si>
    <t>$/units/9/star4</t>
  </si>
  <si>
    <t>$/units/9/star4/damage_atk_pct</t>
  </si>
  <si>
    <t>3.4</t>
  </si>
  <si>
    <t>$/units/9/star4/skill_cd</t>
  </si>
  <si>
    <t>$/units/9/name</t>
  </si>
  <si>
    <t>"暗影法师"</t>
  </si>
  <si>
    <t>$/units/9/race</t>
  </si>
  <si>
    <t>$/units/9/element</t>
  </si>
  <si>
    <t>$/units/9/tier</t>
  </si>
  <si>
    <t>$/units/9/cost</t>
  </si>
  <si>
    <t>$/units/9/hp</t>
  </si>
  <si>
    <t>520</t>
  </si>
  <si>
    <t>$/units/9/atk</t>
  </si>
  <si>
    <t>$/units/9/def</t>
  </si>
  <si>
    <t>$/units/9/attack_speed</t>
  </si>
  <si>
    <t>$/units/9/range</t>
  </si>
  <si>
    <t>$/units/9/move_speed</t>
  </si>
  <si>
    <t>$/units/9/crit</t>
  </si>
  <si>
    <t>$/units/9/crit_dmg</t>
  </si>
  <si>
    <t>$/units/9/skill_id</t>
  </si>
  <si>
    <t>"silence_bolt"</t>
  </si>
  <si>
    <t>$/units/9/skill_cd</t>
  </si>
  <si>
    <t>$/units/9/silence_sec</t>
  </si>
  <si>
    <t>$/units/9/damage_atk_pct</t>
  </si>
  <si>
    <t>1.7</t>
  </si>
  <si>
    <t>$/units/9/model</t>
  </si>
  <si>
    <t>"res://assets/models/units/dark_refined/dark_mage/dark_mage_refined.tscn"</t>
  </si>
  <si>
    <t>$/units/9/model_visual_scale</t>
  </si>
  <si>
    <t>$/units/9/model_base_yaw</t>
  </si>
  <si>
    <t>$/units/9/model_idle_animation_name</t>
  </si>
  <si>
    <t>$/units/9/model_attack_animation_name</t>
  </si>
  <si>
    <t>$/units/9/model_attack_sync_seek</t>
  </si>
  <si>
    <t>$/units/9/model_attack_lock_time</t>
  </si>
  <si>
    <t>$/units/9/model_run_animation_name</t>
  </si>
  <si>
    <t>$/units/9/name_en</t>
  </si>
  <si>
    <t>"Hexmage"</t>
  </si>
  <si>
    <t>$/units/10</t>
  </si>
  <si>
    <t>$/units/10/id</t>
  </si>
  <si>
    <t>"dark_fear"</t>
  </si>
  <si>
    <t>$/units/10/star4</t>
  </si>
  <si>
    <t>$/units/10/star4/fear_sec</t>
  </si>
  <si>
    <t>$/units/10/star4/skill_cd</t>
  </si>
  <si>
    <t>$/units/10/name</t>
  </si>
  <si>
    <t>"恐惧魔"</t>
  </si>
  <si>
    <t>$/units/10/race</t>
  </si>
  <si>
    <t>$/units/10/element</t>
  </si>
  <si>
    <t>$/units/10/tier</t>
  </si>
  <si>
    <t>$/units/10/cost</t>
  </si>
  <si>
    <t>$/units/10/hp</t>
  </si>
  <si>
    <t>840</t>
  </si>
  <si>
    <t>$/units/10/atk</t>
  </si>
  <si>
    <t>55</t>
  </si>
  <si>
    <t>$/units/10/def</t>
  </si>
  <si>
    <t>7</t>
  </si>
  <si>
    <t>$/units/10/attack_speed</t>
  </si>
  <si>
    <t>0.92</t>
  </si>
  <si>
    <t>$/units/10/range</t>
  </si>
  <si>
    <t>$/units/10/move_speed</t>
  </si>
  <si>
    <t>$/units/10/crit</t>
  </si>
  <si>
    <t>$/units/10/crit_dmg</t>
  </si>
  <si>
    <t>$/units/10/skill_id</t>
  </si>
  <si>
    <t>"fear"</t>
  </si>
  <si>
    <t>$/units/10/skill_cd</t>
  </si>
  <si>
    <t>$/units/10/fear_sec</t>
  </si>
  <si>
    <t>2.0</t>
  </si>
  <si>
    <t>$/units/10/model</t>
  </si>
  <si>
    <t>"res://assets/models/units/dark_refined/dark_fear/dark_fear_refined.tscn"</t>
  </si>
  <si>
    <t>$/units/10/model_visual_scale</t>
  </si>
  <si>
    <t>$/units/10/model_base_yaw</t>
  </si>
  <si>
    <t>$/units/10/name_en</t>
  </si>
  <si>
    <t>"Fear Demon"</t>
  </si>
  <si>
    <t>$/units/11</t>
  </si>
  <si>
    <t>$/units/11/id</t>
  </si>
  <si>
    <t>"dark_queen"</t>
  </si>
  <si>
    <t>$/units/11/star4</t>
  </si>
  <si>
    <t>$/units/11/star4/stack_damage</t>
  </si>
  <si>
    <t>$/units/11/star4/max_stacks</t>
  </si>
  <si>
    <t>$/units/11/name</t>
  </si>
  <si>
    <t>"痛苦女王"</t>
  </si>
  <si>
    <t>$/units/11/race</t>
  </si>
  <si>
    <t>$/units/11/element</t>
  </si>
  <si>
    <t>$/units/11/tier</t>
  </si>
  <si>
    <t>$/units/11/cost</t>
  </si>
  <si>
    <t>$/units/11/hp</t>
  </si>
  <si>
    <t>920</t>
  </si>
  <si>
    <t>$/units/11/atk</t>
  </si>
  <si>
    <t>68</t>
  </si>
  <si>
    <t>$/units/11/def</t>
  </si>
  <si>
    <t>$/units/11/attack_speed</t>
  </si>
  <si>
    <t>$/units/11/range</t>
  </si>
  <si>
    <t>$/units/11/move_speed</t>
  </si>
  <si>
    <t>$/units/11/crit</t>
  </si>
  <si>
    <t>$/units/11/crit_dmg</t>
  </si>
  <si>
    <t>$/units/11/skill_id</t>
  </si>
  <si>
    <t>"same_target_damage_stack"</t>
  </si>
  <si>
    <t>$/units/11/stack_damage</t>
  </si>
  <si>
    <t>$/units/11/max_stacks</t>
  </si>
  <si>
    <t>$/units/11/model</t>
  </si>
  <si>
    <t>"res://assets/models/units/dark_refined/dark_queen/dark_queen_refined.tscn"</t>
  </si>
  <si>
    <t>$/units/11/model_visual_scale</t>
  </si>
  <si>
    <t>$/units/11/model_base_yaw</t>
  </si>
  <si>
    <t>$/units/11/name_en</t>
  </si>
  <si>
    <t>"Pain Queen"</t>
  </si>
  <si>
    <t>$/units/12</t>
  </si>
  <si>
    <t>$/units/12/id</t>
  </si>
  <si>
    <t>"dark_scythe"</t>
  </si>
  <si>
    <t>$/units/12/model_in_place_actions</t>
  </si>
  <si>
    <t>$/units/12/model_in_place_actions/0</t>
  </si>
  <si>
    <t>$/units/12/star4</t>
  </si>
  <si>
    <t>$/units/12/star4/def_down_pct</t>
  </si>
  <si>
    <t>$/units/12/star4/damage_atk_pct</t>
  </si>
  <si>
    <t>$/units/12/name</t>
  </si>
  <si>
    <t>"偷袭者"</t>
  </si>
  <si>
    <t>$/units/12/race</t>
  </si>
  <si>
    <t>$/units/12/element</t>
  </si>
  <si>
    <t>$/units/12/tier</t>
  </si>
  <si>
    <t>$/units/12/cost</t>
  </si>
  <si>
    <t>$/units/12/hp</t>
  </si>
  <si>
    <t>780</t>
  </si>
  <si>
    <t>$/units/12/atk</t>
  </si>
  <si>
    <t>88</t>
  </si>
  <si>
    <t>$/units/12/def</t>
  </si>
  <si>
    <t>$/units/12/attack_speed</t>
  </si>
  <si>
    <t>1.35</t>
  </si>
  <si>
    <t>$/units/12/range</t>
  </si>
  <si>
    <t>$/units/12/move_speed</t>
  </si>
  <si>
    <t>3.55</t>
  </si>
  <si>
    <t>$/units/12/crit</t>
  </si>
  <si>
    <t>$/units/12/crit_dmg</t>
  </si>
  <si>
    <t>$/units/12/skill_id</t>
  </si>
  <si>
    <t>"blink_low_def_backline"</t>
  </si>
  <si>
    <t>$/units/12/damage_atk_pct</t>
  </si>
  <si>
    <t>$/units/12/refresh_on_kill</t>
  </si>
  <si>
    <t>$/units/12/model</t>
  </si>
  <si>
    <t>"res://assets/models/units/dark_refined/dark_scythe/dark_scythe_refined.tscn"</t>
  </si>
  <si>
    <t>$/units/12/model_visual_scale</t>
  </si>
  <si>
    <t>$/units/12/model_base_yaw</t>
  </si>
  <si>
    <t>$/units/12/name_en</t>
  </si>
  <si>
    <t>"Ambusher"</t>
  </si>
  <si>
    <t>$/units/13</t>
  </si>
  <si>
    <t>$/units/13/id</t>
  </si>
  <si>
    <t>"dark_suc"</t>
  </si>
  <si>
    <t>$/units/13/star4</t>
  </si>
  <si>
    <t>$/units/13/star4/stun_sec</t>
  </si>
  <si>
    <t>$/units/13/star4/skill_cd</t>
  </si>
  <si>
    <t>$/units/13/name</t>
  </si>
  <si>
    <t>"魅魔"</t>
  </si>
  <si>
    <t>$/units/13/race</t>
  </si>
  <si>
    <t>$/units/13/element</t>
  </si>
  <si>
    <t>$/units/13/tier</t>
  </si>
  <si>
    <t>$/units/13/cost</t>
  </si>
  <si>
    <t>$/units/13/hp</t>
  </si>
  <si>
    <t>860</t>
  </si>
  <si>
    <t>$/units/13/atk</t>
  </si>
  <si>
    <t>64</t>
  </si>
  <si>
    <t>$/units/13/def</t>
  </si>
  <si>
    <t>$/units/13/attack_speed</t>
  </si>
  <si>
    <t>$/units/13/range</t>
  </si>
  <si>
    <t>$/units/13/move_speed</t>
  </si>
  <si>
    <t>$/units/13/crit</t>
  </si>
  <si>
    <t>$/units/13/crit_dmg</t>
  </si>
  <si>
    <t>$/units/13/skill_id</t>
  </si>
  <si>
    <t>"stun"</t>
  </si>
  <si>
    <t>$/units/13/skill_cd</t>
  </si>
  <si>
    <t>5.0</t>
  </si>
  <si>
    <t>$/units/13/stun_sec</t>
  </si>
  <si>
    <t>$/units/13/damage_atk_pct</t>
  </si>
  <si>
    <t>$/units/13/model</t>
  </si>
  <si>
    <t>"res://assets/models/units/dark_refined/dark_suc/dark_suc_refined.tscn"</t>
  </si>
  <si>
    <t>$/units/13/model_visual_scale</t>
  </si>
  <si>
    <t>$/units/13/model_base_yaw</t>
  </si>
  <si>
    <t>$/units/13/model_idle_animation_name</t>
  </si>
  <si>
    <t>$/units/13/model_attack_animation_name</t>
  </si>
  <si>
    <t>$/units/13/model_attack_sync_seek</t>
  </si>
  <si>
    <t>$/units/13/model_attack_lock_time</t>
  </si>
  <si>
    <t>$/units/13/model_run_animation_name</t>
  </si>
  <si>
    <t>$/units/13/name_en</t>
  </si>
  <si>
    <t>"Succubus"</t>
  </si>
  <si>
    <t>$/units/14</t>
  </si>
  <si>
    <t>$/units/14/id</t>
  </si>
  <si>
    <t>"dark_doom"</t>
  </si>
  <si>
    <t>$/units/14/model_in_place_actions</t>
  </si>
  <si>
    <t>$/units/14/model_in_place_actions/0</t>
  </si>
  <si>
    <t>$/units/14/star4</t>
  </si>
  <si>
    <t>$/units/14/star4/link_regen_pct</t>
  </si>
  <si>
    <t>0.04</t>
  </si>
  <si>
    <t>$/units/14/name</t>
  </si>
  <si>
    <t>"末日守卫"</t>
  </si>
  <si>
    <t>$/units/14/race</t>
  </si>
  <si>
    <t>$/units/14/element</t>
  </si>
  <si>
    <t>$/units/14/tier</t>
  </si>
  <si>
    <t>$/units/14/cost</t>
  </si>
  <si>
    <t>$/units/14/hp</t>
  </si>
  <si>
    <t>1640</t>
  </si>
  <si>
    <t>$/units/14/atk</t>
  </si>
  <si>
    <t>97</t>
  </si>
  <si>
    <t>$/units/14/def</t>
  </si>
  <si>
    <t>$/units/14/attack_speed</t>
  </si>
  <si>
    <t>0.78</t>
  </si>
  <si>
    <t>$/units/14/range</t>
  </si>
  <si>
    <t>$/units/14/move_speed</t>
  </si>
  <si>
    <t>$/units/14/crit</t>
  </si>
  <si>
    <t>$/units/14/crit_dmg</t>
  </si>
  <si>
    <t>$/units/14/skill_id</t>
  </si>
  <si>
    <t>"shared_hp_link"</t>
  </si>
  <si>
    <t>$/units/14/until_target_death</t>
  </si>
  <si>
    <t>$/units/14/unique_on_board</t>
  </si>
  <si>
    <t>$/units/14/model</t>
  </si>
  <si>
    <t>"res://assets/models/units/dark_refined/dark_doom/dark_doom_refined.tscn"</t>
  </si>
  <si>
    <t>$/units/14/model_visual_scale</t>
  </si>
  <si>
    <t>$/units/14/model_base_yaw</t>
  </si>
  <si>
    <t>$/units/14/name_en</t>
  </si>
  <si>
    <t>"Doom Guard"</t>
  </si>
  <si>
    <t>$/units/15</t>
  </si>
  <si>
    <t>$/units/15/id</t>
  </si>
  <si>
    <t>"dark_dragon"</t>
  </si>
  <si>
    <t>$/units/15/model_in_place_actions</t>
  </si>
  <si>
    <t>$/units/15/model_in_place_actions/0</t>
  </si>
  <si>
    <t>$/units/15/star4</t>
  </si>
  <si>
    <t>$/units/15/star4/pull_sec</t>
  </si>
  <si>
    <t>$/units/15/star4/damage_atk_pct</t>
  </si>
  <si>
    <t>$/units/15/name</t>
  </si>
  <si>
    <t>"黑龙"</t>
  </si>
  <si>
    <t>$/units/15/race</t>
  </si>
  <si>
    <t>$/units/15/element</t>
  </si>
  <si>
    <t>$/units/15/tier</t>
  </si>
  <si>
    <t>$/units/15/cost</t>
  </si>
  <si>
    <t>$/units/15/hp</t>
  </si>
  <si>
    <t>$/units/15/atk</t>
  </si>
  <si>
    <t>110</t>
  </si>
  <si>
    <t>$/units/15/def</t>
  </si>
  <si>
    <t>$/units/15/attack_speed</t>
  </si>
  <si>
    <t>$/units/15/range</t>
  </si>
  <si>
    <t>$/units/15/move_speed</t>
  </si>
  <si>
    <t>2.95</t>
  </si>
  <si>
    <t>$/units/15/crit</t>
  </si>
  <si>
    <t>$/units/15/crit_dmg</t>
  </si>
  <si>
    <t>1.8</t>
  </si>
  <si>
    <t>$/units/15/skill_id</t>
  </si>
  <si>
    <t>"black_hole"</t>
  </si>
  <si>
    <t>$/units/15/pull_sec</t>
  </si>
  <si>
    <t>$/units/15/damage_atk_pct</t>
  </si>
  <si>
    <t>$/units/15/unique_on_board</t>
  </si>
  <si>
    <t>$/units/15/model</t>
  </si>
  <si>
    <t>"res://assets/models/units/dark_refined/dark_dragon/dark_dragon_refined.tscn"</t>
  </si>
  <si>
    <t>$/units/15/model_visual_scale</t>
  </si>
  <si>
    <t>$/units/15/model_base_yaw</t>
  </si>
  <si>
    <t>$/units/15/model_idle_animation_name</t>
  </si>
  <si>
    <t>$/units/15/model_attack_animation_name</t>
  </si>
  <si>
    <t>$/units/15/model_attack_sync_seek</t>
  </si>
  <si>
    <t>$/units/15/model_attack_lock_time</t>
  </si>
  <si>
    <t>$/units/15/model_run_animation_name</t>
  </si>
  <si>
    <t>$/units/15/name_en</t>
  </si>
  <si>
    <t>"Blackwyrm"</t>
  </si>
  <si>
    <t>$/units/16</t>
  </si>
  <si>
    <t>$/units/16/id</t>
  </si>
  <si>
    <t>"undead_small"</t>
  </si>
  <si>
    <t>$/units/16/model_in_place_actions</t>
  </si>
  <si>
    <t>$/units/16/model_in_place_actions/0</t>
  </si>
  <si>
    <t>$/units/16/model_in_place_actions/1</t>
  </si>
  <si>
    <t>$/units/16/name</t>
  </si>
  <si>
    <t>"小灵"</t>
  </si>
  <si>
    <t>$/units/16/race</t>
  </si>
  <si>
    <t>"undead"</t>
  </si>
  <si>
    <t>$/units/16/element</t>
  </si>
  <si>
    <t>$/units/16/tier</t>
  </si>
  <si>
    <t>$/units/16/cost</t>
  </si>
  <si>
    <t>$/units/16/hp</t>
  </si>
  <si>
    <t>$/units/16/atk</t>
  </si>
  <si>
    <t>24</t>
  </si>
  <si>
    <t>$/units/16/def</t>
  </si>
  <si>
    <t>$/units/16/attack_speed</t>
  </si>
  <si>
    <t>1.1</t>
  </si>
  <si>
    <t>$/units/16/range</t>
  </si>
  <si>
    <t>$/units/16/move_speed</t>
  </si>
  <si>
    <t>3.45</t>
  </si>
  <si>
    <t>$/units/16/crit</t>
  </si>
  <si>
    <t>$/units/16/crit_dmg</t>
  </si>
  <si>
    <t>$/units/16/star4_multiplier</t>
  </si>
  <si>
    <t>$/units/16/skill_id</t>
  </si>
  <si>
    <t>"none"</t>
  </si>
  <si>
    <t>$/units/16/model</t>
  </si>
  <si>
    <t>"res://assets/models/units/undead_refined/undead_small/undead_small_refined.tscn"</t>
  </si>
  <si>
    <t>$/units/16/model_visual_scale</t>
  </si>
  <si>
    <t>$/units/16/model_base_yaw</t>
  </si>
  <si>
    <t>$/units/16/model_idle_animation_name</t>
  </si>
  <si>
    <t>$/units/16/model_attack_animation_name</t>
  </si>
  <si>
    <t>$/units/16/model_attack_sync_seek</t>
  </si>
  <si>
    <t>$/units/16/model_attack_lock_time</t>
  </si>
  <si>
    <t>$/units/16/model_run_animation_name</t>
  </si>
  <si>
    <t>$/units/16/name_en</t>
  </si>
  <si>
    <t>"Wisp"</t>
  </si>
  <si>
    <t>$/units/17</t>
  </si>
  <si>
    <t>$/units/17/id</t>
  </si>
  <si>
    <t>"undead_poison"</t>
  </si>
  <si>
    <t>$/units/17/poison_pct_max_hp</t>
  </si>
  <si>
    <t>0.03</t>
  </si>
  <si>
    <t>$/units/17/poison_duration</t>
  </si>
  <si>
    <t>$/units/17/star4</t>
  </si>
  <si>
    <t>$/units/17/star4/poison_pct_max_hp</t>
  </si>
  <si>
    <t>$/units/17/star4/poison_duration</t>
  </si>
  <si>
    <t>$/units/17/name</t>
  </si>
  <si>
    <t>"毒灵"</t>
  </si>
  <si>
    <t>$/units/17/race</t>
  </si>
  <si>
    <t>$/units/17/element</t>
  </si>
  <si>
    <t>$/units/17/tier</t>
  </si>
  <si>
    <t>$/units/17/cost</t>
  </si>
  <si>
    <t>$/units/17/hp</t>
  </si>
  <si>
    <t>660</t>
  </si>
  <si>
    <t>$/units/17/atk</t>
  </si>
  <si>
    <t>33</t>
  </si>
  <si>
    <t>$/units/17/def</t>
  </si>
  <si>
    <t>$/units/17/attack_speed</t>
  </si>
  <si>
    <t>$/units/17/range</t>
  </si>
  <si>
    <t>$/units/17/move_speed</t>
  </si>
  <si>
    <t>3.3</t>
  </si>
  <si>
    <t>$/units/17/crit</t>
  </si>
  <si>
    <t>$/units/17/crit_dmg</t>
  </si>
  <si>
    <t>$/units/17/skill_id</t>
  </si>
  <si>
    <t>"poison_attack"</t>
  </si>
  <si>
    <t>$/units/17/model</t>
  </si>
  <si>
    <t>"res://assets/models/units/undead_refined/undead_poison/undead_poison_refined.tscn"</t>
  </si>
  <si>
    <t>$/units/17/model_visual_scale</t>
  </si>
  <si>
    <t>$/units/17/model_base_yaw</t>
  </si>
  <si>
    <t>$/units/17/name_en</t>
  </si>
  <si>
    <t>"Venom"</t>
  </si>
  <si>
    <t>$/units/18</t>
  </si>
  <si>
    <t>$/units/18/id</t>
  </si>
  <si>
    <t>"undead_parasite"</t>
  </si>
  <si>
    <t>$/units/18/model_in_place_actions</t>
  </si>
  <si>
    <t>$/units/18/model_in_place_actions/0</t>
  </si>
  <si>
    <t>$/units/18/star4</t>
  </si>
  <si>
    <t>$/units/18/star4/clone_hp_pct</t>
  </si>
  <si>
    <t>$/units/18/star4/clone_atk_def_pct</t>
  </si>
  <si>
    <t>$/units/18/name</t>
  </si>
  <si>
    <t>"寄生灵"</t>
  </si>
  <si>
    <t>$/units/18/race</t>
  </si>
  <si>
    <t>$/units/18/element</t>
  </si>
  <si>
    <t>$/units/18/tier</t>
  </si>
  <si>
    <t>$/units/18/cost</t>
  </si>
  <si>
    <t>$/units/18/hp</t>
  </si>
  <si>
    <t>$/units/18/atk</t>
  </si>
  <si>
    <t>57</t>
  </si>
  <si>
    <t>$/units/18/def</t>
  </si>
  <si>
    <t>$/units/18/attack_speed</t>
  </si>
  <si>
    <t>$/units/18/range</t>
  </si>
  <si>
    <t>$/units/18/move_speed</t>
  </si>
  <si>
    <t>$/units/18/crit</t>
  </si>
  <si>
    <t>$/units/18/crit_dmg</t>
  </si>
  <si>
    <t>$/units/18/skill_id</t>
  </si>
  <si>
    <t>"parasite_on_kill"</t>
  </si>
  <si>
    <t>$/units/18/clone_hp_pct</t>
  </si>
  <si>
    <t>$/units/18/clone_atk_def_pct</t>
  </si>
  <si>
    <t>$/units/18/model</t>
  </si>
  <si>
    <t>"res://assets/models/units/undead_refined/undead_parasite/undead_parasite_refined.tscn"</t>
  </si>
  <si>
    <t>$/units/18/model_visual_scale</t>
  </si>
  <si>
    <t>$/units/18/model_base_yaw</t>
  </si>
  <si>
    <t>$/units/18/name_en</t>
  </si>
  <si>
    <t>"Leech Wisp"</t>
  </si>
  <si>
    <t>$/units/19</t>
  </si>
  <si>
    <t>$/units/19/id</t>
  </si>
  <si>
    <t>"undead_spike"</t>
  </si>
  <si>
    <t>$/units/19/star4</t>
  </si>
  <si>
    <t>$/units/19/star4/duration</t>
  </si>
  <si>
    <t>$/units/19/star4/def_down_pct</t>
  </si>
  <si>
    <t>0.6</t>
  </si>
  <si>
    <t>$/units/19/name</t>
  </si>
  <si>
    <t>"刺灵"</t>
  </si>
  <si>
    <t>$/units/19/race</t>
  </si>
  <si>
    <t>$/units/19/element</t>
  </si>
  <si>
    <t>$/units/19/tier</t>
  </si>
  <si>
    <t>$/units/19/cost</t>
  </si>
  <si>
    <t>$/units/19/hp</t>
  </si>
  <si>
    <t>800</t>
  </si>
  <si>
    <t>$/units/19/atk</t>
  </si>
  <si>
    <t>62</t>
  </si>
  <si>
    <t>$/units/19/def</t>
  </si>
  <si>
    <t>$/units/19/attack_speed</t>
  </si>
  <si>
    <t>$/units/19/range</t>
  </si>
  <si>
    <t>$/units/19/move_speed</t>
  </si>
  <si>
    <t>$/units/19/crit</t>
  </si>
  <si>
    <t>$/units/19/crit_dmg</t>
  </si>
  <si>
    <t>$/units/19/skill_id</t>
  </si>
  <si>
    <t>"defense_down_attack"</t>
  </si>
  <si>
    <t>$/units/19/def_down_pct</t>
  </si>
  <si>
    <t>0.3</t>
  </si>
  <si>
    <t>$/units/19/duration</t>
  </si>
  <si>
    <t>$/units/19/model</t>
  </si>
  <si>
    <t>"res://assets/models/units/undead_refined/undead_spike/undead_spike_refined.tscn"</t>
  </si>
  <si>
    <t>$/units/19/model_visual_scale</t>
  </si>
  <si>
    <t>$/units/19/model_base_yaw</t>
  </si>
  <si>
    <t>$/units/19/name_en</t>
  </si>
  <si>
    <t>"Spike Wisp"</t>
  </si>
  <si>
    <t>$/units/20</t>
  </si>
  <si>
    <t>$/units/20/id</t>
  </si>
  <si>
    <t>"undead_fly"</t>
  </si>
  <si>
    <t>$/units/20/model_in_place_actions</t>
  </si>
  <si>
    <t>$/units/20/model_in_place_actions/0</t>
  </si>
  <si>
    <t>$/units/20/poison_pct_max_hp</t>
  </si>
  <si>
    <t>$/units/20/poison_duration</t>
  </si>
  <si>
    <t>$/units/20/star4</t>
  </si>
  <si>
    <t>$/units/20/star4/poison_pct_max_hp</t>
  </si>
  <si>
    <t>$/units/20/star4/poison_duration</t>
  </si>
  <si>
    <t>$/units/20/star4/dodge</t>
  </si>
  <si>
    <t>$/units/20/name</t>
  </si>
  <si>
    <t>"飞灵"</t>
  </si>
  <si>
    <t>$/units/20/race</t>
  </si>
  <si>
    <t>$/units/20/element</t>
  </si>
  <si>
    <t>$/units/20/tier</t>
  </si>
  <si>
    <t>$/units/20/cost</t>
  </si>
  <si>
    <t>$/units/20/hp</t>
  </si>
  <si>
    <t>760</t>
  </si>
  <si>
    <t>$/units/20/atk</t>
  </si>
  <si>
    <t>66</t>
  </si>
  <si>
    <t>$/units/20/def</t>
  </si>
  <si>
    <t>$/units/20/attack_speed</t>
  </si>
  <si>
    <t>$/units/20/range</t>
  </si>
  <si>
    <t>$/units/20/move_speed</t>
  </si>
  <si>
    <t>$/units/20/crit</t>
  </si>
  <si>
    <t>$/units/20/crit_dmg</t>
  </si>
  <si>
    <t>$/units/20/dodge</t>
  </si>
  <si>
    <t>$/units/20/skill_id</t>
  </si>
  <si>
    <t>$/units/20/model</t>
  </si>
  <si>
    <t>"res://assets/models/units/undead_refined/undead_fly/undead_fly_refined.tscn"</t>
  </si>
  <si>
    <t>$/units/20/model_visual_scale</t>
  </si>
  <si>
    <t>$/units/20/model_base_yaw</t>
  </si>
  <si>
    <t>$/units/20/name_en</t>
  </si>
  <si>
    <t>"Fly Wisp"</t>
  </si>
  <si>
    <t>$/units/21</t>
  </si>
  <si>
    <t>$/units/21/id</t>
  </si>
  <si>
    <t>"undead_bomb"</t>
  </si>
  <si>
    <t>$/units/21/model_in_place_actions</t>
  </si>
  <si>
    <t>$/units/21/model_in_place_actions/0</t>
  </si>
  <si>
    <t>$/units/21/star4</t>
  </si>
  <si>
    <t>$/units/21/star4/damage_atk_pct</t>
  </si>
  <si>
    <t>$/units/21/name</t>
  </si>
  <si>
    <t>"自爆灵"</t>
  </si>
  <si>
    <t>$/units/21/race</t>
  </si>
  <si>
    <t>$/units/21/element</t>
  </si>
  <si>
    <t>$/units/21/tier</t>
  </si>
  <si>
    <t>$/units/21/cost</t>
  </si>
  <si>
    <t>$/units/21/hp</t>
  </si>
  <si>
    <t>$/units/21/atk</t>
  </si>
  <si>
    <t>145</t>
  </si>
  <si>
    <t>$/units/21/def</t>
  </si>
  <si>
    <t>0</t>
  </si>
  <si>
    <t>$/units/21/attack_speed</t>
  </si>
  <si>
    <t>0.7</t>
  </si>
  <si>
    <t>$/units/21/range</t>
  </si>
  <si>
    <t>$/units/21/move_speed</t>
  </si>
  <si>
    <t>$/units/21/crit</t>
  </si>
  <si>
    <t>$/units/21/crit_dmg</t>
  </si>
  <si>
    <t>$/units/21/skill_id</t>
  </si>
  <si>
    <t>"death_poison_explosion"</t>
  </si>
  <si>
    <t>$/units/21/damage_atk_pct</t>
  </si>
  <si>
    <t>$/units/21/model</t>
  </si>
  <si>
    <t>"res://assets/models/units/undead_refined/undead_bomb/undead_bomb_refined.tscn"</t>
  </si>
  <si>
    <t>$/units/21/model_visual_scale</t>
  </si>
  <si>
    <t>$/units/21/model_base_yaw</t>
  </si>
  <si>
    <t>$/units/21/name_en</t>
  </si>
  <si>
    <t>"Bomb Wisp"</t>
  </si>
  <si>
    <t>$/units/22</t>
  </si>
  <si>
    <t>$/units/22/id</t>
  </si>
  <si>
    <t>"undead_titan"</t>
  </si>
  <si>
    <t>$/units/22/armor_per_hit_pct</t>
  </si>
  <si>
    <t>0.14</t>
  </si>
  <si>
    <t>$/units/22/star4</t>
  </si>
  <si>
    <t>$/units/22/star4/armor_per_hit_pct</t>
  </si>
  <si>
    <t>0.28</t>
  </si>
  <si>
    <t>$/units/22/star4/reflect_taken_damage_pct</t>
  </si>
  <si>
    <t>$/units/22/name</t>
  </si>
  <si>
    <t>"巨甲灵"</t>
  </si>
  <si>
    <t>$/units/22/race</t>
  </si>
  <si>
    <t>$/units/22/element</t>
  </si>
  <si>
    <t>$/units/22/tier</t>
  </si>
  <si>
    <t>$/units/22/cost</t>
  </si>
  <si>
    <t>$/units/22/hp</t>
  </si>
  <si>
    <t>1500</t>
  </si>
  <si>
    <t>$/units/22/atk</t>
  </si>
  <si>
    <t>$/units/22/def</t>
  </si>
  <si>
    <t>$/units/22/attack_speed</t>
  </si>
  <si>
    <t>$/units/22/range</t>
  </si>
  <si>
    <t>$/units/22/move_speed</t>
  </si>
  <si>
    <t>2.8</t>
  </si>
  <si>
    <t>$/units/22/crit</t>
  </si>
  <si>
    <t>$/units/22/crit_dmg</t>
  </si>
  <si>
    <t>$/units/22/skill_id</t>
  </si>
  <si>
    <t>"poison_reflect_armor_stack"</t>
  </si>
  <si>
    <t>$/units/22/reflect_taken_damage_pct</t>
  </si>
  <si>
    <t>$/units/22/max_stacks</t>
  </si>
  <si>
    <t>$/units/22/model</t>
  </si>
  <si>
    <t>"res://assets/models/units/undead_refined/undead_titan/undead_titan_refined.tscn"</t>
  </si>
  <si>
    <t>$/units/22/model_visual_scale</t>
  </si>
  <si>
    <t>$/units/22/model_base_yaw</t>
  </si>
  <si>
    <t>$/units/22/name_en</t>
  </si>
  <si>
    <t>"Titan Wisp"</t>
  </si>
  <si>
    <t>$/units/23</t>
  </si>
  <si>
    <t>$/units/23/id</t>
  </si>
  <si>
    <t>"undead_mother"</t>
  </si>
  <si>
    <t>$/units/23/star4</t>
  </si>
  <si>
    <t>$/units/23/star4/tier2_chance</t>
  </si>
  <si>
    <t>$/units/23/star4/death_threshold</t>
  </si>
  <si>
    <t>$/units/23/star4/boss_max_hp_damage</t>
  </si>
  <si>
    <t>$/units/23/star4/tier1_or_merc_chance</t>
  </si>
  <si>
    <t>0.55</t>
  </si>
  <si>
    <t>$/units/23/name</t>
  </si>
  <si>
    <t>"母灵"</t>
  </si>
  <si>
    <t>$/units/23/race</t>
  </si>
  <si>
    <t>$/units/23/element</t>
  </si>
  <si>
    <t>$/units/23/tier</t>
  </si>
  <si>
    <t>$/units/23/cost</t>
  </si>
  <si>
    <t>$/units/23/hp</t>
  </si>
  <si>
    <t>1600</t>
  </si>
  <si>
    <t>$/units/23/atk</t>
  </si>
  <si>
    <t>$/units/23/def</t>
  </si>
  <si>
    <t>$/units/23/attack_speed</t>
  </si>
  <si>
    <t>0.82</t>
  </si>
  <si>
    <t>$/units/23/range</t>
  </si>
  <si>
    <t>$/units/23/move_speed</t>
  </si>
  <si>
    <t>$/units/23/crit</t>
  </si>
  <si>
    <t>$/units/23/crit_dmg</t>
  </si>
  <si>
    <t>$/units/23/skill_id</t>
  </si>
  <si>
    <t>"unique_death_execute"</t>
  </si>
  <si>
    <t>$/units/23/death_threshold</t>
  </si>
  <si>
    <t>$/units/23/tier1_or_merc_chance</t>
  </si>
  <si>
    <t>$/units/23/tier2_chance</t>
  </si>
  <si>
    <t>$/units/23/tier3_chance</t>
  </si>
  <si>
    <t>$/units/23/boss_max_hp_damage</t>
  </si>
  <si>
    <t>$/units/23/unique_on_board</t>
  </si>
  <si>
    <t>$/units/23/model</t>
  </si>
  <si>
    <t>"res://assets/models/units/undead_refined/undead_mother/undead_mother_refined.tscn"</t>
  </si>
  <si>
    <t>$/units/23/model_visual_scale</t>
  </si>
  <si>
    <t>$/units/23/model_base_yaw</t>
  </si>
  <si>
    <t>$/units/23/name_en</t>
  </si>
  <si>
    <t>"Matron"</t>
  </si>
  <si>
    <t>$/units/24</t>
  </si>
  <si>
    <t>$/units/24/id</t>
  </si>
  <si>
    <t>"human_militia"</t>
  </si>
  <si>
    <t>$/units/24/model_in_place_actions</t>
  </si>
  <si>
    <t>$/units/24/model_in_place_actions/0</t>
  </si>
  <si>
    <t>$/units/24/star4</t>
  </si>
  <si>
    <t>$/units/24/star4/stun_sec</t>
  </si>
  <si>
    <t>$/units/24/star4/interrupt_chance</t>
  </si>
  <si>
    <t>$/units/24/name</t>
  </si>
  <si>
    <t>"民兵"</t>
  </si>
  <si>
    <t>$/units/24/race</t>
  </si>
  <si>
    <t>"human"</t>
  </si>
  <si>
    <t>$/units/24/element</t>
  </si>
  <si>
    <t>$/units/24/tier</t>
  </si>
  <si>
    <t>$/units/24/cost</t>
  </si>
  <si>
    <t>$/units/24/hp</t>
  </si>
  <si>
    <t>$/units/24/atk</t>
  </si>
  <si>
    <t>35</t>
  </si>
  <si>
    <t>$/units/24/def</t>
  </si>
  <si>
    <t>$/units/24/attack_speed</t>
  </si>
  <si>
    <t>$/units/24/range</t>
  </si>
  <si>
    <t>$/units/24/move_speed</t>
  </si>
  <si>
    <t>$/units/24/crit</t>
  </si>
  <si>
    <t>$/units/24/crit_dmg</t>
  </si>
  <si>
    <t>$/units/24/skill_id</t>
  </si>
  <si>
    <t>"attack_interrupt"</t>
  </si>
  <si>
    <t>$/units/24/interrupt_chance</t>
  </si>
  <si>
    <t>$/units/24/model</t>
  </si>
  <si>
    <t>"res://assets/models/units/human_militia_little_knight/human_militia_animated.tscn"</t>
  </si>
  <si>
    <t>$/units/24/model_idle_animation_name</t>
  </si>
  <si>
    <t>$/units/24/model_attack_animation_name</t>
  </si>
  <si>
    <t>$/units/24/model_attack_sync_seek</t>
  </si>
  <si>
    <t>$/units/24/model_attack_lock_time</t>
  </si>
  <si>
    <t>$/units/24/model_run_animation_name</t>
  </si>
  <si>
    <t>$/units/24/model_visual_scale</t>
  </si>
  <si>
    <t>$/units/24/model_base_yaw</t>
  </si>
  <si>
    <t>$/units/24/name_en</t>
  </si>
  <si>
    <t>"Militia"</t>
  </si>
  <si>
    <t>$/units/25</t>
  </si>
  <si>
    <t>$/units/25/id</t>
  </si>
  <si>
    <t>"human_merchant"</t>
  </si>
  <si>
    <t>$/units/25/model_in_place_actions</t>
  </si>
  <si>
    <t>$/units/25/model_in_place_actions/0</t>
  </si>
  <si>
    <t>$/units/25/model_in_place_actions/1</t>
  </si>
  <si>
    <t>$/units/25/name</t>
  </si>
  <si>
    <t>"商人"</t>
  </si>
  <si>
    <t>$/units/25/race</t>
  </si>
  <si>
    <t>$/units/25/element</t>
  </si>
  <si>
    <t>$/units/25/tier</t>
  </si>
  <si>
    <t>$/units/25/cost</t>
  </si>
  <si>
    <t>$/units/25/hp</t>
  </si>
  <si>
    <t>560</t>
  </si>
  <si>
    <t>$/units/25/atk</t>
  </si>
  <si>
    <t>29</t>
  </si>
  <si>
    <t>$/units/25/def</t>
  </si>
  <si>
    <t>$/units/25/attack_speed</t>
  </si>
  <si>
    <t>$/units/25/range</t>
  </si>
  <si>
    <t>$/units/25/move_speed</t>
  </si>
  <si>
    <t>$/units/25/crit</t>
  </si>
  <si>
    <t>$/units/25/crit_dmg</t>
  </si>
  <si>
    <t>$/units/25/skill_id</t>
  </si>
  <si>
    <t>"post_battle_gold_by_star"</t>
  </si>
  <si>
    <t>$/units/25/model</t>
  </si>
  <si>
    <t>"res://assets/models/units/human_merchant_green_cloak/human_merchant_animated.tscn"</t>
  </si>
  <si>
    <t>$/units/25/model_idle_animation_name</t>
  </si>
  <si>
    <t>$/units/25/model_attack_animation_name</t>
  </si>
  <si>
    <t>$/units/25/model_attack_sync_seek</t>
  </si>
  <si>
    <t>$/units/25/model_attack_lock_time</t>
  </si>
  <si>
    <t>$/units/25/model_run_animation_name</t>
  </si>
  <si>
    <t>$/units/25/model_visual_scale</t>
  </si>
  <si>
    <t>$/units/25/model_base_yaw</t>
  </si>
  <si>
    <t>$/units/25/name_en</t>
  </si>
  <si>
    <t>"Merchant"</t>
  </si>
  <si>
    <t>$/units/26</t>
  </si>
  <si>
    <t>$/units/26/id</t>
  </si>
  <si>
    <t>"human_archer"</t>
  </si>
  <si>
    <t>$/units/26/star4</t>
  </si>
  <si>
    <t>$/units/26/star4/every</t>
  </si>
  <si>
    <t>$/units/26/star4/combo_atk_pct</t>
  </si>
  <si>
    <t>$/units/26/name</t>
  </si>
  <si>
    <t>"弓箭手"</t>
  </si>
  <si>
    <t>$/units/26/race</t>
  </si>
  <si>
    <t>$/units/26/element</t>
  </si>
  <si>
    <t>$/units/26/tier</t>
  </si>
  <si>
    <t>$/units/26/cost</t>
  </si>
  <si>
    <t>$/units/26/hp</t>
  </si>
  <si>
    <t>$/units/26/atk</t>
  </si>
  <si>
    <t>70</t>
  </si>
  <si>
    <t>$/units/26/def</t>
  </si>
  <si>
    <t>$/units/26/attack_speed</t>
  </si>
  <si>
    <t>$/units/26/range</t>
  </si>
  <si>
    <t>$/units/26/move_speed</t>
  </si>
  <si>
    <t>$/units/26/crit</t>
  </si>
  <si>
    <t>$/units/26/crit_dmg</t>
  </si>
  <si>
    <t>$/units/26/skill_id</t>
  </si>
  <si>
    <t>"every_fourth_combo"</t>
  </si>
  <si>
    <t>$/units/26/every</t>
  </si>
  <si>
    <t>$/units/26/combo_atk_pct</t>
  </si>
  <si>
    <t>$/units/26/model</t>
  </si>
  <si>
    <t>"res://assets/models/units/human_archer_animated/human_archer_animated.tscn"</t>
  </si>
  <si>
    <t>$/units/26/model_visual_scale</t>
  </si>
  <si>
    <t>$/units/26/model_base_yaw</t>
  </si>
  <si>
    <t>$/units/26/name_en</t>
  </si>
  <si>
    <t>"Archer"</t>
  </si>
  <si>
    <t>$/units/27</t>
  </si>
  <si>
    <t>$/units/27/id</t>
  </si>
  <si>
    <t>"human_swordsman"</t>
  </si>
  <si>
    <t>$/units/27/model_in_place_actions</t>
  </si>
  <si>
    <t>$/units/27/model_in_place_actions/0</t>
  </si>
  <si>
    <t>$/units/27/star4</t>
  </si>
  <si>
    <t>$/units/27/star4/damage_atk_pct</t>
  </si>
  <si>
    <t>$/units/27/star4/stun_sec</t>
  </si>
  <si>
    <t>$/units/27/name</t>
  </si>
  <si>
    <t>"剑士"</t>
  </si>
  <si>
    <t>$/units/27/race</t>
  </si>
  <si>
    <t>$/units/27/element</t>
  </si>
  <si>
    <t>$/units/27/tier</t>
  </si>
  <si>
    <t>$/units/27/cost</t>
  </si>
  <si>
    <t>$/units/27/hp</t>
  </si>
  <si>
    <t>1120</t>
  </si>
  <si>
    <t>$/units/27/atk</t>
  </si>
  <si>
    <t>$/units/27/def</t>
  </si>
  <si>
    <t>$/units/27/attack_speed</t>
  </si>
  <si>
    <t>$/units/27/range</t>
  </si>
  <si>
    <t>$/units/27/move_speed</t>
  </si>
  <si>
    <t>$/units/27/crit</t>
  </si>
  <si>
    <t>$/units/27/crit_dmg</t>
  </si>
  <si>
    <t>$/units/27/skill_id</t>
  </si>
  <si>
    <t>"front_cone_stun"</t>
  </si>
  <si>
    <t>$/units/27/damage_atk_pct</t>
  </si>
  <si>
    <t>$/units/27/stun_sec</t>
  </si>
  <si>
    <t>$/units/27/model</t>
  </si>
  <si>
    <t>"res://assets/models/units/human_swordsman_animated/human_swordsman_animated.tscn"</t>
  </si>
  <si>
    <t>$/units/27/model_visual_scale</t>
  </si>
  <si>
    <t>$/units/27/model_base_yaw</t>
  </si>
  <si>
    <t>$/units/27/name_en</t>
  </si>
  <si>
    <t>"Swordsman"</t>
  </si>
  <si>
    <t>$/units/28</t>
  </si>
  <si>
    <t>$/units/28/id</t>
  </si>
  <si>
    <t>"human_mage"</t>
  </si>
  <si>
    <t>$/units/28/star4</t>
  </si>
  <si>
    <t>$/units/28/star4/double_element_chance</t>
  </si>
  <si>
    <t>$/units/28/star4/damage_atk_pct</t>
  </si>
  <si>
    <t>$/units/28/star4/skill_cd</t>
  </si>
  <si>
    <t>$/units/28/name</t>
  </si>
  <si>
    <t>"法师"</t>
  </si>
  <si>
    <t>$/units/28/race</t>
  </si>
  <si>
    <t>$/units/28/element</t>
  </si>
  <si>
    <t>$/units/28/tier</t>
  </si>
  <si>
    <t>$/units/28/cost</t>
  </si>
  <si>
    <t>$/units/28/hp</t>
  </si>
  <si>
    <t>$/units/28/atk</t>
  </si>
  <si>
    <t>72</t>
  </si>
  <si>
    <t>$/units/28/def</t>
  </si>
  <si>
    <t>$/units/28/attack_speed</t>
  </si>
  <si>
    <t>$/units/28/range</t>
  </si>
  <si>
    <t>$/units/28/move_speed</t>
  </si>
  <si>
    <t>$/units/28/crit</t>
  </si>
  <si>
    <t>$/units/28/crit_dmg</t>
  </si>
  <si>
    <t>$/units/28/skill_id</t>
  </si>
  <si>
    <t>"random_attribute_bolt"</t>
  </si>
  <si>
    <t>$/units/28/no_basic_attack</t>
  </si>
  <si>
    <t>$/units/28/model</t>
  </si>
  <si>
    <t>"res://assets/models/units/human_mage_animated/human_mage_animated.tscn"</t>
  </si>
  <si>
    <t>$/units/28/model_visual_scale</t>
  </si>
  <si>
    <t>$/units/28/model_base_yaw</t>
  </si>
  <si>
    <t>$/units/28/skill_cd</t>
  </si>
  <si>
    <t>$/units/28/damage_atk_pct</t>
  </si>
  <si>
    <t>$/units/28/name_en</t>
  </si>
  <si>
    <t>"Mage"</t>
  </si>
  <si>
    <t>$/units/29</t>
  </si>
  <si>
    <t>$/units/29/id</t>
  </si>
  <si>
    <t>"human_cleric"</t>
  </si>
  <si>
    <t>$/units/29/star4</t>
  </si>
  <si>
    <t>$/units/29/star4/heal_pct</t>
  </si>
  <si>
    <t>$/units/29/star4/every</t>
  </si>
  <si>
    <t>$/units/29/name</t>
  </si>
  <si>
    <t>"牧师"</t>
  </si>
  <si>
    <t>$/units/29/race</t>
  </si>
  <si>
    <t>$/units/29/element</t>
  </si>
  <si>
    <t>$/units/29/tier</t>
  </si>
  <si>
    <t>$/units/29/cost</t>
  </si>
  <si>
    <t>$/units/29/hp</t>
  </si>
  <si>
    <t>1200</t>
  </si>
  <si>
    <t>$/units/29/atk</t>
  </si>
  <si>
    <t>$/units/29/def</t>
  </si>
  <si>
    <t>$/units/29/attack_speed</t>
  </si>
  <si>
    <t>$/units/29/range</t>
  </si>
  <si>
    <t>$/units/29/move_speed</t>
  </si>
  <si>
    <t>$/units/29/crit</t>
  </si>
  <si>
    <t>$/units/29/crit_dmg</t>
  </si>
  <si>
    <t>$/units/29/skill_id</t>
  </si>
  <si>
    <t>"every_fifth_group_heal"</t>
  </si>
  <si>
    <t>$/units/29/every</t>
  </si>
  <si>
    <t>$/units/29/heal_pct</t>
  </si>
  <si>
    <t>$/units/29/model</t>
  </si>
  <si>
    <t>"res://assets/models/units/human_cleric_animated/human_cleric_animated.tscn"</t>
  </si>
  <si>
    <t>$/units/29/model_visual_scale</t>
  </si>
  <si>
    <t>$/units/29/model_base_yaw</t>
  </si>
  <si>
    <t>$/units/29/name_en</t>
  </si>
  <si>
    <t>"Cleric"</t>
  </si>
  <si>
    <t>$/units/30</t>
  </si>
  <si>
    <t>$/units/30/id</t>
  </si>
  <si>
    <t>"human_death_servant"</t>
  </si>
  <si>
    <t>$/units/30/model_in_place_actions</t>
  </si>
  <si>
    <t>$/units/30/model_in_place_actions/0</t>
  </si>
  <si>
    <t>$/units/30/model_in_place_actions/1</t>
  </si>
  <si>
    <t>$/units/30/model_in_place_actions/2</t>
  </si>
  <si>
    <t>$/units/30/star4</t>
  </si>
  <si>
    <t>$/units/30/star4/ally_def_pct</t>
  </si>
  <si>
    <t>$/units/30/star4/ally_def_duration</t>
  </si>
  <si>
    <t>$/units/30/name</t>
  </si>
  <si>
    <t>"死侍"</t>
  </si>
  <si>
    <t>$/units/30/race</t>
  </si>
  <si>
    <t>$/units/30/element</t>
  </si>
  <si>
    <t>$/units/30/tier</t>
  </si>
  <si>
    <t>$/units/30/cost</t>
  </si>
  <si>
    <t>$/units/30/hp</t>
  </si>
  <si>
    <t>$/units/30/atk</t>
  </si>
  <si>
    <t>$/units/30/def</t>
  </si>
  <si>
    <t>$/units/30/attack_speed</t>
  </si>
  <si>
    <t>0.0</t>
  </si>
  <si>
    <t>$/units/30/range</t>
  </si>
  <si>
    <t>$/units/30/move_speed</t>
  </si>
  <si>
    <t>$/units/30/crit</t>
  </si>
  <si>
    <t>$/units/30/crit_dmg</t>
  </si>
  <si>
    <t>$/units/30/skill_id</t>
  </si>
  <si>
    <t>"left_neighbor_sacrifice"</t>
  </si>
  <si>
    <t>$/units/30/model</t>
  </si>
  <si>
    <t>"res://assets/models/units/human_death_servant_animated/human_death_servant_animated.tscn"</t>
  </si>
  <si>
    <t>$/units/30/model_visual_scale</t>
  </si>
  <si>
    <t>$/units/30/model_base_yaw</t>
  </si>
  <si>
    <t>$/units/30/ally_def_bonus</t>
  </si>
  <si>
    <t>$/units/30/ally_def_duration</t>
  </si>
  <si>
    <t>$/units/30/name_en</t>
  </si>
  <si>
    <t>"Deathbound"</t>
  </si>
  <si>
    <t>$/units/31</t>
  </si>
  <si>
    <t>$/units/31/id</t>
  </si>
  <si>
    <t>"human_king"</t>
  </si>
  <si>
    <t>$/units/31/max_stacks</t>
  </si>
  <si>
    <t>$/units/31/star4</t>
  </si>
  <si>
    <t>$/units/31/star4/max_stacks</t>
  </si>
  <si>
    <t>$/units/31/star4/post_battle_all_stat_growth</t>
  </si>
  <si>
    <t>$/units/31/name</t>
  </si>
  <si>
    <t>"人王"</t>
  </si>
  <si>
    <t>$/units/31/race</t>
  </si>
  <si>
    <t>$/units/31/element</t>
  </si>
  <si>
    <t>$/units/31/tier</t>
  </si>
  <si>
    <t>$/units/31/cost</t>
  </si>
  <si>
    <t>$/units/31/hp</t>
  </si>
  <si>
    <t>$/units/31/atk</t>
  </si>
  <si>
    <t>$/units/31/def</t>
  </si>
  <si>
    <t>$/units/31/attack_speed</t>
  </si>
  <si>
    <t>$/units/31/range</t>
  </si>
  <si>
    <t>$/units/31/move_speed</t>
  </si>
  <si>
    <t>$/units/31/crit</t>
  </si>
  <si>
    <t>0.07</t>
  </si>
  <si>
    <t>$/units/31/crit_dmg</t>
  </si>
  <si>
    <t>$/units/31/skill_id</t>
  </si>
  <si>
    <t>"unique_king_growth"</t>
  </si>
  <si>
    <t>$/units/31/post_battle_all_stat_growth</t>
  </si>
  <si>
    <t>$/units/31/unique_on_board</t>
  </si>
  <si>
    <t>$/units/31/remove_on_death</t>
  </si>
  <si>
    <t>$/units/31/model</t>
  </si>
  <si>
    <t>"res://assets/models/units/human_king_animated/human_king_animated.tscn"</t>
  </si>
  <si>
    <t>$/units/31/model_visual_scale</t>
  </si>
  <si>
    <t>$/units/31/model_base_yaw</t>
  </si>
  <si>
    <t>$/units/31/model_idle_animation_name</t>
  </si>
  <si>
    <t>$/units/31/model_attack_animation_name</t>
  </si>
  <si>
    <t>$/units/31/model_attack_sync_seek</t>
  </si>
  <si>
    <t>$/units/31/model_attack_lock_time</t>
  </si>
  <si>
    <t>$/units/31/model_run_animation_name</t>
  </si>
  <si>
    <t>$/units/31/name_en</t>
  </si>
  <si>
    <t>"Human King"</t>
  </si>
  <si>
    <t>$/units/32</t>
  </si>
  <si>
    <t>$/units/32/id</t>
  </si>
  <si>
    <t>"crimson"</t>
  </si>
  <si>
    <t>$/units/32/name</t>
  </si>
  <si>
    <t>"赤卫"</t>
  </si>
  <si>
    <t>$/units/32/name_en</t>
  </si>
  <si>
    <t>"Crimson Guard"</t>
  </si>
  <si>
    <t>$/units/32/race</t>
  </si>
  <si>
    <t>$/units/32/model</t>
  </si>
  <si>
    <t>"res://assets/models/units/crimson_refined/crimson/crimson_refined.tscn"</t>
  </si>
  <si>
    <t>$/units/32/model_visual_scale</t>
  </si>
  <si>
    <t>1.09</t>
  </si>
  <si>
    <t>$/units/32/model_idle_animation_name</t>
  </si>
  <si>
    <t>$/units/32/model_attack_animation_name</t>
  </si>
  <si>
    <t>$/units/32/model_run_animation_name</t>
  </si>
  <si>
    <t>$/units/32/element</t>
  </si>
  <si>
    <t>$/units/32/tier</t>
  </si>
  <si>
    <t>$/units/32/cost</t>
  </si>
  <si>
    <t>$/units/32/hp</t>
  </si>
  <si>
    <t>650</t>
  </si>
  <si>
    <t>$/units/32/atk</t>
  </si>
  <si>
    <t>$/units/32/def</t>
  </si>
  <si>
    <t>$/units/32/attack_speed</t>
  </si>
  <si>
    <t>$/units/32/range</t>
  </si>
  <si>
    <t>$/units/32/move_speed</t>
  </si>
  <si>
    <t>$/units/32/crit</t>
  </si>
  <si>
    <t>$/units/32/crit_dmg</t>
  </si>
  <si>
    <t>$/units/32/skill_id</t>
  </si>
  <si>
    <t>"block_guard"</t>
  </si>
  <si>
    <t>$/units/32/block_chance</t>
  </si>
  <si>
    <t>$/units/32/star4</t>
  </si>
  <si>
    <t>$/units/32/star4/block_chance</t>
  </si>
  <si>
    <t>$/units/33</t>
  </si>
  <si>
    <t>$/units/33/id</t>
  </si>
  <si>
    <t>"dancer"</t>
  </si>
  <si>
    <t>$/units/33/name</t>
  </si>
  <si>
    <t>"赤舞者"</t>
  </si>
  <si>
    <t>$/units/33/name_en</t>
  </si>
  <si>
    <t>"Dancer"</t>
  </si>
  <si>
    <t>$/units/33/race</t>
  </si>
  <si>
    <t>$/units/33/model</t>
  </si>
  <si>
    <t>"res://assets/models/units/crimson_refined/dancer/dancer_refined.tscn"</t>
  </si>
  <si>
    <t>$/units/33/model_visual_scale</t>
  </si>
  <si>
    <t>1.17</t>
  </si>
  <si>
    <t>$/units/33/model_idle_animation_name</t>
  </si>
  <si>
    <t>$/units/33/model_attack_animation_name</t>
  </si>
  <si>
    <t>$/units/33/model_run_animation_name</t>
  </si>
  <si>
    <t>$/units/33/element</t>
  </si>
  <si>
    <t>$/units/33/tier</t>
  </si>
  <si>
    <t>$/units/33/cost</t>
  </si>
  <si>
    <t>$/units/33/hp</t>
  </si>
  <si>
    <t>540</t>
  </si>
  <si>
    <t>$/units/33/atk</t>
  </si>
  <si>
    <t>28</t>
  </si>
  <si>
    <t>$/units/33/def</t>
  </si>
  <si>
    <t>$/units/33/attack_speed</t>
  </si>
  <si>
    <t>$/units/33/range</t>
  </si>
  <si>
    <t>$/units/33/move_speed</t>
  </si>
  <si>
    <t>$/units/33/crit</t>
  </si>
  <si>
    <t>$/units/33/crit_dmg</t>
  </si>
  <si>
    <t>$/units/33/skill_id</t>
  </si>
  <si>
    <t>"random_ally_buff"</t>
  </si>
  <si>
    <t>$/units/33/skill_cd</t>
  </si>
  <si>
    <t>$/units/33/buff_duration</t>
  </si>
  <si>
    <t>$/units/33/buff_pct</t>
  </si>
  <si>
    <t>$/units/33/ally_count</t>
  </si>
  <si>
    <t>$/units/33/star4</t>
  </si>
  <si>
    <t>$/units/33/star4/ally_count</t>
  </si>
  <si>
    <t>$/units/34</t>
  </si>
  <si>
    <t>$/units/34/id</t>
  </si>
  <si>
    <t>"drumer"</t>
  </si>
  <si>
    <t>$/units/34/name</t>
  </si>
  <si>
    <t>"战鼓使"</t>
  </si>
  <si>
    <t>$/units/34/name_en</t>
  </si>
  <si>
    <t>"Drummer"</t>
  </si>
  <si>
    <t>$/units/34/race</t>
  </si>
  <si>
    <t>$/units/34/model</t>
  </si>
  <si>
    <t>"res://assets/models/units/crimson_refined/drumer/drumer_refined.tscn"</t>
  </si>
  <si>
    <t>$/units/34/model_visual_scale</t>
  </si>
  <si>
    <t>1.19</t>
  </si>
  <si>
    <t>$/units/34/model_idle_animation_name</t>
  </si>
  <si>
    <t>$/units/34/model_attack_animation_name</t>
  </si>
  <si>
    <t>$/units/34/model_run_animation_name</t>
  </si>
  <si>
    <t>$/units/34/element</t>
  </si>
  <si>
    <t>$/units/34/tier</t>
  </si>
  <si>
    <t>$/units/34/cost</t>
  </si>
  <si>
    <t>$/units/34/hp</t>
  </si>
  <si>
    <t>980</t>
  </si>
  <si>
    <t>$/units/34/atk</t>
  </si>
  <si>
    <t>52</t>
  </si>
  <si>
    <t>$/units/34/def</t>
  </si>
  <si>
    <t>$/units/34/attack_speed</t>
  </si>
  <si>
    <t>$/units/34/range</t>
  </si>
  <si>
    <t>$/units/34/move_speed</t>
  </si>
  <si>
    <t>$/units/34/crit</t>
  </si>
  <si>
    <t>$/units/34/crit_dmg</t>
  </si>
  <si>
    <t>$/units/34/skill_id</t>
  </si>
  <si>
    <t>"team_random_stack"</t>
  </si>
  <si>
    <t>$/units/34/stack_pct</t>
  </si>
  <si>
    <t>$/units/34/stack_duration</t>
  </si>
  <si>
    <t>$/units/34/max_stacks</t>
  </si>
  <si>
    <t>$/units/34/heal_pct</t>
  </si>
  <si>
    <t>$/units/34/star4</t>
  </si>
  <si>
    <t>$/units/34/star4/stack_pct</t>
  </si>
  <si>
    <t>$/units/35</t>
  </si>
  <si>
    <t>$/units/35/id</t>
  </si>
  <si>
    <t>"hunter"</t>
  </si>
  <si>
    <t>$/units/35/name</t>
  </si>
  <si>
    <t>"血猎者"</t>
  </si>
  <si>
    <t>$/units/35/name_en</t>
  </si>
  <si>
    <t>"Hunter"</t>
  </si>
  <si>
    <t>$/units/35/race</t>
  </si>
  <si>
    <t>$/units/35/model</t>
  </si>
  <si>
    <t>"res://assets/models/units/crimson_refined/hunter/hunter_refined.tscn"</t>
  </si>
  <si>
    <t>$/units/35/model_visual_scale</t>
  </si>
  <si>
    <t>$/units/35/model_idle_animation_name</t>
  </si>
  <si>
    <t>$/units/35/model_attack_animation_name</t>
  </si>
  <si>
    <t>$/units/35/model_run_animation_name</t>
  </si>
  <si>
    <t>$/units/35/element</t>
  </si>
  <si>
    <t>$/units/35/tier</t>
  </si>
  <si>
    <t>$/units/35/cost</t>
  </si>
  <si>
    <t>$/units/35/hp</t>
  </si>
  <si>
    <t>$/units/35/atk</t>
  </si>
  <si>
    <t>56</t>
  </si>
  <si>
    <t>$/units/35/def</t>
  </si>
  <si>
    <t>$/units/35/attack_speed</t>
  </si>
  <si>
    <t>$/units/35/range</t>
  </si>
  <si>
    <t>$/units/35/move_speed</t>
  </si>
  <si>
    <t>$/units/35/crit</t>
  </si>
  <si>
    <t>$/units/35/crit_dmg</t>
  </si>
  <si>
    <t>$/units/35/skill_id</t>
  </si>
  <si>
    <t>"current_hp_strike"</t>
  </si>
  <si>
    <t>$/units/35/current_hp_pct</t>
  </si>
  <si>
    <t>$/units/35/boss_hp_pct</t>
  </si>
  <si>
    <t>$/units/35/star4</t>
  </si>
  <si>
    <t>$/units/35/star4/execute_threshold</t>
  </si>
  <si>
    <t>$/units/35/star4/execute_atk_pct</t>
  </si>
  <si>
    <t>$/units/36</t>
  </si>
  <si>
    <t>$/units/36/id</t>
  </si>
  <si>
    <t>"armbreaker"</t>
  </si>
  <si>
    <t>$/units/36/name</t>
  </si>
  <si>
    <t>"破甲者"</t>
  </si>
  <si>
    <t>$/units/36/name_en</t>
  </si>
  <si>
    <t>"Armbreaker"</t>
  </si>
  <si>
    <t>$/units/36/race</t>
  </si>
  <si>
    <t>$/units/36/model</t>
  </si>
  <si>
    <t>"res://assets/models/units/crimson_refined/armbreaker/armbreaker_refined.tscn"</t>
  </si>
  <si>
    <t>$/units/36/model_visual_scale</t>
  </si>
  <si>
    <t>1.14</t>
  </si>
  <si>
    <t>$/units/36/model_idle_animation_name</t>
  </si>
  <si>
    <t>$/units/36/model_attack_animation_name</t>
  </si>
  <si>
    <t>$/units/36/model_run_animation_name</t>
  </si>
  <si>
    <t>$/units/36/element</t>
  </si>
  <si>
    <t>$/units/36/tier</t>
  </si>
  <si>
    <t>$/units/36/cost</t>
  </si>
  <si>
    <t>$/units/36/hp</t>
  </si>
  <si>
    <t>1180</t>
  </si>
  <si>
    <t>$/units/36/atk</t>
  </si>
  <si>
    <t>54</t>
  </si>
  <si>
    <t>$/units/36/def</t>
  </si>
  <si>
    <t>$/units/36/attack_speed</t>
  </si>
  <si>
    <t>$/units/36/range</t>
  </si>
  <si>
    <t>$/units/36/move_speed</t>
  </si>
  <si>
    <t>$/units/36/crit</t>
  </si>
  <si>
    <t>$/units/36/crit_dmg</t>
  </si>
  <si>
    <t>$/units/36/skill_id</t>
  </si>
  <si>
    <t>"stacking_def_break"</t>
  </si>
  <si>
    <t>$/units/36/break_chance</t>
  </si>
  <si>
    <t>$/units/36/break_amount</t>
  </si>
  <si>
    <t>$/units/36/star4</t>
  </si>
  <si>
    <t>$/units/36/star4/break_amount</t>
  </si>
  <si>
    <t>$/units/37</t>
  </si>
  <si>
    <t>$/units/37/id</t>
  </si>
  <si>
    <t>"Icey"</t>
  </si>
  <si>
    <t>$/units/37/name</t>
  </si>
  <si>
    <t>"霜印使"</t>
  </si>
  <si>
    <t>$/units/37/name_en</t>
  </si>
  <si>
    <t>$/units/37/race</t>
  </si>
  <si>
    <t>$/units/37/model</t>
  </si>
  <si>
    <t>"res://assets/models/units/crimson_refined/Icey/Icey_refined.tscn"</t>
  </si>
  <si>
    <t>$/units/37/model_visual_scale</t>
  </si>
  <si>
    <t>1.21</t>
  </si>
  <si>
    <t>$/units/37/model_idle_animation_name</t>
  </si>
  <si>
    <t>$/units/37/model_attack_animation_name</t>
  </si>
  <si>
    <t>$/units/37/model_run_animation_name</t>
  </si>
  <si>
    <t>$/units/37/element</t>
  </si>
  <si>
    <t>$/units/37/tier</t>
  </si>
  <si>
    <t>$/units/37/cost</t>
  </si>
  <si>
    <t>$/units/37/hp</t>
  </si>
  <si>
    <t>$/units/37/atk</t>
  </si>
  <si>
    <t>$/units/37/def</t>
  </si>
  <si>
    <t>$/units/37/attack_speed</t>
  </si>
  <si>
    <t>$/units/37/range</t>
  </si>
  <si>
    <t>$/units/37/move_speed</t>
  </si>
  <si>
    <t>$/units/37/crit</t>
  </si>
  <si>
    <t>$/units/37/crit_dmg</t>
  </si>
  <si>
    <t>$/units/37/skill_id</t>
  </si>
  <si>
    <t>"frost_status"</t>
  </si>
  <si>
    <t>$/units/37/skill_cd</t>
  </si>
  <si>
    <t>$/units/37/damage_atk_pct</t>
  </si>
  <si>
    <t>$/units/37/ice_duration</t>
  </si>
  <si>
    <t>$/units/37/ice_vulnerable_pct</t>
  </si>
  <si>
    <t>$/units/37/aoe_radius</t>
  </si>
  <si>
    <t>144.0</t>
  </si>
  <si>
    <t>$/units/37/star4</t>
  </si>
  <si>
    <t>$/units/37/star4/damage_atk_pct</t>
  </si>
  <si>
    <t>$/units/37/star4/ice_duration</t>
  </si>
  <si>
    <t>$/units/38</t>
  </si>
  <si>
    <t>$/units/38/id</t>
  </si>
  <si>
    <t>"skypierce"</t>
  </si>
  <si>
    <t>$/units/38/name</t>
  </si>
  <si>
    <t>"穿云弩手"</t>
  </si>
  <si>
    <t>$/units/38/name_en</t>
  </si>
  <si>
    <t>"Skypierce"</t>
  </si>
  <si>
    <t>$/units/38/race</t>
  </si>
  <si>
    <t>$/units/38/model</t>
  </si>
  <si>
    <t>"res://assets/models/units/crimson_refined/skypierce/skypierce_refined.tscn"</t>
  </si>
  <si>
    <t>$/units/38/model_visual_scale</t>
  </si>
  <si>
    <t>$/units/38/model_idle_animation_name</t>
  </si>
  <si>
    <t>$/units/38/model_attack_animation_name</t>
  </si>
  <si>
    <t>$/units/38/model_run_animation_name</t>
  </si>
  <si>
    <t>$/units/38/element</t>
  </si>
  <si>
    <t>$/units/38/tier</t>
  </si>
  <si>
    <t>$/units/38/cost</t>
  </si>
  <si>
    <t>$/units/38/hp</t>
  </si>
  <si>
    <t>$/units/38/atk</t>
  </si>
  <si>
    <t>104</t>
  </si>
  <si>
    <t>$/units/38/def</t>
  </si>
  <si>
    <t>$/units/38/attack_speed</t>
  </si>
  <si>
    <t>0.86</t>
  </si>
  <si>
    <t>$/units/38/range</t>
  </si>
  <si>
    <t>$/units/38/move_speed</t>
  </si>
  <si>
    <t>$/units/38/crit</t>
  </si>
  <si>
    <t>$/units/38/crit_dmg</t>
  </si>
  <si>
    <t>$/units/38/skill_id</t>
  </si>
  <si>
    <t>"line_pierce"</t>
  </si>
  <si>
    <t>$/units/38/pierce_falloff</t>
  </si>
  <si>
    <t>$/units/38/pierce_targets</t>
  </si>
  <si>
    <t>$/units/38/star4</t>
  </si>
  <si>
    <t>$/units/38/star4/pierce_falloff</t>
  </si>
  <si>
    <t>$/units/39</t>
  </si>
  <si>
    <t>$/units/39/id</t>
  </si>
  <si>
    <t>"lattern"</t>
  </si>
  <si>
    <t>$/units/39/name</t>
  </si>
  <si>
    <t>"赤灯使"</t>
  </si>
  <si>
    <t>$/units/39/name_en</t>
  </si>
  <si>
    <t>"Lantern"</t>
  </si>
  <si>
    <t>$/units/39/race</t>
  </si>
  <si>
    <t>$/units/39/model</t>
  </si>
  <si>
    <t>"res://assets/models/units/crimson_refined/lattern/lattern_refined.tscn"</t>
  </si>
  <si>
    <t>$/units/39/model_visual_scale</t>
  </si>
  <si>
    <t>1.18</t>
  </si>
  <si>
    <t>$/units/39/model_idle_animation_name</t>
  </si>
  <si>
    <t>$/units/39/model_attack_animation_name</t>
  </si>
  <si>
    <t>$/units/39/model_run_animation_name</t>
  </si>
  <si>
    <t>$/units/39/element</t>
  </si>
  <si>
    <t>$/units/39/tier</t>
  </si>
  <si>
    <t>$/units/39/cost</t>
  </si>
  <si>
    <t>$/units/39/hp</t>
  </si>
  <si>
    <t>1720</t>
  </si>
  <si>
    <t>$/units/39/atk</t>
  </si>
  <si>
    <t>82</t>
  </si>
  <si>
    <t>$/units/39/def</t>
  </si>
  <si>
    <t>$/units/39/attack_speed</t>
  </si>
  <si>
    <t>$/units/39/range</t>
  </si>
  <si>
    <t>$/units/39/move_speed</t>
  </si>
  <si>
    <t>$/units/39/crit</t>
  </si>
  <si>
    <t>$/units/39/crit_dmg</t>
  </si>
  <si>
    <t>$/units/39/skill_id</t>
  </si>
  <si>
    <t>"aoe_silence"</t>
  </si>
  <si>
    <t>$/units/39/skill_global</t>
  </si>
  <si>
    <t>$/units/39/skill_cd</t>
  </si>
  <si>
    <t>10.0</t>
  </si>
  <si>
    <t>$/units/39/silence_duration</t>
  </si>
  <si>
    <t>$/units/39/unique_on_board</t>
  </si>
  <si>
    <t>$/units/39/star4</t>
  </si>
  <si>
    <t>$/units/39/star4/skill_cd</t>
  </si>
  <si>
    <t>9.0</t>
  </si>
  <si>
    <t>$/units/39/star4/silence_duration</t>
  </si>
  <si>
    <t>data/pve/pve_monsters.json</t>
  </si>
  <si>
    <t>$/pve_rounds</t>
  </si>
  <si>
    <t>$/pve_rounds/0</t>
  </si>
  <si>
    <t>$/pve_rounds/1</t>
  </si>
  <si>
    <t>$/pve_rounds/2</t>
  </si>
  <si>
    <t>$/pve_rounds/3</t>
  </si>
  <si>
    <t>$/pve_rounds/4</t>
  </si>
  <si>
    <t>$/pve_rounds/5</t>
  </si>
  <si>
    <t>11</t>
  </si>
  <si>
    <t>$/pve_rounds/6</t>
  </si>
  <si>
    <t>13</t>
  </si>
  <si>
    <t>$/pve_rounds/7</t>
  </si>
  <si>
    <t>$/pve_rounds/8</t>
  </si>
  <si>
    <t>$/pve_rounds/9</t>
  </si>
  <si>
    <t>17</t>
  </si>
  <si>
    <t>$/pve_rounds/10</t>
  </si>
  <si>
    <t>19</t>
  </si>
  <si>
    <t>$/enemy_count_by_round</t>
  </si>
  <si>
    <t>$/enemy_count_by_round/1</t>
  </si>
  <si>
    <t>$/enemy_count_by_round/2</t>
  </si>
  <si>
    <t>$/enemy_count_by_round/3</t>
  </si>
  <si>
    <t>$/enemy_count_by_round/4</t>
  </si>
  <si>
    <t>$/enemy_count_by_round/6</t>
  </si>
  <si>
    <t>$/enemy_count_by_round/7</t>
  </si>
  <si>
    <t>$/enemy_count_by_round/8</t>
  </si>
  <si>
    <t>$/enemy_count_by_round/9</t>
  </si>
  <si>
    <t>$/enemy_count_by_round/11</t>
  </si>
  <si>
    <t>$/enemy_count_by_round/12</t>
  </si>
  <si>
    <t>$/enemy_count_by_round/13</t>
  </si>
  <si>
    <t>$/enemy_count_by_round/14</t>
  </si>
  <si>
    <t>$/enemy_count_by_round/16</t>
  </si>
  <si>
    <t>$/enemy_count_by_round/17</t>
  </si>
  <si>
    <t>$/enemy_count_by_round/18</t>
  </si>
  <si>
    <t>$/enemy_count_by_round/19</t>
  </si>
  <si>
    <t>$/enemy_count_by_round/20</t>
  </si>
  <si>
    <t>$/growth_per_completed_pve</t>
  </si>
  <si>
    <t>$/growth_per_completed_pve/hp</t>
  </si>
  <si>
    <t>$/growth_per_completed_pve/atk</t>
  </si>
  <si>
    <t>1.08</t>
  </si>
  <si>
    <t>$/growth_per_completed_pve/def</t>
  </si>
  <si>
    <t>$/growth_per_completed_pve/skill_damage</t>
  </si>
  <si>
    <t>$/default_skill_cd</t>
  </si>
  <si>
    <t>$/monsters</t>
  </si>
  <si>
    <t>$/monsters/0</t>
  </si>
  <si>
    <t>$/monsters/0/id</t>
  </si>
  <si>
    <t>"pve_sky_cloud_eagle"</t>
  </si>
  <si>
    <t>$/monsters/0/model_in_place_actions</t>
  </si>
  <si>
    <t>$/monsters/0/model_in_place_actions/0</t>
  </si>
  <si>
    <t>$/monsters/0/name</t>
  </si>
  <si>
    <t>"云羽鹰"</t>
  </si>
  <si>
    <t>$/monsters/0/name_en</t>
  </si>
  <si>
    <t>"Cloudfeather Eagle"</t>
  </si>
  <si>
    <t>$/monsters/0/series</t>
  </si>
  <si>
    <t>$/monsters/0/element</t>
  </si>
  <si>
    <t>$/monsters/0/hp</t>
  </si>
  <si>
    <t>$/monsters/0/atk</t>
  </si>
  <si>
    <t>$/monsters/0/def</t>
  </si>
  <si>
    <t>$/monsters/0/attack_speed</t>
  </si>
  <si>
    <t>1.15</t>
  </si>
  <si>
    <t>$/monsters/0/range</t>
  </si>
  <si>
    <t>$/monsters/0/move_speed</t>
  </si>
  <si>
    <t>$/monsters/0/skill_id</t>
  </si>
  <si>
    <t>"dive_backline"</t>
  </si>
  <si>
    <t>$/monsters/0/skill_cd</t>
  </si>
  <si>
    <t>$/monsters/0/skill_atk_pct</t>
  </si>
  <si>
    <t>$/monsters/0/model</t>
  </si>
  <si>
    <t>"res://assets/models/monsters/sky/pve_sky_cloud_eagle_animated/pve_sky_cloud_eagle_animated.tscn"</t>
  </si>
  <si>
    <t>$/monsters/0/model_visual_scale</t>
  </si>
  <si>
    <t>$/monsters/0/model_base_yaw</t>
  </si>
  <si>
    <t>$/monsters/0/model_idle_animation_name</t>
  </si>
  <si>
    <t>$/monsters/0/model_attack_animation_name</t>
  </si>
  <si>
    <t>$/monsters/0/model_attack_sync_seek</t>
  </si>
  <si>
    <t>$/monsters/0/model_attack_lock_time</t>
  </si>
  <si>
    <t>0.42</t>
  </si>
  <si>
    <t>$/monsters/0/model_run_animation_name</t>
  </si>
  <si>
    <t>$/monsters/1</t>
  </si>
  <si>
    <t>$/monsters/1/id</t>
  </si>
  <si>
    <t>"pve_sky_thunder_spirit"</t>
  </si>
  <si>
    <t>$/monsters/1/model_in_place_actions</t>
  </si>
  <si>
    <t>$/monsters/1/model_in_place_actions/0</t>
  </si>
  <si>
    <t>$/monsters/1/name</t>
  </si>
  <si>
    <t>"雷鸣灵"</t>
  </si>
  <si>
    <t>$/monsters/1/name_en</t>
  </si>
  <si>
    <t>"Thunder Wisp"</t>
  </si>
  <si>
    <t>$/monsters/1/series</t>
  </si>
  <si>
    <t>$/monsters/1/element</t>
  </si>
  <si>
    <t>$/monsters/1/hp</t>
  </si>
  <si>
    <t>$/monsters/1/atk</t>
  </si>
  <si>
    <t>$/monsters/1/def</t>
  </si>
  <si>
    <t>$/monsters/1/attack_speed</t>
  </si>
  <si>
    <t>$/monsters/1/range</t>
  </si>
  <si>
    <t>$/monsters/1/move_speed</t>
  </si>
  <si>
    <t>$/monsters/1/skill_id</t>
  </si>
  <si>
    <t>"chain_lightning"</t>
  </si>
  <si>
    <t>$/monsters/1/skill_cd</t>
  </si>
  <si>
    <t>$/monsters/1/skill_damage</t>
  </si>
  <si>
    <t>85</t>
  </si>
  <si>
    <t>$/monsters/1/skill_bounces</t>
  </si>
  <si>
    <t>$/monsters/1/model</t>
  </si>
  <si>
    <t>"res://assets/models/monsters/sky/pve_sky_thunder_spirit_animated/pve_sky_thunder_spirit_animated.tscn"</t>
  </si>
  <si>
    <t>$/monsters/1/model_visual_scale</t>
  </si>
  <si>
    <t>$/monsters/1/model_base_yaw</t>
  </si>
  <si>
    <t>$/monsters/2</t>
  </si>
  <si>
    <t>$/monsters/2/id</t>
  </si>
  <si>
    <t>"pve_sky_star_butterfly"</t>
  </si>
  <si>
    <t>$/monsters/2/model_in_place_actions</t>
  </si>
  <si>
    <t>$/monsters/2/model_in_place_actions/0</t>
  </si>
  <si>
    <t>$/monsters/2/name</t>
  </si>
  <si>
    <t>"星辉蝶"</t>
  </si>
  <si>
    <t>$/monsters/2/name_en</t>
  </si>
  <si>
    <t>"Starlight Butterfly"</t>
  </si>
  <si>
    <t>$/monsters/2/series</t>
  </si>
  <si>
    <t>$/monsters/2/element</t>
  </si>
  <si>
    <t>$/monsters/2/hp</t>
  </si>
  <si>
    <t>$/monsters/2/atk</t>
  </si>
  <si>
    <t>$/monsters/2/def</t>
  </si>
  <si>
    <t>$/monsters/2/attack_speed</t>
  </si>
  <si>
    <t>$/monsters/2/range</t>
  </si>
  <si>
    <t>$/monsters/2/move_speed</t>
  </si>
  <si>
    <t>$/monsters/2/skill_id</t>
  </si>
  <si>
    <t>"heal_allies"</t>
  </si>
  <si>
    <t>$/monsters/2/skill_cd</t>
  </si>
  <si>
    <t>$/monsters/2/skill_heal_pct</t>
  </si>
  <si>
    <t>$/monsters/2/skill_heal_min</t>
  </si>
  <si>
    <t>80</t>
  </si>
  <si>
    <t>$/monsters/2/model</t>
  </si>
  <si>
    <t>"res://assets/models/monsters/sky/pve_sky_star_butterfly_animated/pve_sky_star_butterfly_animated.tscn"</t>
  </si>
  <si>
    <t>$/monsters/2/model_visual_scale</t>
  </si>
  <si>
    <t>$/monsters/2/model_base_yaw</t>
  </si>
  <si>
    <t>$/monsters/3</t>
  </si>
  <si>
    <t>$/monsters/3/id</t>
  </si>
  <si>
    <t>"pve_sky_dome_guard"</t>
  </si>
  <si>
    <t>$/monsters/3/model_in_place_actions</t>
  </si>
  <si>
    <t>$/monsters/3/model_in_place_actions/0</t>
  </si>
  <si>
    <t>$/monsters/3/name</t>
  </si>
  <si>
    <t>"天穹守卫"</t>
  </si>
  <si>
    <t>$/monsters/3/name_en</t>
  </si>
  <si>
    <t>"Firmament Guard"</t>
  </si>
  <si>
    <t>$/monsters/3/series</t>
  </si>
  <si>
    <t>$/monsters/3/element</t>
  </si>
  <si>
    <t>$/monsters/3/hp</t>
  </si>
  <si>
    <t>$/monsters/3/atk</t>
  </si>
  <si>
    <t>44</t>
  </si>
  <si>
    <t>$/monsters/3/def</t>
  </si>
  <si>
    <t>$/monsters/3/attack_speed</t>
  </si>
  <si>
    <t>$/monsters/3/range</t>
  </si>
  <si>
    <t>$/monsters/3/move_speed</t>
  </si>
  <si>
    <t>$/monsters/3/skill_id</t>
  </si>
  <si>
    <t>"holy_shield_burst"</t>
  </si>
  <si>
    <t>$/monsters/3/skill_shield_pct</t>
  </si>
  <si>
    <t>$/monsters/3/death_aoe_damage</t>
  </si>
  <si>
    <t>$/monsters/3/model</t>
  </si>
  <si>
    <t>"res://assets/models/monsters/sky/pve_sky_dome_guard_animated/pve_sky_dome_guard_animated.tscn"</t>
  </si>
  <si>
    <t>$/monsters/3/model_visual_scale</t>
  </si>
  <si>
    <t>$/monsters/3/model_base_yaw</t>
  </si>
  <si>
    <t>$/monsters/4</t>
  </si>
  <si>
    <t>$/monsters/4/id</t>
  </si>
  <si>
    <t>"pve_sky_wind_falcon"</t>
  </si>
  <si>
    <t>$/monsters/4/model_in_place_actions</t>
  </si>
  <si>
    <t>$/monsters/4/model_in_place_actions/0</t>
  </si>
  <si>
    <t>$/monsters/4/name</t>
  </si>
  <si>
    <t>"风刃隼"</t>
  </si>
  <si>
    <t>$/monsters/4/name_en</t>
  </si>
  <si>
    <t>"Windblade Falcon"</t>
  </si>
  <si>
    <t>$/monsters/4/series</t>
  </si>
  <si>
    <t>$/monsters/4/element</t>
  </si>
  <si>
    <t>$/monsters/4/hp</t>
  </si>
  <si>
    <t>$/monsters/4/atk</t>
  </si>
  <si>
    <t>$/monsters/4/def</t>
  </si>
  <si>
    <t>$/monsters/4/attack_speed</t>
  </si>
  <si>
    <t>$/monsters/4/range</t>
  </si>
  <si>
    <t>$/monsters/4/move_speed</t>
  </si>
  <si>
    <t>$/monsters/4/skill_id</t>
  </si>
  <si>
    <t>"wind_bleed"</t>
  </si>
  <si>
    <t>$/monsters/4/skill_cd</t>
  </si>
  <si>
    <t>$/monsters/4/skill_damage</t>
  </si>
  <si>
    <t>90</t>
  </si>
  <si>
    <t>$/monsters/4/bleed_dps</t>
  </si>
  <si>
    <t>$/monsters/4/bleed_duration</t>
  </si>
  <si>
    <t>$/monsters/4/model</t>
  </si>
  <si>
    <t>"res://assets/models/monsters/sky/pve_sky_wind_falcon_animated/pve_sky_wind_falcon_animated.tscn"</t>
  </si>
  <si>
    <t>$/monsters/4/model_visual_scale</t>
  </si>
  <si>
    <t>$/monsters/4/model_base_yaw</t>
  </si>
  <si>
    <t>$/monsters/5</t>
  </si>
  <si>
    <t>$/monsters/5/id</t>
  </si>
  <si>
    <t>"pve_sky_hymn_spirit"</t>
  </si>
  <si>
    <t>$/monsters/5/model_in_place_actions</t>
  </si>
  <si>
    <t>$/monsters/5/model_in_place_actions/0</t>
  </si>
  <si>
    <t>$/monsters/5/model_in_place_actions/1</t>
  </si>
  <si>
    <t>$/monsters/5/name</t>
  </si>
  <si>
    <t>"圣歌灵"</t>
  </si>
  <si>
    <t>$/monsters/5/name_en</t>
  </si>
  <si>
    <t>"Hymn Wisp"</t>
  </si>
  <si>
    <t>$/monsters/5/series</t>
  </si>
  <si>
    <t>$/monsters/5/element</t>
  </si>
  <si>
    <t>$/monsters/5/hp</t>
  </si>
  <si>
    <t>$/monsters/5/atk</t>
  </si>
  <si>
    <t>$/monsters/5/def</t>
  </si>
  <si>
    <t>$/monsters/5/attack_speed</t>
  </si>
  <si>
    <t>$/monsters/5/range</t>
  </si>
  <si>
    <t>$/monsters/5/move_speed</t>
  </si>
  <si>
    <t>$/monsters/5/skill_id</t>
  </si>
  <si>
    <t>"slow_aura"</t>
  </si>
  <si>
    <t>$/monsters/5/skill_cd</t>
  </si>
  <si>
    <t>$/monsters/5/slow_attack_speed_pct</t>
  </si>
  <si>
    <t>$/monsters/5/duration</t>
  </si>
  <si>
    <t>$/monsters/5/model</t>
  </si>
  <si>
    <t>"res://assets/models/monsters/sky/pve_sky_hymn_spirit_animated/pve_sky_hymn_spirit_animated.tscn"</t>
  </si>
  <si>
    <t>$/monsters/5/model_visual_scale</t>
  </si>
  <si>
    <t>$/monsters/5/model_base_yaw</t>
  </si>
  <si>
    <t>$/monsters/6</t>
  </si>
  <si>
    <t>$/monsters/6/id</t>
  </si>
  <si>
    <t>"pve_land_rock_beast"</t>
  </si>
  <si>
    <t>$/monsters/6/name</t>
  </si>
  <si>
    <t>"岩甲兽"</t>
  </si>
  <si>
    <t>$/monsters/6/name_en</t>
  </si>
  <si>
    <t>"Rockplate Beast"</t>
  </si>
  <si>
    <t>$/monsters/6/series</t>
  </si>
  <si>
    <t>$/monsters/6/element</t>
  </si>
  <si>
    <t>$/monsters/6/hp</t>
  </si>
  <si>
    <t>$/monsters/6/atk</t>
  </si>
  <si>
    <t>$/monsters/6/def</t>
  </si>
  <si>
    <t>$/monsters/6/attack_speed</t>
  </si>
  <si>
    <t>$/monsters/6/range</t>
  </si>
  <si>
    <t>$/monsters/6/move_speed</t>
  </si>
  <si>
    <t>2.9</t>
  </si>
  <si>
    <t>$/monsters/6/skill_id</t>
  </si>
  <si>
    <t>"stun_impact"</t>
  </si>
  <si>
    <t>$/monsters/6/skill_cd</t>
  </si>
  <si>
    <t>$/monsters/6/skill_atk_pct</t>
  </si>
  <si>
    <t>$/monsters/6/stun_sec</t>
  </si>
  <si>
    <t>$/monsters/6/model</t>
  </si>
  <si>
    <t>"res://assets/models/monsters/land/pve_land_rock_beast_animated/pve_land_rock_beast_animated.tscn"</t>
  </si>
  <si>
    <t>$/monsters/6/model_visual_scale</t>
  </si>
  <si>
    <t>$/monsters/6/model_base_yaw</t>
  </si>
  <si>
    <t>$/monsters/7</t>
  </si>
  <si>
    <t>$/monsters/7/id</t>
  </si>
  <si>
    <t>"pve_land_vine_guard"</t>
  </si>
  <si>
    <t>$/monsters/7/name</t>
  </si>
  <si>
    <t>"藤蔓守卫"</t>
  </si>
  <si>
    <t>$/monsters/7/name_en</t>
  </si>
  <si>
    <t>"Vine Guard"</t>
  </si>
  <si>
    <t>$/monsters/7/series</t>
  </si>
  <si>
    <t>$/monsters/7/element</t>
  </si>
  <si>
    <t>$/monsters/7/hp</t>
  </si>
  <si>
    <t>$/monsters/7/atk</t>
  </si>
  <si>
    <t>$/monsters/7/def</t>
  </si>
  <si>
    <t>$/monsters/7/attack_speed</t>
  </si>
  <si>
    <t>$/monsters/7/range</t>
  </si>
  <si>
    <t>$/monsters/7/move_speed</t>
  </si>
  <si>
    <t>$/monsters/7/skill_id</t>
  </si>
  <si>
    <t>"entangle"</t>
  </si>
  <si>
    <t>$/monsters/7/skill_cd</t>
  </si>
  <si>
    <t>$/monsters/7/root_sec</t>
  </si>
  <si>
    <t>$/monsters/7/attack_down_pct</t>
  </si>
  <si>
    <t>$/monsters/7/duration</t>
  </si>
  <si>
    <t>$/monsters/7/model</t>
  </si>
  <si>
    <t>"res://assets/models/monsters/land/pve_land_vine_guard_animated/pve_land_vine_guard_animated.tscn"</t>
  </si>
  <si>
    <t>$/monsters/7/model_visual_scale</t>
  </si>
  <si>
    <t>$/monsters/7/model_base_yaw</t>
  </si>
  <si>
    <t>$/monsters/8</t>
  </si>
  <si>
    <t>$/monsters/8/id</t>
  </si>
  <si>
    <t>"pve_land_vein_worm"</t>
  </si>
  <si>
    <t>$/monsters/8/model_in_place_actions</t>
  </si>
  <si>
    <t>$/monsters/8/model_in_place_actions/0</t>
  </si>
  <si>
    <t>$/monsters/8/name</t>
  </si>
  <si>
    <t>"地脉虫"</t>
  </si>
  <si>
    <t>$/monsters/8/name_en</t>
  </si>
  <si>
    <t>"Leyline Worm"</t>
  </si>
  <si>
    <t>$/monsters/8/series</t>
  </si>
  <si>
    <t>$/monsters/8/element</t>
  </si>
  <si>
    <t>$/monsters/8/hp</t>
  </si>
  <si>
    <t>680</t>
  </si>
  <si>
    <t>$/monsters/8/atk</t>
  </si>
  <si>
    <t>$/monsters/8/def</t>
  </si>
  <si>
    <t>$/monsters/8/attack_speed</t>
  </si>
  <si>
    <t>$/monsters/8/range</t>
  </si>
  <si>
    <t>$/monsters/8/move_speed</t>
  </si>
  <si>
    <t>$/monsters/8/skill_id</t>
  </si>
  <si>
    <t>"burrow_ambush"</t>
  </si>
  <si>
    <t>$/monsters/8/skill_cd</t>
  </si>
  <si>
    <t>$/monsters/8/skill_atk_pct</t>
  </si>
  <si>
    <t>$/monsters/8/model</t>
  </si>
  <si>
    <t>"res://assets/models/monsters/land/pve_land_vein_worm_animated/pve_land_vein_worm_animated.tscn"</t>
  </si>
  <si>
    <t>$/monsters/8/model_visual_scale</t>
  </si>
  <si>
    <t>$/monsters/8/model_base_yaw</t>
  </si>
  <si>
    <t>$/monsters/9</t>
  </si>
  <si>
    <t>$/monsters/9/id</t>
  </si>
  <si>
    <t>"pve_land_lava_golem"</t>
  </si>
  <si>
    <t>$/monsters/9/name</t>
  </si>
  <si>
    <t>"熔岩傀儡"</t>
  </si>
  <si>
    <t>$/monsters/9/name_en</t>
  </si>
  <si>
    <t>"Lava Golem"</t>
  </si>
  <si>
    <t>$/monsters/9/series</t>
  </si>
  <si>
    <t>$/monsters/9/element</t>
  </si>
  <si>
    <t>$/monsters/9/hp</t>
  </si>
  <si>
    <t>900</t>
  </si>
  <si>
    <t>$/monsters/9/atk</t>
  </si>
  <si>
    <t>$/monsters/9/def</t>
  </si>
  <si>
    <t>$/monsters/9/attack_speed</t>
  </si>
  <si>
    <t>$/monsters/9/range</t>
  </si>
  <si>
    <t>$/monsters/9/move_speed</t>
  </si>
  <si>
    <t>2.7</t>
  </si>
  <si>
    <t>$/monsters/9/skill_id</t>
  </si>
  <si>
    <t>"lava_burst"</t>
  </si>
  <si>
    <t>$/monsters/9/skill_cd</t>
  </si>
  <si>
    <t>$/monsters/9/skill_damage</t>
  </si>
  <si>
    <t>$/monsters/9/model</t>
  </si>
  <si>
    <t>"res://assets/models/monsters/land/pve_land_lava_golem_animated/pve_land_lava_golem_animated.tscn"</t>
  </si>
  <si>
    <t>$/monsters/9/model_visual_scale</t>
  </si>
  <si>
    <t>$/monsters/9/model_base_yaw</t>
  </si>
  <si>
    <t>$/monsters/10</t>
  </si>
  <si>
    <t>$/monsters/10/id</t>
  </si>
  <si>
    <t>"pve_land_ancient_tree"</t>
  </si>
  <si>
    <t>$/monsters/10/name</t>
  </si>
  <si>
    <t>"古树长者"</t>
  </si>
  <si>
    <t>$/monsters/10/name_en</t>
  </si>
  <si>
    <t>"Elder Treant"</t>
  </si>
  <si>
    <t>$/monsters/10/series</t>
  </si>
  <si>
    <t>$/monsters/10/element</t>
  </si>
  <si>
    <t>$/monsters/10/hp</t>
  </si>
  <si>
    <t>$/monsters/10/atk</t>
  </si>
  <si>
    <t>$/monsters/10/def</t>
  </si>
  <si>
    <t>$/monsters/10/attack_speed</t>
  </si>
  <si>
    <t>$/monsters/10/range</t>
  </si>
  <si>
    <t>$/monsters/10/move_speed</t>
  </si>
  <si>
    <t>$/monsters/10/skill_id</t>
  </si>
  <si>
    <t>"nature_heal"</t>
  </si>
  <si>
    <t>$/monsters/10/skill_cd</t>
  </si>
  <si>
    <t>$/monsters/10/skill_heal_pct</t>
  </si>
  <si>
    <t>$/monsters/10/skill_heal_min</t>
  </si>
  <si>
    <t>$/monsters/10/model</t>
  </si>
  <si>
    <t>"res://assets/models/monsters/land/pve_land_ancient_tree_animated/pve_land_ancient_tree_animated.tscn"</t>
  </si>
  <si>
    <t>$/monsters/10/model_visual_scale</t>
  </si>
  <si>
    <t>$/monsters/10/model_base_yaw</t>
  </si>
  <si>
    <t>$/monsters/10/model_idle_animation_name</t>
  </si>
  <si>
    <t>$/monsters/10/model_attack_animation_name</t>
  </si>
  <si>
    <t>$/monsters/10/model_attack_sync_seek</t>
  </si>
  <si>
    <t>$/monsters/10/model_attack_lock_time</t>
  </si>
  <si>
    <t>$/monsters/10/model_run_animation_name</t>
  </si>
  <si>
    <t>$/monsters/11</t>
  </si>
  <si>
    <t>$/monsters/11/id</t>
  </si>
  <si>
    <t>"pve_land_mountain_giant"</t>
  </si>
  <si>
    <t>$/monsters/11/model_in_place_actions</t>
  </si>
  <si>
    <t>$/monsters/11/model_in_place_actions/0</t>
  </si>
  <si>
    <t>$/monsters/11/name</t>
  </si>
  <si>
    <t>"山岳巨人"</t>
  </si>
  <si>
    <t>$/monsters/11/name_en</t>
  </si>
  <si>
    <t>"Mountain Giant"</t>
  </si>
  <si>
    <t>$/monsters/11/series</t>
  </si>
  <si>
    <t>$/monsters/11/element</t>
  </si>
  <si>
    <t>$/monsters/11/hp</t>
  </si>
  <si>
    <t>1400</t>
  </si>
  <si>
    <t>$/monsters/11/atk</t>
  </si>
  <si>
    <t>$/monsters/11/def</t>
  </si>
  <si>
    <t>$/monsters/11/attack_speed</t>
  </si>
  <si>
    <t>$/monsters/11/range</t>
  </si>
  <si>
    <t>$/monsters/11/move_speed</t>
  </si>
  <si>
    <t>$/monsters/11/skill_id</t>
  </si>
  <si>
    <t>"earth_slam"</t>
  </si>
  <si>
    <t>$/monsters/11/skill_cd</t>
  </si>
  <si>
    <t>$/monsters/11/skill_atk_pct</t>
  </si>
  <si>
    <t>$/monsters/11/stun_sec</t>
  </si>
  <si>
    <t>$/monsters/11/model</t>
  </si>
  <si>
    <t>"res://assets/models/monsters/land/pve_land_mountain_giant_animated/pve_land_mountain_giant_animated.tscn"</t>
  </si>
  <si>
    <t>$/monsters/11/model_visual_scale</t>
  </si>
  <si>
    <t>$/monsters/11/model_base_yaw</t>
  </si>
  <si>
    <t>$/monsters/12</t>
  </si>
  <si>
    <t>$/monsters/12/id</t>
  </si>
  <si>
    <t>"pve_ren_shadow_thief"</t>
  </si>
  <si>
    <t>$/monsters/12/model_in_place_actions</t>
  </si>
  <si>
    <t>$/monsters/12/model_in_place_actions/0</t>
  </si>
  <si>
    <t>$/monsters/12/name</t>
  </si>
  <si>
    <t>"影行盗徒"</t>
  </si>
  <si>
    <t>$/monsters/12/name_en</t>
  </si>
  <si>
    <t>"Shadow Thief"</t>
  </si>
  <si>
    <t>$/monsters/12/series</t>
  </si>
  <si>
    <t>$/monsters/12/element</t>
  </si>
  <si>
    <t>$/monsters/12/hp</t>
  </si>
  <si>
    <t>480</t>
  </si>
  <si>
    <t>$/monsters/12/atk</t>
  </si>
  <si>
    <t>$/monsters/12/def</t>
  </si>
  <si>
    <t>$/monsters/12/attack_speed</t>
  </si>
  <si>
    <t>$/monsters/12/range</t>
  </si>
  <si>
    <t>$/monsters/12/move_speed</t>
  </si>
  <si>
    <t>$/monsters/12/skill_id</t>
  </si>
  <si>
    <t>"backstab"</t>
  </si>
  <si>
    <t>$/monsters/12/skill_cd</t>
  </si>
  <si>
    <t>$/monsters/12/skill_atk_pct</t>
  </si>
  <si>
    <t>$/monsters/12/model</t>
  </si>
  <si>
    <t>"res://assets/models/monsters/ren/pve_ren_shadow_thief_animated/pve_ren_shadow_thief_animated.tscn"</t>
  </si>
  <si>
    <t>$/monsters/12/model_visual_scale</t>
  </si>
  <si>
    <t>$/monsters/12/model_base_yaw</t>
  </si>
  <si>
    <t>$/monsters/13</t>
  </si>
  <si>
    <t>$/monsters/13/id</t>
  </si>
  <si>
    <t>"pve_ren_voodoo_witch"</t>
  </si>
  <si>
    <t>$/monsters/13/model_in_place_actions</t>
  </si>
  <si>
    <t>$/monsters/13/model_in_place_actions/0</t>
  </si>
  <si>
    <t>$/monsters/13/name</t>
  </si>
  <si>
    <t>"巫毒术士"</t>
  </si>
  <si>
    <t>$/monsters/13/name_en</t>
  </si>
  <si>
    <t>"Voodoo Witch"</t>
  </si>
  <si>
    <t>$/monsters/13/series</t>
  </si>
  <si>
    <t>$/monsters/13/element</t>
  </si>
  <si>
    <t>$/monsters/13/hp</t>
  </si>
  <si>
    <t>$/monsters/13/atk</t>
  </si>
  <si>
    <t>$/monsters/13/def</t>
  </si>
  <si>
    <t>$/monsters/13/attack_speed</t>
  </si>
  <si>
    <t>$/monsters/13/range</t>
  </si>
  <si>
    <t>$/monsters/13/move_speed</t>
  </si>
  <si>
    <t>$/monsters/13/skill_id</t>
  </si>
  <si>
    <t>"curse"</t>
  </si>
  <si>
    <t>$/monsters/13/skill_cd</t>
  </si>
  <si>
    <t>$/monsters/13/attack_down_pct</t>
  </si>
  <si>
    <t>$/monsters/13/max_stacks</t>
  </si>
  <si>
    <t>$/monsters/13/skill_damage</t>
  </si>
  <si>
    <t>$/monsters/13/model</t>
  </si>
  <si>
    <t>"res://assets/models/monsters/ren/pve_ren_voodoo_witch_animated/pve_ren_voodoo_witch_animated.tscn"</t>
  </si>
  <si>
    <t>$/monsters/13/model_visual_scale</t>
  </si>
  <si>
    <t>$/monsters/13/model_base_yaw</t>
  </si>
  <si>
    <t>$/monsters/14</t>
  </si>
  <si>
    <t>$/monsters/14/id</t>
  </si>
  <si>
    <t>"pve_ren_wandering_swordsman"</t>
  </si>
  <si>
    <t>$/monsters/14/model_in_place_actions</t>
  </si>
  <si>
    <t>$/monsters/14/model_in_place_actions/0</t>
  </si>
  <si>
    <t>$/monsters/14/name</t>
  </si>
  <si>
    <t>"流浪剑客"</t>
  </si>
  <si>
    <t>$/monsters/14/name_en</t>
  </si>
  <si>
    <t>"Wandering Swordsman"</t>
  </si>
  <si>
    <t>$/monsters/14/series</t>
  </si>
  <si>
    <t>$/monsters/14/element</t>
  </si>
  <si>
    <t>$/monsters/14/hp</t>
  </si>
  <si>
    <t>$/monsters/14/atk</t>
  </si>
  <si>
    <t>$/monsters/14/def</t>
  </si>
  <si>
    <t>$/monsters/14/attack_speed</t>
  </si>
  <si>
    <t>$/monsters/14/range</t>
  </si>
  <si>
    <t>$/monsters/14/move_speed</t>
  </si>
  <si>
    <t>$/monsters/14/skill_id</t>
  </si>
  <si>
    <t>"counter_slash"</t>
  </si>
  <si>
    <t>$/monsters/14/skill_cd</t>
  </si>
  <si>
    <t>$/monsters/14/counter_atk_pct</t>
  </si>
  <si>
    <t>$/monsters/14/model</t>
  </si>
  <si>
    <t>"res://assets/models/monsters/ren/pve_ren_wandering_swordsman_animated/pve_ren_wandering_swordsman_animated.tscn"</t>
  </si>
  <si>
    <t>$/monsters/14/model_visual_scale</t>
  </si>
  <si>
    <t>$/monsters/14/model_base_yaw</t>
  </si>
  <si>
    <t>$/monsters/15</t>
  </si>
  <si>
    <t>$/monsters/15/id</t>
  </si>
  <si>
    <t>"pve_ren_poison_doctor"</t>
  </si>
  <si>
    <t>$/monsters/15/model_in_place_actions</t>
  </si>
  <si>
    <t>$/monsters/15/model_in_place_actions/0</t>
  </si>
  <si>
    <t>$/monsters/15/name</t>
  </si>
  <si>
    <t>"药毒医师"</t>
  </si>
  <si>
    <t>$/monsters/15/name_en</t>
  </si>
  <si>
    <t>"Plague Doctor"</t>
  </si>
  <si>
    <t>$/monsters/15/series</t>
  </si>
  <si>
    <t>$/monsters/15/element</t>
  </si>
  <si>
    <t>$/monsters/15/hp</t>
  </si>
  <si>
    <t>$/monsters/15/atk</t>
  </si>
  <si>
    <t>42</t>
  </si>
  <si>
    <t>$/monsters/15/def</t>
  </si>
  <si>
    <t>$/monsters/15/attack_speed</t>
  </si>
  <si>
    <t>$/monsters/15/range</t>
  </si>
  <si>
    <t>$/monsters/15/move_speed</t>
  </si>
  <si>
    <t>$/monsters/15/skill_id</t>
  </si>
  <si>
    <t>$/monsters/15/model</t>
  </si>
  <si>
    <t>"res://assets/models/monsters/ren/pve_ren_poison_doctor_animated/pve_ren_poison_doctor_animated.tscn"</t>
  </si>
  <si>
    <t>$/monsters/15/model_visual_scale</t>
  </si>
  <si>
    <t>$/monsters/15/model_base_yaw</t>
  </si>
  <si>
    <t>data/boss/bosses.json</t>
  </si>
  <si>
    <t>$/growth_per_completed_boss</t>
  </si>
  <si>
    <t>$/growth_per_completed_boss/hp</t>
  </si>
  <si>
    <t>1.45</t>
  </si>
  <si>
    <t>$/growth_per_completed_boss/atk</t>
  </si>
  <si>
    <t>$/growth_per_completed_boss/def</t>
  </si>
  <si>
    <t>1.3</t>
  </si>
  <si>
    <t>$/growth_per_completed_boss/skill_damage</t>
  </si>
  <si>
    <t>$/win_rewards</t>
  </si>
  <si>
    <t>$/win_rewards/5</t>
  </si>
  <si>
    <t>$/win_rewards/10</t>
  </si>
  <si>
    <t>150</t>
  </si>
  <si>
    <t>$/win_rewards/15</t>
  </si>
  <si>
    <t>250</t>
  </si>
  <si>
    <t>$/win_rewards/20</t>
  </si>
  <si>
    <t>400</t>
  </si>
  <si>
    <t>$/bosses</t>
  </si>
  <si>
    <t>$/bosses/0</t>
  </si>
  <si>
    <t>$/bosses/0/id</t>
  </si>
  <si>
    <t>"boss_meteor_caster"</t>
  </si>
  <si>
    <t>$/bosses/0/model_in_place_actions</t>
  </si>
  <si>
    <t>$/bosses/0/model_in_place_actions/0</t>
  </si>
  <si>
    <t>$/bosses/0/name</t>
  </si>
  <si>
    <t>"天罚投星者"</t>
  </si>
  <si>
    <t>$/bosses/0/name_en</t>
  </si>
  <si>
    <t>"Starfall Caster"</t>
  </si>
  <si>
    <t>$/bosses/0/element</t>
  </si>
  <si>
    <t>$/bosses/0/hp</t>
  </si>
  <si>
    <t>2200</t>
  </si>
  <si>
    <t>$/bosses/0/atk</t>
  </si>
  <si>
    <t>75</t>
  </si>
  <si>
    <t>$/bosses/0/def</t>
  </si>
  <si>
    <t>$/bosses/0/attack_speed</t>
  </si>
  <si>
    <t>$/bosses/0/range</t>
  </si>
  <si>
    <t>$/bosses/0/move_speed</t>
  </si>
  <si>
    <t>$/bosses/0/footprint_cells</t>
  </si>
  <si>
    <t>$/bosses/0/skill_id</t>
  </si>
  <si>
    <t>"element_meteor"</t>
  </si>
  <si>
    <t>$/bosses/0/skill_cd</t>
  </si>
  <si>
    <t>$/bosses/0/skill_damage</t>
  </si>
  <si>
    <t>$/bosses/0/model</t>
  </si>
  <si>
    <t>"res://assets/models/bosses/boss_meteor_caster_animated/boss_meteor_caster_animated.tscn"</t>
  </si>
  <si>
    <t>$/bosses/0/model_visual_scale</t>
  </si>
  <si>
    <t>$/bosses/0/model_base_yaw</t>
  </si>
  <si>
    <t>$/bosses/0/model_idle_animation_name</t>
  </si>
  <si>
    <t>$/bosses/0/model_attack_animation_name</t>
  </si>
  <si>
    <t>$/bosses/0/model_attack_sync_seek</t>
  </si>
  <si>
    <t>$/bosses/0/model_attack_lock_time</t>
  </si>
  <si>
    <t>$/bosses/0/model_run_animation_name</t>
  </si>
  <si>
    <t>$/bosses/1</t>
  </si>
  <si>
    <t>$/bosses/1/id</t>
  </si>
  <si>
    <t>"boss_thunder_core"</t>
  </si>
  <si>
    <t>$/bosses/1/model_in_place_actions</t>
  </si>
  <si>
    <t>$/bosses/1/model_in_place_actions/0</t>
  </si>
  <si>
    <t>$/bosses/1/name</t>
  </si>
  <si>
    <t>"雷怒核心"</t>
  </si>
  <si>
    <t>$/bosses/1/name_en</t>
  </si>
  <si>
    <t>"Thunder Wrath Core"</t>
  </si>
  <si>
    <t>$/bosses/1/element</t>
  </si>
  <si>
    <t>$/bosses/1/hp</t>
  </si>
  <si>
    <t>2500</t>
  </si>
  <si>
    <t>$/bosses/1/atk</t>
  </si>
  <si>
    <t>61</t>
  </si>
  <si>
    <t>$/bosses/1/def</t>
  </si>
  <si>
    <t>$/bosses/1/attack_speed</t>
  </si>
  <si>
    <t>$/bosses/1/range</t>
  </si>
  <si>
    <t>$/bosses/1/move_speed</t>
  </si>
  <si>
    <t>$/bosses/1/footprint_cells</t>
  </si>
  <si>
    <t>$/bosses/1/skill_id</t>
  </si>
  <si>
    <t>"overload_counter"</t>
  </si>
  <si>
    <t>$/bosses/1/hit_threshold</t>
  </si>
  <si>
    <t>$/bosses/1/skill_damage</t>
  </si>
  <si>
    <t>300</t>
  </si>
  <si>
    <t>$/bosses/1/interrupt_chance</t>
  </si>
  <si>
    <t>$/bosses/1/model</t>
  </si>
  <si>
    <t>"res://assets/models/bosses/boss_thunder_core_animated/boss_thunder_core_animated.tscn"</t>
  </si>
  <si>
    <t>$/bosses/1/model_visual_scale</t>
  </si>
  <si>
    <t>$/bosses/1/model_base_yaw</t>
  </si>
  <si>
    <t>$/bosses/1/model_idle_animation_name</t>
  </si>
  <si>
    <t>$/bosses/1/model_attack_animation_name</t>
  </si>
  <si>
    <t>$/bosses/1/model_attack_sync_seek</t>
  </si>
  <si>
    <t>$/bosses/1/model_attack_lock_time</t>
  </si>
  <si>
    <t>$/bosses/1/model_run_animation_name</t>
  </si>
  <si>
    <t>$/bosses/2</t>
  </si>
  <si>
    <t>$/bosses/2/id</t>
  </si>
  <si>
    <t>"boss_mirror_lord"</t>
  </si>
  <si>
    <t>$/bosses/2/model_in_place_actions</t>
  </si>
  <si>
    <t>$/bosses/2/model_in_place_actions/0</t>
  </si>
  <si>
    <t>$/bosses/2/name</t>
  </si>
  <si>
    <t>"镜像魔君"</t>
  </si>
  <si>
    <t>$/bosses/2/name_en</t>
  </si>
  <si>
    <t>"Mirror Lord"</t>
  </si>
  <si>
    <t>$/bosses/2/element</t>
  </si>
  <si>
    <t>$/bosses/2/hp</t>
  </si>
  <si>
    <t>$/bosses/2/atk</t>
  </si>
  <si>
    <t>$/bosses/2/def</t>
  </si>
  <si>
    <t>$/bosses/2/attack_speed</t>
  </si>
  <si>
    <t>$/bosses/2/range</t>
  </si>
  <si>
    <t>$/bosses/2/move_speed</t>
  </si>
  <si>
    <t>$/bosses/2/footprint_cells</t>
  </si>
  <si>
    <t>$/bosses/2/skill_id</t>
  </si>
  <si>
    <t>"mirror_clone"</t>
  </si>
  <si>
    <t>$/bosses/2/clone_per_missing_hp_pct</t>
  </si>
  <si>
    <t>$/bosses/2/clone_hp_pct</t>
  </si>
  <si>
    <t>$/bosses/2/clone_atk_pct</t>
  </si>
  <si>
    <t>$/bosses/2/clone_def</t>
  </si>
  <si>
    <t>$/bosses/2/model</t>
  </si>
  <si>
    <t>"res://assets/models/bosses/boss_mirror_lord_animated/boss_mirror_lord_animated.tscn"</t>
  </si>
  <si>
    <t>$/bosses/2/model_visual_scale</t>
  </si>
  <si>
    <t>$/bosses/2/model_base_yaw</t>
  </si>
  <si>
    <t>$/bosses/2/model_idle_animation_name</t>
  </si>
  <si>
    <t>$/bosses/2/model_attack_animation_name</t>
  </si>
  <si>
    <t>$/bosses/2/model_attack_sync_seek</t>
  </si>
  <si>
    <t>$/bosses/2/model_attack_lock_time</t>
  </si>
  <si>
    <t>$/bosses/2/model_run_animation_name</t>
  </si>
  <si>
    <t>$/bosses/3</t>
  </si>
  <si>
    <t>$/bosses/3/id</t>
  </si>
  <si>
    <t>"boss_holy_priest"</t>
  </si>
  <si>
    <t>$/bosses/3/model_in_place_actions</t>
  </si>
  <si>
    <t>$/bosses/3/model_in_place_actions/0</t>
  </si>
  <si>
    <t>$/bosses/3/name</t>
  </si>
  <si>
    <t>"圣愈祭司"</t>
  </si>
  <si>
    <t>$/bosses/3/name_en</t>
  </si>
  <si>
    <t>"Sacred Mender"</t>
  </si>
  <si>
    <t>$/bosses/3/element</t>
  </si>
  <si>
    <t>$/bosses/3/hp</t>
  </si>
  <si>
    <t>2000</t>
  </si>
  <si>
    <t>$/bosses/3/atk</t>
  </si>
  <si>
    <t>$/bosses/3/def</t>
  </si>
  <si>
    <t>$/bosses/3/attack_speed</t>
  </si>
  <si>
    <t>$/bosses/3/range</t>
  </si>
  <si>
    <t>$/bosses/3/move_speed</t>
  </si>
  <si>
    <t>$/bosses/3/footprint_cells</t>
  </si>
  <si>
    <t>$/bosses/3/skill_id</t>
  </si>
  <si>
    <t>"holy_purify"</t>
  </si>
  <si>
    <t>$/bosses/3/skill_cd</t>
  </si>
  <si>
    <t>$/bosses/3/heal_pct</t>
  </si>
  <si>
    <t>$/bosses/3/shield_pct</t>
  </si>
  <si>
    <t>$/bosses/3/model</t>
  </si>
  <si>
    <t>"res://assets/models/bosses/boss_holy_priest_animated/boss_holy_priest_animated.tscn"</t>
  </si>
  <si>
    <t>$/bosses/3/model_visual_scale</t>
  </si>
  <si>
    <t>$/bosses/3/model_base_yaw</t>
  </si>
  <si>
    <t>$/bosses/3/model_idle_animation_name</t>
  </si>
  <si>
    <t>$/bosses/3/model_attack_animation_name</t>
  </si>
  <si>
    <t>$/bosses/3/model_attack_sync_seek</t>
  </si>
  <si>
    <t>$/bosses/3/model_attack_lock_time</t>
  </si>
  <si>
    <t>$/bosses/3/model_run_animation_name</t>
  </si>
  <si>
    <t>$/bosses/4</t>
  </si>
  <si>
    <t>$/bosses/4/id</t>
  </si>
  <si>
    <t>"boss_rage_beast"</t>
  </si>
  <si>
    <t>$/bosses/4/model_in_place_actions</t>
  </si>
  <si>
    <t>$/bosses/4/model_in_place_actions/0</t>
  </si>
  <si>
    <t>$/bosses/4/name</t>
  </si>
  <si>
    <t>"狂战灾兽"</t>
  </si>
  <si>
    <t>$/bosses/4/name_en</t>
  </si>
  <si>
    <t>"Rampage Beast"</t>
  </si>
  <si>
    <t>$/bosses/4/element</t>
  </si>
  <si>
    <t>$/bosses/4/hp</t>
  </si>
  <si>
    <t>1900</t>
  </si>
  <si>
    <t>$/bosses/4/atk</t>
  </si>
  <si>
    <t>$/bosses/4/def</t>
  </si>
  <si>
    <t>$/bosses/4/attack_speed</t>
  </si>
  <si>
    <t>$/bosses/4/range</t>
  </si>
  <si>
    <t>$/bosses/4/move_speed</t>
  </si>
  <si>
    <t>$/bosses/4/footprint_cells</t>
  </si>
  <si>
    <t>$/bosses/4/skill_id</t>
  </si>
  <si>
    <t>"rage_stack"</t>
  </si>
  <si>
    <t>$/bosses/4/atk_per_hit</t>
  </si>
  <si>
    <t>$/bosses/4/aspd_per_hit</t>
  </si>
  <si>
    <t>$/bosses/4/max_stacks</t>
  </si>
  <si>
    <t>$/bosses/4/model</t>
  </si>
  <si>
    <t>"res://assets/models/bosses/boss_rage_beast_animated/boss_rage_beast_animated.tscn"</t>
  </si>
  <si>
    <t>$/bosses/4/model_visual_scale</t>
  </si>
  <si>
    <t>$/bosses/4/model_base_yaw</t>
  </si>
  <si>
    <t>$/bosses/4/model_idle_animation_name</t>
  </si>
  <si>
    <t>$/bosses/4/model_attack_animation_name</t>
  </si>
  <si>
    <t>$/bosses/4/model_attack_sync_seek</t>
  </si>
  <si>
    <t>$/bosses/4/model_attack_lock_time</t>
  </si>
  <si>
    <t>$/bosses/4/model_run_animation_name</t>
  </si>
  <si>
    <t>$/bosses/5</t>
  </si>
  <si>
    <t>$/bosses/5/id</t>
  </si>
  <si>
    <t>"boss_blood_demon"</t>
  </si>
  <si>
    <t>$/bosses/5/model_in_place_actions</t>
  </si>
  <si>
    <t>$/bosses/5/model_in_place_actions/0</t>
  </si>
  <si>
    <t>$/bosses/5/name</t>
  </si>
  <si>
    <t>"血怒魔王"</t>
  </si>
  <si>
    <t>$/bosses/5/name_en</t>
  </si>
  <si>
    <t>"Bloodrage Demon"</t>
  </si>
  <si>
    <t>$/bosses/5/element</t>
  </si>
  <si>
    <t>$/bosses/5/hp</t>
  </si>
  <si>
    <t>$/bosses/5/atk</t>
  </si>
  <si>
    <t>$/bosses/5/def</t>
  </si>
  <si>
    <t>$/bosses/5/attack_speed</t>
  </si>
  <si>
    <t>$/bosses/5/range</t>
  </si>
  <si>
    <t>$/bosses/5/move_speed</t>
  </si>
  <si>
    <t>$/bosses/5/footprint_cells</t>
  </si>
  <si>
    <t>$/bosses/5/skill_id</t>
  </si>
  <si>
    <t>"blood_rage"</t>
  </si>
  <si>
    <t>$/bosses/5/trigger_hp_pct</t>
  </si>
  <si>
    <t>$/bosses/5/atk_bonus</t>
  </si>
  <si>
    <t>$/bosses/5/aspd_bonus</t>
  </si>
  <si>
    <t>$/bosses/5/lifesteal</t>
  </si>
  <si>
    <t>$/bosses/5/model</t>
  </si>
  <si>
    <t>"res://assets/models/bosses/boss_blood_demon_animated/boss_blood_demon_animated.tscn"</t>
  </si>
  <si>
    <t>$/bosses/5/model_visual_scale</t>
  </si>
  <si>
    <t>$/bosses/5/model_base_yaw</t>
  </si>
  <si>
    <t>$/bosses/5/model_idle_animation_name</t>
  </si>
  <si>
    <t>$/bosses/5/model_attack_animation_name</t>
  </si>
  <si>
    <t>$/bosses/5/model_attack_sync_seek</t>
  </si>
  <si>
    <t>$/bosses/5/model_attack_lock_time</t>
  </si>
  <si>
    <t>$/bosses/5/model_run_animation_name</t>
  </si>
  <si>
    <t>$/bosses/6</t>
  </si>
  <si>
    <t>$/bosses/6/id</t>
  </si>
  <si>
    <t>"boss_soul_devourer"</t>
  </si>
  <si>
    <t>$/bosses/6/model_in_place_actions</t>
  </si>
  <si>
    <t>$/bosses/6/model_in_place_actions/0</t>
  </si>
  <si>
    <t>$/bosses/6/name</t>
  </si>
  <si>
    <t>"噬魂领主"</t>
  </si>
  <si>
    <t>$/bosses/6/name_en</t>
  </si>
  <si>
    <t>"Soul Devourer"</t>
  </si>
  <si>
    <t>$/bosses/6/element</t>
  </si>
  <si>
    <t>$/bosses/6/hp</t>
  </si>
  <si>
    <t>2100</t>
  </si>
  <si>
    <t>$/bosses/6/atk</t>
  </si>
  <si>
    <t>$/bosses/6/def</t>
  </si>
  <si>
    <t>$/bosses/6/attack_speed</t>
  </si>
  <si>
    <t>$/bosses/6/range</t>
  </si>
  <si>
    <t>$/bosses/6/move_speed</t>
  </si>
  <si>
    <t>$/bosses/6/footprint_cells</t>
  </si>
  <si>
    <t>$/bosses/6/skill_id</t>
  </si>
  <si>
    <t>"soul_devour"</t>
  </si>
  <si>
    <t>$/bosses/6/kill_heal_pct</t>
  </si>
  <si>
    <t>$/bosses/6/atk_stack</t>
  </si>
  <si>
    <t>$/bosses/6/model</t>
  </si>
  <si>
    <t>"res://assets/models/bosses/boss_soul_devourer_animated/boss_soul_devourer_animated.tscn"</t>
  </si>
  <si>
    <t>$/bosses/6/model_visual_scale</t>
  </si>
  <si>
    <t>$/bosses/6/model_base_yaw</t>
  </si>
  <si>
    <t>$/bosses/6/model_idle_animation_name</t>
  </si>
  <si>
    <t>$/bosses/6/model_attack_animation_name</t>
  </si>
  <si>
    <t>$/bosses/6/model_attack_sync_seek</t>
  </si>
  <si>
    <t>$/bosses/6/model_attack_lock_time</t>
  </si>
  <si>
    <t>$/bosses/6/model_run_animation_name</t>
  </si>
  <si>
    <t>$/bosses/7</t>
  </si>
  <si>
    <t>$/bosses/7/id</t>
  </si>
  <si>
    <t>"boss_twin_gate"</t>
  </si>
  <si>
    <t>$/bosses/7/model_in_place_actions</t>
  </si>
  <si>
    <t>$/bosses/7/model_in_place_actions/0</t>
  </si>
  <si>
    <t>$/bosses/7/name</t>
  </si>
  <si>
    <t>"双生守门人"</t>
  </si>
  <si>
    <t>$/bosses/7/name_en</t>
  </si>
  <si>
    <t>"Twin Gatekeepers"</t>
  </si>
  <si>
    <t>$/bosses/7/element</t>
  </si>
  <si>
    <t>$/bosses/7/hp</t>
  </si>
  <si>
    <t>$/bosses/7/atk</t>
  </si>
  <si>
    <t>$/bosses/7/def</t>
  </si>
  <si>
    <t>$/bosses/7/attack_speed</t>
  </si>
  <si>
    <t>$/bosses/7/range</t>
  </si>
  <si>
    <t>$/bosses/7/move_speed</t>
  </si>
  <si>
    <t>$/bosses/7/footprint_cells</t>
  </si>
  <si>
    <t>$/bosses/7/skill_id</t>
  </si>
  <si>
    <t>"twin_revive"</t>
  </si>
  <si>
    <t>$/bosses/7/is_twin</t>
  </si>
  <si>
    <t>$/bosses/7/revive_delay</t>
  </si>
  <si>
    <t>$/bosses/7/revive_hp_pct</t>
  </si>
  <si>
    <t>$/bosses/7/revives_per_twin</t>
  </si>
  <si>
    <t>$/bosses/7/twin_second_element</t>
  </si>
  <si>
    <t>$/bosses/7/model</t>
  </si>
  <si>
    <t>"res://assets/models/bosses/boss_twin_gate_animated/land/boss_twin_gate_land_animated.tscn"</t>
  </si>
  <si>
    <t>$/bosses/7/model_by_element</t>
  </si>
  <si>
    <t>$/bosses/7/model_by_element/land</t>
  </si>
  <si>
    <t>$/bosses/7/model_by_element/sky</t>
  </si>
  <si>
    <t>"res://assets/models/bosses/boss_twin_gate_animated/sky/boss_twin_gate_sky_animated.tscn"</t>
  </si>
  <si>
    <t>$/bosses/7/model_visual_scale</t>
  </si>
  <si>
    <t>$/bosses/7/model_base_yaw</t>
  </si>
  <si>
    <t>$/bosses/7/model_idle_animation_name</t>
  </si>
  <si>
    <t>$/bosses/7/model_attack_animation_name</t>
  </si>
  <si>
    <t>$/bosses/7/model_attack_sync_seek</t>
  </si>
  <si>
    <t>$/bosses/7/model_attack_lock_time</t>
  </si>
  <si>
    <t>$/bosses/7/model_run_animation_name</t>
  </si>
  <si>
    <t>$/bosses/8</t>
  </si>
  <si>
    <t>$/bosses/8/id</t>
  </si>
  <si>
    <t>"boss_apocalypse"</t>
  </si>
  <si>
    <t>$/bosses/8/model_in_place_actions</t>
  </si>
  <si>
    <t>$/bosses/8/model_in_place_actions/0</t>
  </si>
  <si>
    <t>$/bosses/8/name</t>
  </si>
  <si>
    <t>"灭世裁决者"</t>
  </si>
  <si>
    <t>$/bosses/8/name_en</t>
  </si>
  <si>
    <t>"Apocalypse Arbiter"</t>
  </si>
  <si>
    <t>$/bosses/8/element</t>
  </si>
  <si>
    <t>$/bosses/8/hp</t>
  </si>
  <si>
    <t>2800</t>
  </si>
  <si>
    <t>$/bosses/8/atk</t>
  </si>
  <si>
    <t>$/bosses/8/def</t>
  </si>
  <si>
    <t>$/bosses/8/attack_speed</t>
  </si>
  <si>
    <t>$/bosses/8/range</t>
  </si>
  <si>
    <t>$/bosses/8/move_speed</t>
  </si>
  <si>
    <t>$/bosses/8/footprint_cells</t>
  </si>
  <si>
    <t>$/bosses/8/skill_id</t>
  </si>
  <si>
    <t>"apocalypse_charge"</t>
  </si>
  <si>
    <t>$/bosses/8/skill_cd</t>
  </si>
  <si>
    <t>$/bosses/8/charge_sec</t>
  </si>
  <si>
    <t>$/bosses/8/charge_shield_pct</t>
  </si>
  <si>
    <t>$/bosses/8/damage_atk_pct</t>
  </si>
  <si>
    <t>$/bosses/8/ignore_def</t>
  </si>
  <si>
    <t>$/bosses/8/model</t>
  </si>
  <si>
    <t>"res://assets/models/bosses/boss_apocalypse_animated/boss_apocalypse_animated.tscn"</t>
  </si>
  <si>
    <t>$/bosses/8/model_visual_scale</t>
  </si>
  <si>
    <t>$/bosses/8/model_base_yaw</t>
  </si>
  <si>
    <t>$/bosses/8/model_idle_animation_name</t>
  </si>
  <si>
    <t>$/bosses/8/model_attack_animation_name</t>
  </si>
  <si>
    <t>$/bosses/8/model_attack_sync_seek</t>
  </si>
  <si>
    <t>$/bosses/8/model_attack_lock_time</t>
  </si>
  <si>
    <t>$/bosses/8/model_run_animation_name</t>
  </si>
  <si>
    <t>data/mercenary/mercenaries.json</t>
  </si>
  <si>
    <t>$/rules</t>
  </si>
  <si>
    <t>$/rules/can_star_up</t>
  </si>
  <si>
    <t>false</t>
  </si>
  <si>
    <t>$/rules/affected_by_treasure</t>
  </si>
  <si>
    <t>$/rules/counts_for_synergy</t>
  </si>
  <si>
    <t>$/rules/quantity_cap</t>
  </si>
  <si>
    <t>$/mercenaries</t>
  </si>
  <si>
    <t>$/mercenaries/0</t>
  </si>
  <si>
    <t>$/mercenaries/0/id</t>
  </si>
  <si>
    <t>"merc_pisces_bubble"</t>
  </si>
  <si>
    <t>$/mercenaries/0/model_in_place_actions</t>
  </si>
  <si>
    <t>$/mercenaries/0/model_in_place_actions/0</t>
  </si>
  <si>
    <t>$/mercenaries/0/name</t>
  </si>
  <si>
    <t>"泡沫术士"</t>
  </si>
  <si>
    <t>$/mercenaries/0/cost</t>
  </si>
  <si>
    <t>$/mercenaries/0/carrot_cost</t>
  </si>
  <si>
    <t>$/mercenaries/0/hp</t>
  </si>
  <si>
    <t>$/mercenaries/0/atk</t>
  </si>
  <si>
    <t>23</t>
  </si>
  <si>
    <t>$/mercenaries/0/def</t>
  </si>
  <si>
    <t>$/mercenaries/0/attack_speed</t>
  </si>
  <si>
    <t>$/mercenaries/0/range</t>
  </si>
  <si>
    <t>$/mercenaries/0/move_speed</t>
  </si>
  <si>
    <t>$/mercenaries/0/skill_id</t>
  </si>
  <si>
    <t>"bubble_dream"</t>
  </si>
  <si>
    <t>$/mercenaries/0/skill_cd</t>
  </si>
  <si>
    <t>$/mercenaries/0/heal</t>
  </si>
  <si>
    <t>160</t>
  </si>
  <si>
    <t>$/mercenaries/0/slow_pct</t>
  </si>
  <si>
    <t>$/mercenaries/0/burst_damage</t>
  </si>
  <si>
    <t>140</t>
  </si>
  <si>
    <t>$/mercenaries/0/crit</t>
  </si>
  <si>
    <t>$/mercenaries/0/crit_dmg</t>
  </si>
  <si>
    <t>$/mercenaries/0/model</t>
  </si>
  <si>
    <t>"res://assets/models/mercenaries/merc_pisces_bubble_animated/merc_pisces_bubble_animated.tscn"</t>
  </si>
  <si>
    <t>$/mercenaries/0/model_visual_scale</t>
  </si>
  <si>
    <t>$/mercenaries/0/model_base_yaw</t>
  </si>
  <si>
    <t>$/mercenaries/0/model_idle_animation_name</t>
  </si>
  <si>
    <t>$/mercenaries/0/model_attack_animation_name</t>
  </si>
  <si>
    <t>$/mercenaries/0/model_attack_sync_seek</t>
  </si>
  <si>
    <t>$/mercenaries/0/model_attack_lock_time</t>
  </si>
  <si>
    <t>$/mercenaries/0/model_run_animation_name</t>
  </si>
  <si>
    <t>$/mercenaries/0/name_en</t>
  </si>
  <si>
    <t>"Bubble Mage"</t>
  </si>
  <si>
    <t>$/mercenaries/1</t>
  </si>
  <si>
    <t>$/mercenaries/1/id</t>
  </si>
  <si>
    <t>"merc_cancer_shell"</t>
  </si>
  <si>
    <t>$/mercenaries/1/name</t>
  </si>
  <si>
    <t>"甲壳守卫"</t>
  </si>
  <si>
    <t>$/mercenaries/1/cost</t>
  </si>
  <si>
    <t>$/mercenaries/1/carrot_cost</t>
  </si>
  <si>
    <t>$/mercenaries/1/hp</t>
  </si>
  <si>
    <t>$/mercenaries/1/atk</t>
  </si>
  <si>
    <t>$/mercenaries/1/def</t>
  </si>
  <si>
    <t>$/mercenaries/1/attack_speed</t>
  </si>
  <si>
    <t>$/mercenaries/1/range</t>
  </si>
  <si>
    <t>$/mercenaries/1/move_speed</t>
  </si>
  <si>
    <t>$/mercenaries/1/skill_id</t>
  </si>
  <si>
    <t>"shell_guard"</t>
  </si>
  <si>
    <t>$/mercenaries/1/reduction</t>
  </si>
  <si>
    <t>$/mercenaries/1/duration</t>
  </si>
  <si>
    <t>$/mercenaries/1/crit</t>
  </si>
  <si>
    <t>$/mercenaries/1/crit_dmg</t>
  </si>
  <si>
    <t>$/mercenaries/1/model</t>
  </si>
  <si>
    <t>"res://assets/models/mercenaries/merc_cancer_shell_animated/merc_cancer_shell_animated.tscn"</t>
  </si>
  <si>
    <t>$/mercenaries/1/model_visual_scale</t>
  </si>
  <si>
    <t>$/mercenaries/1/model_base_yaw</t>
  </si>
  <si>
    <t>$/mercenaries/1/model_idle_animation_name</t>
  </si>
  <si>
    <t>$/mercenaries/1/model_attack_animation_name</t>
  </si>
  <si>
    <t>$/mercenaries/1/model_attack_sync_seek</t>
  </si>
  <si>
    <t>$/mercenaries/1/model_attack_lock_time</t>
  </si>
  <si>
    <t>$/mercenaries/1/model_run_animation_name</t>
  </si>
  <si>
    <t>$/mercenaries/1/name_en</t>
  </si>
  <si>
    <t>"Shell Guard"</t>
  </si>
  <si>
    <t>$/mercenaries/2</t>
  </si>
  <si>
    <t>$/mercenaries/2/id</t>
  </si>
  <si>
    <t>"merc_libra_judge"</t>
  </si>
  <si>
    <t>$/mercenaries/2/model_in_place_actions</t>
  </si>
  <si>
    <t>$/mercenaries/2/model_in_place_actions/0</t>
  </si>
  <si>
    <t>$/mercenaries/2/name</t>
  </si>
  <si>
    <t>"审判剑士"</t>
  </si>
  <si>
    <t>$/mercenaries/2/cost</t>
  </si>
  <si>
    <t>$/mercenaries/2/carrot_cost</t>
  </si>
  <si>
    <t>$/mercenaries/2/hp</t>
  </si>
  <si>
    <t>960</t>
  </si>
  <si>
    <t>$/mercenaries/2/atk</t>
  </si>
  <si>
    <t>$/mercenaries/2/def</t>
  </si>
  <si>
    <t>$/mercenaries/2/attack_speed</t>
  </si>
  <si>
    <t>$/mercenaries/2/range</t>
  </si>
  <si>
    <t>$/mercenaries/2/move_speed</t>
  </si>
  <si>
    <t>$/mercenaries/2/skill_id</t>
  </si>
  <si>
    <t>"balance_judge"</t>
  </si>
  <si>
    <t>$/mercenaries/2/bonus_vs_higher_hp</t>
  </si>
  <si>
    <t>$/mercenaries/2/crit</t>
  </si>
  <si>
    <t>$/mercenaries/2/crit_dmg</t>
  </si>
  <si>
    <t>$/mercenaries/2/model</t>
  </si>
  <si>
    <t>"res://assets/models/mercenaries/merc_libra_judge_animated/merc_libra_judge_animated.tscn"</t>
  </si>
  <si>
    <t>$/mercenaries/2/model_visual_scale</t>
  </si>
  <si>
    <t>$/mercenaries/2/model_base_yaw</t>
  </si>
  <si>
    <t>$/mercenaries/2/model_idle_animation_name</t>
  </si>
  <si>
    <t>$/mercenaries/2/model_attack_animation_name</t>
  </si>
  <si>
    <t>$/mercenaries/2/model_attack_sync_seek</t>
  </si>
  <si>
    <t>$/mercenaries/2/model_attack_lock_time</t>
  </si>
  <si>
    <t>$/mercenaries/2/model_run_animation_name</t>
  </si>
  <si>
    <t>$/mercenaries/2/name_en</t>
  </si>
  <si>
    <t>"Balance Judge"</t>
  </si>
  <si>
    <t>$/mercenaries/3</t>
  </si>
  <si>
    <t>$/mercenaries/3/id</t>
  </si>
  <si>
    <t>"merc_taurus_charge"</t>
  </si>
  <si>
    <t>$/mercenaries/3/model_in_place_actions</t>
  </si>
  <si>
    <t>$/mercenaries/3/model_in_place_actions/0</t>
  </si>
  <si>
    <t>$/mercenaries/3/name</t>
  </si>
  <si>
    <t>"黄金重骑"</t>
  </si>
  <si>
    <t>$/mercenaries/3/cost</t>
  </si>
  <si>
    <t>200</t>
  </si>
  <si>
    <t>$/mercenaries/3/carrot_cost</t>
  </si>
  <si>
    <t>$/mercenaries/3/hp</t>
  </si>
  <si>
    <t>$/mercenaries/3/atk</t>
  </si>
  <si>
    <t>$/mercenaries/3/def</t>
  </si>
  <si>
    <t>$/mercenaries/3/attack_speed</t>
  </si>
  <si>
    <t>$/mercenaries/3/range</t>
  </si>
  <si>
    <t>$/mercenaries/3/move_speed</t>
  </si>
  <si>
    <t>$/mercenaries/3/skill_id</t>
  </si>
  <si>
    <t>"gold_charge"</t>
  </si>
  <si>
    <t>$/mercenaries/3/skill_damage</t>
  </si>
  <si>
    <t>$/mercenaries/3/stun_sec</t>
  </si>
  <si>
    <t>$/mercenaries/3/crit</t>
  </si>
  <si>
    <t>$/mercenaries/3/crit_dmg</t>
  </si>
  <si>
    <t>$/mercenaries/3/bonus_vs_higher_hp</t>
  </si>
  <si>
    <t>$/mercenaries/3/model</t>
  </si>
  <si>
    <t>"res://assets/models/mercenaries/merc_taurus_charge_animated/merc_taurus_charge_animated.tscn"</t>
  </si>
  <si>
    <t>$/mercenaries/3/model_visual_scale</t>
  </si>
  <si>
    <t>$/mercenaries/3/model_base_yaw</t>
  </si>
  <si>
    <t>$/mercenaries/3/model_idle_animation_name</t>
  </si>
  <si>
    <t>$/mercenaries/3/model_attack_animation_name</t>
  </si>
  <si>
    <t>$/mercenaries/3/model_attack_sync_seek</t>
  </si>
  <si>
    <t>$/mercenaries/3/model_attack_lock_time</t>
  </si>
  <si>
    <t>$/mercenaries/3/model_run_animation_name</t>
  </si>
  <si>
    <t>$/mercenaries/3/name_en</t>
  </si>
  <si>
    <t>"Gold Charger"</t>
  </si>
  <si>
    <t>$/mercenaries/4</t>
  </si>
  <si>
    <t>$/mercenaries/4/id</t>
  </si>
  <si>
    <t>"merc_virgo_heal"</t>
  </si>
  <si>
    <t>$/mercenaries/4/name</t>
  </si>
  <si>
    <t>"圣愈修女"</t>
  </si>
  <si>
    <t>$/mercenaries/4/cost</t>
  </si>
  <si>
    <t>$/mercenaries/4/carrot_cost</t>
  </si>
  <si>
    <t>$/mercenaries/4/hp</t>
  </si>
  <si>
    <t>$/mercenaries/4/atk</t>
  </si>
  <si>
    <t>$/mercenaries/4/def</t>
  </si>
  <si>
    <t>$/mercenaries/4/attack_speed</t>
  </si>
  <si>
    <t>$/mercenaries/4/range</t>
  </si>
  <si>
    <t>$/mercenaries/4/move_speed</t>
  </si>
  <si>
    <t>$/mercenaries/4/skill_id</t>
  </si>
  <si>
    <t>"holy_song"</t>
  </si>
  <si>
    <t>$/mercenaries/4/skill_cd</t>
  </si>
  <si>
    <t>$/mercenaries/4/heal_pct</t>
  </si>
  <si>
    <t>$/mercenaries/4/cleanse_control</t>
  </si>
  <si>
    <t>$/mercenaries/4/crit</t>
  </si>
  <si>
    <t>$/mercenaries/4/crit_dmg</t>
  </si>
  <si>
    <t>$/mercenaries/4/model</t>
  </si>
  <si>
    <t>"res://assets/models/mercenaries/merc_virgo_heal_animated/merc_virgo_heal_animated.tscn"</t>
  </si>
  <si>
    <t>$/mercenaries/4/model_visual_scale</t>
  </si>
  <si>
    <t>$/mercenaries/4/model_base_yaw</t>
  </si>
  <si>
    <t>$/mercenaries/4/model_idle_animation_name</t>
  </si>
  <si>
    <t>$/mercenaries/4/model_attack_animation_name</t>
  </si>
  <si>
    <t>$/mercenaries/4/model_attack_sync_seek</t>
  </si>
  <si>
    <t>$/mercenaries/4/model_attack_lock_time</t>
  </si>
  <si>
    <t>$/mercenaries/4/model_run_animation_name</t>
  </si>
  <si>
    <t>$/mercenaries/4/name_en</t>
  </si>
  <si>
    <t>"Holy Sister"</t>
  </si>
  <si>
    <t>$/mercenaries/5</t>
  </si>
  <si>
    <t>$/mercenaries/5/id</t>
  </si>
  <si>
    <t>"merc_gemini_assassin"</t>
  </si>
  <si>
    <t>$/mercenaries/5/name</t>
  </si>
  <si>
    <t>"镜像刺客"</t>
  </si>
  <si>
    <t>$/mercenaries/5/cost</t>
  </si>
  <si>
    <t>$/mercenaries/5/carrot_cost</t>
  </si>
  <si>
    <t>$/mercenaries/5/hp</t>
  </si>
  <si>
    <t>1014</t>
  </si>
  <si>
    <t>$/mercenaries/5/atk</t>
  </si>
  <si>
    <t>$/mercenaries/5/def</t>
  </si>
  <si>
    <t>$/mercenaries/5/attack_speed</t>
  </si>
  <si>
    <t>$/mercenaries/5/range</t>
  </si>
  <si>
    <t>$/mercenaries/5/move_speed</t>
  </si>
  <si>
    <t>$/mercenaries/5/skill_id</t>
  </si>
  <si>
    <t>"twin_strike"</t>
  </si>
  <si>
    <t>$/mercenaries/5/skill_cd</t>
  </si>
  <si>
    <t>$/mercenaries/5/clone_hp_pct</t>
  </si>
  <si>
    <t>$/mercenaries/5/clone_atk_pct</t>
  </si>
  <si>
    <t>$/mercenaries/5/crit</t>
  </si>
  <si>
    <t>$/mercenaries/5/crit_dmg</t>
  </si>
  <si>
    <t>$/mercenaries/5/model</t>
  </si>
  <si>
    <t>"res://assets/models/mercenaries/merc_gemini_assassin_animated/merc_gemini_assassin_animated.tscn"</t>
  </si>
  <si>
    <t>$/mercenaries/5/model_visual_scale</t>
  </si>
  <si>
    <t>$/mercenaries/5/model_base_yaw</t>
  </si>
  <si>
    <t>$/mercenaries/5/model_idle_animation_name</t>
  </si>
  <si>
    <t>$/mercenaries/5/model_attack_animation_name</t>
  </si>
  <si>
    <t>$/mercenaries/5/model_attack_sync_seek</t>
  </si>
  <si>
    <t>$/mercenaries/5/model_attack_lock_time</t>
  </si>
  <si>
    <t>$/mercenaries/5/model_run_animation_name</t>
  </si>
  <si>
    <t>$/mercenaries/5/name_en</t>
  </si>
  <si>
    <t>"Mirror Assassin"</t>
  </si>
  <si>
    <t>$/mercenaries/6</t>
  </si>
  <si>
    <t>$/mercenaries/6/id</t>
  </si>
  <si>
    <t>"merc_leo_sun"</t>
  </si>
  <si>
    <t>$/mercenaries/6/model_in_place_actions</t>
  </si>
  <si>
    <t>$/mercenaries/6/model_in_place_actions/0</t>
  </si>
  <si>
    <t>$/mercenaries/6/model_in_place_actions/1</t>
  </si>
  <si>
    <t>$/mercenaries/6/name</t>
  </si>
  <si>
    <t>"炎阳王者"</t>
  </si>
  <si>
    <t>$/mercenaries/6/cost</t>
  </si>
  <si>
    <t>350</t>
  </si>
  <si>
    <t>$/mercenaries/6/carrot_cost</t>
  </si>
  <si>
    <t>$/mercenaries/6/hp</t>
  </si>
  <si>
    <t>1734</t>
  </si>
  <si>
    <t>$/mercenaries/6/atk</t>
  </si>
  <si>
    <t>74</t>
  </si>
  <si>
    <t>$/mercenaries/6/def</t>
  </si>
  <si>
    <t>$/mercenaries/6/attack_speed</t>
  </si>
  <si>
    <t>$/mercenaries/6/range</t>
  </si>
  <si>
    <t>$/mercenaries/6/move_speed</t>
  </si>
  <si>
    <t>$/mercenaries/6/skill_id</t>
  </si>
  <si>
    <t>"king_aura"</t>
  </si>
  <si>
    <t>$/mercenaries/6/aura_radius</t>
  </si>
  <si>
    <t>$/mercenaries/6/ally_aspd_bonus</t>
  </si>
  <si>
    <t>$/mercenaries/6/ally_crit_bonus</t>
  </si>
  <si>
    <t>$/mercenaries/6/crit</t>
  </si>
  <si>
    <t>$/mercenaries/6/crit_dmg</t>
  </si>
  <si>
    <t>$/mercenaries/6/model</t>
  </si>
  <si>
    <t>"res://assets/models/mercenaries/merc_leo_sun_animated/merc_leo_sun_animated.tscn"</t>
  </si>
  <si>
    <t>$/mercenaries/6/model_visual_scale</t>
  </si>
  <si>
    <t>$/mercenaries/6/model_base_yaw</t>
  </si>
  <si>
    <t>$/mercenaries/6/model_idle_animation_name</t>
  </si>
  <si>
    <t>$/mercenaries/6/model_attack_animation_name</t>
  </si>
  <si>
    <t>$/mercenaries/6/model_attack_sync_seek</t>
  </si>
  <si>
    <t>$/mercenaries/6/model_attack_lock_time</t>
  </si>
  <si>
    <t>$/mercenaries/6/model_run_animation_name</t>
  </si>
  <si>
    <t>$/mercenaries/6/name_en</t>
  </si>
  <si>
    <t>"Sun King"</t>
  </si>
  <si>
    <t>$/mercenaries/7</t>
  </si>
  <si>
    <t>$/mercenaries/7/id</t>
  </si>
  <si>
    <t>"merc_sagittarius_rain"</t>
  </si>
  <si>
    <t>$/mercenaries/7/name</t>
  </si>
  <si>
    <t>"星轨猎人"</t>
  </si>
  <si>
    <t>$/mercenaries/7/cost</t>
  </si>
  <si>
    <t>$/mercenaries/7/carrot_cost</t>
  </si>
  <si>
    <t>$/mercenaries/7/hp</t>
  </si>
  <si>
    <t>1266</t>
  </si>
  <si>
    <t>$/mercenaries/7/atk</t>
  </si>
  <si>
    <t>$/mercenaries/7/def</t>
  </si>
  <si>
    <t>$/mercenaries/7/attack_speed</t>
  </si>
  <si>
    <t>1.25</t>
  </si>
  <si>
    <t>$/mercenaries/7/range</t>
  </si>
  <si>
    <t>$/mercenaries/7/move_speed</t>
  </si>
  <si>
    <t>$/mercenaries/7/skill_id</t>
  </si>
  <si>
    <t>"arrow_rain"</t>
  </si>
  <si>
    <t>$/mercenaries/7/skill_cd</t>
  </si>
  <si>
    <t>$/mercenaries/7/targets</t>
  </si>
  <si>
    <t>$/mercenaries/7/crit</t>
  </si>
  <si>
    <t>$/mercenaries/7/crit_dmg</t>
  </si>
  <si>
    <t>$/mercenaries/7/model</t>
  </si>
  <si>
    <t>"res://assets/models/mercenaries/merc_sagittarius_rain_animated/merc_sagittarius_rain_animated.tscn"</t>
  </si>
  <si>
    <t>$/mercenaries/7/model_visual_scale</t>
  </si>
  <si>
    <t>$/mercenaries/7/model_base_yaw</t>
  </si>
  <si>
    <t>$/mercenaries/7/model_idle_animation_name</t>
  </si>
  <si>
    <t>$/mercenaries/7/model_attack_animation_name</t>
  </si>
  <si>
    <t>$/mercenaries/7/model_attack_sync_seek</t>
  </si>
  <si>
    <t>$/mercenaries/7/model_attack_lock_time</t>
  </si>
  <si>
    <t>$/mercenaries/7/model_run_animation_name</t>
  </si>
  <si>
    <t>$/mercenaries/7/name_en</t>
  </si>
  <si>
    <t>"Star Hunter"</t>
  </si>
  <si>
    <t>$/mercenaries/8</t>
  </si>
  <si>
    <t>$/mercenaries/8/id</t>
  </si>
  <si>
    <t>"merc_aries_blood"</t>
  </si>
  <si>
    <t>$/mercenaries/8/model_in_place_actions</t>
  </si>
  <si>
    <t>$/mercenaries/8/model_in_place_actions/0</t>
  </si>
  <si>
    <t>$/mercenaries/8/name</t>
  </si>
  <si>
    <t>"狂战先锋"</t>
  </si>
  <si>
    <t>$/mercenaries/8/cost</t>
  </si>
  <si>
    <t>450</t>
  </si>
  <si>
    <t>$/mercenaries/8/carrot_cost</t>
  </si>
  <si>
    <t>27</t>
  </si>
  <si>
    <t>$/mercenaries/8/hp</t>
  </si>
  <si>
    <t>2266</t>
  </si>
  <si>
    <t>$/mercenaries/8/atk</t>
  </si>
  <si>
    <t>$/mercenaries/8/def</t>
  </si>
  <si>
    <t>$/mercenaries/8/attack_speed</t>
  </si>
  <si>
    <t>$/mercenaries/8/range</t>
  </si>
  <si>
    <t>$/mercenaries/8/move_speed</t>
  </si>
  <si>
    <t>$/mercenaries/8/skill_id</t>
  </si>
  <si>
    <t>"blood_rampage"</t>
  </si>
  <si>
    <t>$/mercenaries/8/hp_step</t>
  </si>
  <si>
    <t>$/mercenaries/8/aspd_per_step</t>
  </si>
  <si>
    <t>$/mercenaries/8/lifesteal_per_step</t>
  </si>
  <si>
    <t>$/mercenaries/8/crit</t>
  </si>
  <si>
    <t>$/mercenaries/8/crit_dmg</t>
  </si>
  <si>
    <t>$/mercenaries/8/model</t>
  </si>
  <si>
    <t>"res://assets/models/mercenaries/merc_aries_blood_animated/merc_aries_blood_animated.tscn"</t>
  </si>
  <si>
    <t>$/mercenaries/8/model_visual_scale</t>
  </si>
  <si>
    <t>$/mercenaries/8/model_base_yaw</t>
  </si>
  <si>
    <t>$/mercenaries/8/model_idle_animation_name</t>
  </si>
  <si>
    <t>$/mercenaries/8/model_attack_animation_name</t>
  </si>
  <si>
    <t>$/mercenaries/8/model_attack_sync_seek</t>
  </si>
  <si>
    <t>$/mercenaries/8/model_attack_lock_time</t>
  </si>
  <si>
    <t>$/mercenaries/8/model_run_animation_name</t>
  </si>
  <si>
    <t>$/mercenaries/8/name_en</t>
  </si>
  <si>
    <t>"Blood Vanguard"</t>
  </si>
  <si>
    <t>$/mercenaries/9</t>
  </si>
  <si>
    <t>$/mercenaries/9/id</t>
  </si>
  <si>
    <t>"merc_capricorn_steel"</t>
  </si>
  <si>
    <t>$/mercenaries/9/model_in_place_actions</t>
  </si>
  <si>
    <t>$/mercenaries/9/model_in_place_actions/0</t>
  </si>
  <si>
    <t>$/mercenaries/9/name</t>
  </si>
  <si>
    <t>"黑钢统帅"</t>
  </si>
  <si>
    <t>$/mercenaries/9/cost</t>
  </si>
  <si>
    <t>500</t>
  </si>
  <si>
    <t>$/mercenaries/9/carrot_cost</t>
  </si>
  <si>
    <t>$/mercenaries/9/hp</t>
  </si>
  <si>
    <t>1820</t>
  </si>
  <si>
    <t>$/mercenaries/9/atk</t>
  </si>
  <si>
    <t>$/mercenaries/9/def</t>
  </si>
  <si>
    <t>$/mercenaries/9/attack_speed</t>
  </si>
  <si>
    <t>$/mercenaries/9/range</t>
  </si>
  <si>
    <t>$/mercenaries/9/move_speed</t>
  </si>
  <si>
    <t>$/mercenaries/9/skill_id</t>
  </si>
  <si>
    <t>"steel_order"</t>
  </si>
  <si>
    <t>$/mercenaries/9/skill_cd</t>
  </si>
  <si>
    <t>$/mercenaries/9/buff_targets</t>
  </si>
  <si>
    <t>$/mercenaries/9/damage_reduction</t>
  </si>
  <si>
    <t>$/mercenaries/9/aspd_bonus</t>
  </si>
  <si>
    <t>$/mercenaries/9/duration</t>
  </si>
  <si>
    <t>$/mercenaries/9/control_time_reduction</t>
  </si>
  <si>
    <t>$/mercenaries/9/crit</t>
  </si>
  <si>
    <t>$/mercenaries/9/crit_dmg</t>
  </si>
  <si>
    <t>$/mercenaries/9/model</t>
  </si>
  <si>
    <t>"res://assets/models/mercenaries/merc_capricorn_steel_animated/merc_capricorn_steel_animated.tscn"</t>
  </si>
  <si>
    <t>$/mercenaries/9/model_visual_scale</t>
  </si>
  <si>
    <t>$/mercenaries/9/model_base_yaw</t>
  </si>
  <si>
    <t>$/mercenaries/9/model_idle_animation_name</t>
  </si>
  <si>
    <t>$/mercenaries/9/model_attack_animation_name</t>
  </si>
  <si>
    <t>$/mercenaries/9/model_attack_sync_seek</t>
  </si>
  <si>
    <t>$/mercenaries/9/model_attack_lock_time</t>
  </si>
  <si>
    <t>$/mercenaries/9/model_run_animation_name</t>
  </si>
  <si>
    <t>$/mercenaries/9/name_en</t>
  </si>
  <si>
    <t>"Steel Marshal"</t>
  </si>
  <si>
    <t>$/mercenaries/10</t>
  </si>
  <si>
    <t>$/mercenaries/10/id</t>
  </si>
  <si>
    <t>"merc_aquarius_time"</t>
  </si>
  <si>
    <t>$/mercenaries/10/name</t>
  </si>
  <si>
    <t>"时空观测者"</t>
  </si>
  <si>
    <t>$/mercenaries/10/cost</t>
  </si>
  <si>
    <t>550</t>
  </si>
  <si>
    <t>$/mercenaries/10/carrot_cost</t>
  </si>
  <si>
    <t>$/mercenaries/10/hp</t>
  </si>
  <si>
    <t>$/mercenaries/10/atk</t>
  </si>
  <si>
    <t>$/mercenaries/10/def</t>
  </si>
  <si>
    <t>$/mercenaries/10/attack_speed</t>
  </si>
  <si>
    <t>$/mercenaries/10/range</t>
  </si>
  <si>
    <t>$/mercenaries/10/move_speed</t>
  </si>
  <si>
    <t>$/mercenaries/10/skill_id</t>
  </si>
  <si>
    <t>"time_slow"</t>
  </si>
  <si>
    <t>$/mercenaries/10/skill_cd</t>
  </si>
  <si>
    <t>$/mercenaries/10/slow_pct</t>
  </si>
  <si>
    <t>$/mercenaries/10/duration</t>
  </si>
  <si>
    <t>$/mercenaries/10/skill_dodge_interval</t>
  </si>
  <si>
    <t>$/mercenaries/10/crit</t>
  </si>
  <si>
    <t>$/mercenaries/10/crit_dmg</t>
  </si>
  <si>
    <t>$/mercenaries/10/model</t>
  </si>
  <si>
    <t>"res://assets/models/mercenaries/merc_aquarius_time_animated/merc_aquarius_time_animated.tscn"</t>
  </si>
  <si>
    <t>$/mercenaries/10/model_visual_scale</t>
  </si>
  <si>
    <t>$/mercenaries/10/model_base_yaw</t>
  </si>
  <si>
    <t>$/mercenaries/10/model_idle_animation_name</t>
  </si>
  <si>
    <t>$/mercenaries/10/model_attack_animation_name</t>
  </si>
  <si>
    <t>$/mercenaries/10/model_attack_sync_seek</t>
  </si>
  <si>
    <t>$/mercenaries/10/model_attack_lock_time</t>
  </si>
  <si>
    <t>$/mercenaries/10/model_run_animation_name</t>
  </si>
  <si>
    <t>$/mercenaries/10/name_en</t>
  </si>
  <si>
    <t>"Time Observer"</t>
  </si>
  <si>
    <t>$/mercenaries/11</t>
  </si>
  <si>
    <t>$/mercenaries/11/id</t>
  </si>
  <si>
    <t>"merc_scorpio_death"</t>
  </si>
  <si>
    <t>$/mercenaries/11/name</t>
  </si>
  <si>
    <t>"冥界执行者"</t>
  </si>
  <si>
    <t>$/mercenaries/11/cost</t>
  </si>
  <si>
    <t>$/mercenaries/11/carrot_cost</t>
  </si>
  <si>
    <t>36</t>
  </si>
  <si>
    <t>$/mercenaries/11/hp</t>
  </si>
  <si>
    <t>2666</t>
  </si>
  <si>
    <t>$/mercenaries/11/atk</t>
  </si>
  <si>
    <t>124</t>
  </si>
  <si>
    <t>$/mercenaries/11/def</t>
  </si>
  <si>
    <t>$/mercenaries/11/attack_speed</t>
  </si>
  <si>
    <t>$/mercenaries/11/range</t>
  </si>
  <si>
    <t>$/mercenaries/11/move_speed</t>
  </si>
  <si>
    <t>$/mercenaries/11/skill_id</t>
  </si>
  <si>
    <t>"death_hunt"</t>
  </si>
  <si>
    <t>$/mercenaries/11/prefer_low_hp</t>
  </si>
  <si>
    <t>$/mercenaries/11/kill_heal_pct</t>
  </si>
  <si>
    <t>$/mercenaries/11/armor_break</t>
  </si>
  <si>
    <t>$/mercenaries/11/heal_reduction</t>
  </si>
  <si>
    <t>$/mercenaries/11/duration</t>
  </si>
  <si>
    <t>$/mercenaries/11/crit</t>
  </si>
  <si>
    <t>$/mercenaries/11/crit_dmg</t>
  </si>
  <si>
    <t>$/mercenaries/11/model</t>
  </si>
  <si>
    <t>"res://assets/models/mercenaries/merc_scorpio_death_animated/merc_scorpio_death_animated.tscn"</t>
  </si>
  <si>
    <t>$/mercenaries/11/model_visual_scale</t>
  </si>
  <si>
    <t>$/mercenaries/11/model_base_yaw</t>
  </si>
  <si>
    <t>$/mercenaries/11/model_idle_animation_name</t>
  </si>
  <si>
    <t>$/mercenaries/11/model_attack_animation_name</t>
  </si>
  <si>
    <t>$/mercenaries/11/model_attack_sync_seek</t>
  </si>
  <si>
    <t>$/mercenaries/11/model_attack_lock_time</t>
  </si>
  <si>
    <t>$/mercenaries/11/model_run_animation_name</t>
  </si>
  <si>
    <t>$/mercenaries/11/name_en</t>
  </si>
  <si>
    <t>"Death Executioner"</t>
  </si>
  <si>
    <t>data/treasure/treasures.json</t>
  </si>
  <si>
    <t>$/max_owned</t>
  </si>
  <si>
    <t>$/draw_rounds</t>
  </si>
  <si>
    <t>$/draw_rounds/0</t>
  </si>
  <si>
    <t>$/draw_rounds/1</t>
  </si>
  <si>
    <t>$/draw_rounds/2</t>
  </si>
  <si>
    <t>$/draw_rounds/3</t>
  </si>
  <si>
    <t>$/draw_rounds/4</t>
  </si>
  <si>
    <t>$/refresh_costs</t>
  </si>
  <si>
    <t>$/refresh_costs/0</t>
  </si>
  <si>
    <t>$/refresh_costs/1</t>
  </si>
  <si>
    <t>$/refresh_costs/2</t>
  </si>
  <si>
    <t>$/refresh_costs/3</t>
  </si>
  <si>
    <t>$/sets</t>
  </si>
  <si>
    <t>$/sets/defense</t>
  </si>
  <si>
    <t>"normal units hp+30 def+30 dodge+15"</t>
  </si>
  <si>
    <t>$/sets/control</t>
  </si>
  <si>
    <t>"basic-attack last hit refreshes the killer's skill cooldown"</t>
  </si>
  <si>
    <t>$/sets/attack</t>
  </si>
  <si>
    <t>"basic attack executes non-boss target at or below 10% hp (ignores invulnerable)"</t>
  </si>
  <si>
    <t>$/sets/money</t>
  </si>
  <si>
    <t>"+10% atk and hp per 1000 gold at battle start, capped at +100%"</t>
  </si>
  <si>
    <t>$/sets/element</t>
  </si>
  <si>
    <t>"20% attack proc, radius 180, enemies take 10% max hp"</t>
  </si>
  <si>
    <t>$/attribute_effects</t>
  </si>
  <si>
    <t>$/attribute_effects/fire</t>
  </si>
  <si>
    <t>"extra 40% atk damage"</t>
  </si>
  <si>
    <t>$/attribute_effects/ice</t>
  </si>
  <si>
    <t>"slow and attack speed down 1.5 sec"</t>
  </si>
  <si>
    <t>$/attribute_effects/thunder</t>
  </si>
  <si>
    <t>"25% interrupt"</t>
  </si>
  <si>
    <t>$/attribute_effects/poison</t>
  </si>
  <si>
    <t>"poison"</t>
  </si>
  <si>
    <t>$/treasures</t>
  </si>
  <si>
    <t>$/treasures/0</t>
  </si>
  <si>
    <t>$/treasures/0/id</t>
  </si>
  <si>
    <t>"def_iron_wall"</t>
  </si>
  <si>
    <t>$/treasures/0/name</t>
  </si>
  <si>
    <t>"铁壁之护"</t>
  </si>
  <si>
    <t>$/treasures/0/category</t>
  </si>
  <si>
    <t>"defense"</t>
  </si>
  <si>
    <t>$/treasures/0/name_en</t>
  </si>
  <si>
    <t>"Iron Wall"</t>
  </si>
  <si>
    <t>$/treasures/1</t>
  </si>
  <si>
    <t>$/treasures/1/id</t>
  </si>
  <si>
    <t>"def_life_monument"</t>
  </si>
  <si>
    <t>$/treasures/1/name</t>
  </si>
  <si>
    <t>"生命丰碑"</t>
  </si>
  <si>
    <t>$/treasures/1/category</t>
  </si>
  <si>
    <t>$/treasures/1/name_en</t>
  </si>
  <si>
    <t>"Life Monument"</t>
  </si>
  <si>
    <t>$/treasures/2</t>
  </si>
  <si>
    <t>$/treasures/2/id</t>
  </si>
  <si>
    <t>"def_formation_heal"</t>
  </si>
  <si>
    <t>$/treasures/2/name</t>
  </si>
  <si>
    <t>"法阵回春"</t>
  </si>
  <si>
    <t>$/treasures/2/category</t>
  </si>
  <si>
    <t>$/treasures/2/name_en</t>
  </si>
  <si>
    <t>"Formation Heal"</t>
  </si>
  <si>
    <t>$/treasures/3</t>
  </si>
  <si>
    <t>$/treasures/3/id</t>
  </si>
  <si>
    <t>"def_soul_counter"</t>
  </si>
  <si>
    <t>$/treasures/3/name</t>
  </si>
  <si>
    <t>"亡魂反击"</t>
  </si>
  <si>
    <t>$/treasures/3/category</t>
  </si>
  <si>
    <t>$/treasures/3/name_en</t>
  </si>
  <si>
    <t>"Soul Counter"</t>
  </si>
  <si>
    <t>$/treasures/4</t>
  </si>
  <si>
    <t>$/treasures/4/id</t>
  </si>
  <si>
    <t>"def_lifesteal_emblem"</t>
  </si>
  <si>
    <t>$/treasures/4/name</t>
  </si>
  <si>
    <t>"吸血纹章"</t>
  </si>
  <si>
    <t>$/treasures/4/category</t>
  </si>
  <si>
    <t>$/treasures/4/name_en</t>
  </si>
  <si>
    <t>"Lifesteal Emblem"</t>
  </si>
  <si>
    <t>$/treasures/5</t>
  </si>
  <si>
    <t>$/treasures/5/id</t>
  </si>
  <si>
    <t>"def_phantom_step"</t>
  </si>
  <si>
    <t>$/treasures/5/name</t>
  </si>
  <si>
    <t>"幻影步伐"</t>
  </si>
  <si>
    <t>$/treasures/5/category</t>
  </si>
  <si>
    <t>$/treasures/5/name_en</t>
  </si>
  <si>
    <t>"Phantom Step"</t>
  </si>
  <si>
    <t>$/treasures/6</t>
  </si>
  <si>
    <t>$/treasures/6/id</t>
  </si>
  <si>
    <t>"ctrl_shockwave"</t>
  </si>
  <si>
    <t>$/treasures/6/name</t>
  </si>
  <si>
    <t>"震荡余波"</t>
  </si>
  <si>
    <t>$/treasures/6/category</t>
  </si>
  <si>
    <t>"control"</t>
  </si>
  <si>
    <t>$/treasures/6/cooldown</t>
  </si>
  <si>
    <t>$/treasures/6/name_en</t>
  </si>
  <si>
    <t>"Shockwave"</t>
  </si>
  <si>
    <t>$/treasures/7</t>
  </si>
  <si>
    <t>$/treasures/7/id</t>
  </si>
  <si>
    <t>"ctrl_corrosive_needle"</t>
  </si>
  <si>
    <t>$/treasures/7/name</t>
  </si>
  <si>
    <t>"腐蚀毒针"</t>
  </si>
  <si>
    <t>$/treasures/7/category</t>
  </si>
  <si>
    <t>$/treasures/7/cooldown</t>
  </si>
  <si>
    <t>$/treasures/7/name_en</t>
  </si>
  <si>
    <t>"Corrosive Needle"</t>
  </si>
  <si>
    <t>$/treasures/8</t>
  </si>
  <si>
    <t>$/treasures/8/id</t>
  </si>
  <si>
    <t>"ctrl_interrupt_chain"</t>
  </si>
  <si>
    <t>$/treasures/8/name</t>
  </si>
  <si>
    <t>"打断锁链"</t>
  </si>
  <si>
    <t>$/treasures/8/category</t>
  </si>
  <si>
    <t>$/treasures/8/cooldown</t>
  </si>
  <si>
    <t>$/treasures/8/name_en</t>
  </si>
  <si>
    <t>"Interrupt Chain"</t>
  </si>
  <si>
    <t>$/treasures/9</t>
  </si>
  <si>
    <t>$/treasures/9/id</t>
  </si>
  <si>
    <t>"ctrl_time_compress"</t>
  </si>
  <si>
    <t>$/treasures/9/name</t>
  </si>
  <si>
    <t>"时空压缩"</t>
  </si>
  <si>
    <t>$/treasures/9/category</t>
  </si>
  <si>
    <t>$/treasures/9/skill_cooldown_multiplier</t>
  </si>
  <si>
    <t>$/treasures/9/name_en</t>
  </si>
  <si>
    <t>"Time Compress"</t>
  </si>
  <si>
    <t>$/treasures/10</t>
  </si>
  <si>
    <t>$/treasures/10/id</t>
  </si>
  <si>
    <t>"ctrl_binding_weight"</t>
  </si>
  <si>
    <t>$/treasures/10/damage_down</t>
  </si>
  <si>
    <t>$/treasures/10/name</t>
  </si>
  <si>
    <t>"束缚重压"</t>
  </si>
  <si>
    <t>$/treasures/10/category</t>
  </si>
  <si>
    <t>$/treasures/10/move_down</t>
  </si>
  <si>
    <t>$/treasures/10/attack_speed_down</t>
  </si>
  <si>
    <t>$/treasures/10/duration</t>
  </si>
  <si>
    <t>$/treasures/10/cooldown</t>
  </si>
  <si>
    <t>$/treasures/10/name_en</t>
  </si>
  <si>
    <t>"Binding Weight"</t>
  </si>
  <si>
    <t>$/treasures/11</t>
  </si>
  <si>
    <t>$/treasures/11/id</t>
  </si>
  <si>
    <t>"atk_blood_pact"</t>
  </si>
  <si>
    <t>$/treasures/11/name</t>
  </si>
  <si>
    <t>"血契之刃"</t>
  </si>
  <si>
    <t>$/treasures/11/category</t>
  </si>
  <si>
    <t>$/treasures/11/opening_atk_multiplier</t>
  </si>
  <si>
    <t>$/treasures/11/name_en</t>
  </si>
  <si>
    <t>"Blood Pact"</t>
  </si>
  <si>
    <t>$/treasures/12</t>
  </si>
  <si>
    <t>$/treasures/12/id</t>
  </si>
  <si>
    <t>"atk_fury_roster"</t>
  </si>
  <si>
    <t>$/treasures/12/name</t>
  </si>
  <si>
    <t>"狂怒阵容"</t>
  </si>
  <si>
    <t>$/treasures/12/category</t>
  </si>
  <si>
    <t>$/treasures/12/name_en</t>
  </si>
  <si>
    <t>"Fury Roster"</t>
  </si>
  <si>
    <t>$/treasures/13</t>
  </si>
  <si>
    <t>$/treasures/13/id</t>
  </si>
  <si>
    <t>"atk_burst_core"</t>
  </si>
  <si>
    <t>$/treasures/13/name</t>
  </si>
  <si>
    <t>"爆裂核心"</t>
  </si>
  <si>
    <t>$/treasures/13/category</t>
  </si>
  <si>
    <t>$/treasures/13/opening_crit_bonus</t>
  </si>
  <si>
    <t>$/treasures/13/name_en</t>
  </si>
  <si>
    <t>"Burst Core"</t>
  </si>
  <si>
    <t>$/treasures/14</t>
  </si>
  <si>
    <t>$/treasures/14/id</t>
  </si>
  <si>
    <t>"atk_wail_resonance"</t>
  </si>
  <si>
    <t>$/treasures/14/name</t>
  </si>
  <si>
    <t>"哀鸣共鸣"</t>
  </si>
  <si>
    <t>$/treasures/14/category</t>
  </si>
  <si>
    <t>$/treasures/14/kill_radius</t>
  </si>
  <si>
    <t>$/treasures/14/max_hp_true_damage</t>
  </si>
  <si>
    <t>$/treasures/14/name_en</t>
  </si>
  <si>
    <t>"Wail Resonance"</t>
  </si>
  <si>
    <t>$/treasures/15</t>
  </si>
  <si>
    <t>$/treasures/15/id</t>
  </si>
  <si>
    <t>"atk_frenzy_assault"</t>
  </si>
  <si>
    <t>$/treasures/15/name</t>
  </si>
  <si>
    <t>"狂暴进攻"</t>
  </si>
  <si>
    <t>$/treasures/15/category</t>
  </si>
  <si>
    <t>$/treasures/15/name_en</t>
  </si>
  <si>
    <t>"Frenzy Assault"</t>
  </si>
  <si>
    <t>$/treasures/16</t>
  </si>
  <si>
    <t>$/treasures/16/id</t>
  </si>
  <si>
    <t>"money_compound"</t>
  </si>
  <si>
    <t>$/treasures/16/name</t>
  </si>
  <si>
    <t>"复利之道"</t>
  </si>
  <si>
    <t>$/treasures/16/category</t>
  </si>
  <si>
    <t>"money"</t>
  </si>
  <si>
    <t>$/treasures/16/name_en</t>
  </si>
  <si>
    <t>"Compound Interest"</t>
  </si>
  <si>
    <t>$/treasures/17</t>
  </si>
  <si>
    <t>$/treasures/17/id</t>
  </si>
  <si>
    <t>"money_generous_fate"</t>
  </si>
  <si>
    <t>$/treasures/17/name</t>
  </si>
  <si>
    <t>"慷慨命运"</t>
  </si>
  <si>
    <t>$/treasures/17/category</t>
  </si>
  <si>
    <t>$/treasures/17/name_en</t>
  </si>
  <si>
    <t>"Generous Fate"</t>
  </si>
  <si>
    <t>$/treasures/18</t>
  </si>
  <si>
    <t>$/treasures/18/id</t>
  </si>
  <si>
    <t>"money_discount"</t>
  </si>
  <si>
    <t>$/treasures/18/name</t>
  </si>
  <si>
    <t>"折扣令牌"</t>
  </si>
  <si>
    <t>$/treasures/18/category</t>
  </si>
  <si>
    <t>$/treasures/18/name_en</t>
  </si>
  <si>
    <t>"Discount Token"</t>
  </si>
  <si>
    <t>$/treasures/19</t>
  </si>
  <si>
    <t>$/treasures/19/id</t>
  </si>
  <si>
    <t>"money_golden_altar"</t>
  </si>
  <si>
    <t>$/treasures/19/name</t>
  </si>
  <si>
    <t>"黄金祭坛"</t>
  </si>
  <si>
    <t>$/treasures/19/category</t>
  </si>
  <si>
    <t>$/treasures/19/name_en</t>
  </si>
  <si>
    <t>"Golden Altar"</t>
  </si>
  <si>
    <t>$/treasures/20</t>
  </si>
  <si>
    <t>$/treasures/20/id</t>
  </si>
  <si>
    <t>"money_lucky_envelope"</t>
  </si>
  <si>
    <t>$/treasures/20/name</t>
  </si>
  <si>
    <t>"幸运信封"</t>
  </si>
  <si>
    <t>$/treasures/20/category</t>
  </si>
  <si>
    <t>$/treasures/20/name_en</t>
  </si>
  <si>
    <t>"Lucky Envelope"</t>
  </si>
  <si>
    <t>$/treasures/21</t>
  </si>
  <si>
    <t>$/treasures/21/id</t>
  </si>
  <si>
    <t>"elem_flame_shatter"</t>
  </si>
  <si>
    <t>$/treasures/21/name</t>
  </si>
  <si>
    <t>"炎焰碎裂"</t>
  </si>
  <si>
    <t>$/treasures/21/category</t>
  </si>
  <si>
    <t>"element"</t>
  </si>
  <si>
    <t>$/treasures/21/proc_chance</t>
  </si>
  <si>
    <t>$/treasures/21/true_damage_atk_pct</t>
  </si>
  <si>
    <t>$/treasures/21/name_en</t>
  </si>
  <si>
    <t>"Flame Shatter"</t>
  </si>
  <si>
    <t>$/treasures/22</t>
  </si>
  <si>
    <t>$/treasures/22/id</t>
  </si>
  <si>
    <t>"elem_frost_blade"</t>
  </si>
  <si>
    <t>$/treasures/22/name</t>
  </si>
  <si>
    <t>"冰封霜刃"</t>
  </si>
  <si>
    <t>$/treasures/22/category</t>
  </si>
  <si>
    <t>$/treasures/22/proc_chance</t>
  </si>
  <si>
    <t>$/treasures/22/move_down</t>
  </si>
  <si>
    <t>$/treasures/22/attack_speed_down</t>
  </si>
  <si>
    <t>$/treasures/22/duration</t>
  </si>
  <si>
    <t>$/treasures/22/name_en</t>
  </si>
  <si>
    <t>"Frost Blade"</t>
  </si>
  <si>
    <t>$/treasures/23</t>
  </si>
  <si>
    <t>$/treasures/23/id</t>
  </si>
  <si>
    <t>"elem_thunder_haste"</t>
  </si>
  <si>
    <t>$/treasures/23/name</t>
  </si>
  <si>
    <t>"雷霆加速"</t>
  </si>
  <si>
    <t>$/treasures/23/category</t>
  </si>
  <si>
    <t>$/treasures/23/proc_chance</t>
  </si>
  <si>
    <t>$/treasures/23/attack_speed_bonus</t>
  </si>
  <si>
    <t>$/treasures/23/duration</t>
  </si>
  <si>
    <t>$/treasures/23/name_en</t>
  </si>
  <si>
    <t>"Thunder Haste"</t>
  </si>
  <si>
    <t>$/treasures/24</t>
  </si>
  <si>
    <t>$/treasures/24/id</t>
  </si>
  <si>
    <t>"elem_toxic_spread"</t>
  </si>
  <si>
    <t>$/treasures/24/name</t>
  </si>
  <si>
    <t>"剧毒蔓延"</t>
  </si>
  <si>
    <t>$/treasures/24/category</t>
  </si>
  <si>
    <t>$/treasures/24/proc_chance</t>
  </si>
  <si>
    <t>$/treasures/24/name_en</t>
  </si>
  <si>
    <t>"Toxic Spread"</t>
  </si>
  <si>
    <t>$/linkages</t>
  </si>
  <si>
    <t>$/linkages/0</t>
  </si>
  <si>
    <t>$/linkages/0/id</t>
  </si>
  <si>
    <t>"link_phoenix"</t>
  </si>
  <si>
    <t>$/linkages/0/requires</t>
  </si>
  <si>
    <t>$/linkages/0/requires/0</t>
  </si>
  <si>
    <t>$/linkages/0/requires/1</t>
  </si>
  <si>
    <t>$/linkages/1</t>
  </si>
  <si>
    <t>$/linkages/1/id</t>
  </si>
  <si>
    <t>"link_money_magic"</t>
  </si>
  <si>
    <t>$/linkages/1/requires</t>
  </si>
  <si>
    <t>$/linkages/1/requires/0</t>
  </si>
  <si>
    <t>$/linkages/1/requires/1</t>
  </si>
  <si>
    <t>$/linkages/2</t>
  </si>
  <si>
    <t>$/linkages/2/id</t>
  </si>
  <si>
    <t>"link_blood_covenant"</t>
  </si>
  <si>
    <t>$/linkages/2/requires</t>
  </si>
  <si>
    <t>$/linkages/2/requires/0</t>
  </si>
  <si>
    <t>$/linkages/2/requires/1</t>
  </si>
  <si>
    <t>$/linkages/2/true_damage_atk_pct</t>
  </si>
  <si>
    <t>$/linkages/3</t>
  </si>
  <si>
    <t>$/linkages/3/id</t>
  </si>
  <si>
    <t>"link_paralysis_shackles"</t>
  </si>
  <si>
    <t>$/linkages/3/heal_reduction</t>
  </si>
  <si>
    <t>$/linkages/3/requires</t>
  </si>
  <si>
    <t>$/linkages/3/requires/0</t>
  </si>
  <si>
    <t>$/linkages/3/requires/1</t>
  </si>
  <si>
    <t>$/linkages/3/ice_damage_taken_bonus</t>
  </si>
  <si>
    <t>$/linkages/4</t>
  </si>
  <si>
    <t>$/linkages/4/id</t>
  </si>
  <si>
    <t>"link_oppression_counter"</t>
  </si>
  <si>
    <t>$/linkages/4/requires</t>
  </si>
  <si>
    <t>$/linkages/4/requires/0</t>
  </si>
  <si>
    <t>$/linkages/4/requires/1</t>
  </si>
  <si>
    <t>$/linkages/5</t>
  </si>
  <si>
    <t>$/linkages/5/id</t>
  </si>
  <si>
    <t>"link_fraud_fate"</t>
  </si>
  <si>
    <t>$/linkages/5/requires</t>
  </si>
  <si>
    <t>$/linkages/5/requires/0</t>
  </si>
  <si>
    <t>$/linkages/5/requires/1</t>
  </si>
  <si>
    <t>$/linkages/6</t>
  </si>
  <si>
    <t>$/linkages/6/id</t>
  </si>
  <si>
    <t>"link_iron_maiden"</t>
  </si>
  <si>
    <t>$/linkages/6/requires</t>
  </si>
  <si>
    <t>$/linkages/6/requires/0</t>
  </si>
  <si>
    <t>$/linkages/6/requires/1</t>
  </si>
  <si>
    <t>$/linkages/7</t>
  </si>
  <si>
    <t>$/linkages/7/id</t>
  </si>
  <si>
    <t>"link_toxic_burst"</t>
  </si>
  <si>
    <t>$/linkages/7/requires</t>
  </si>
  <si>
    <t>$/linkages/7/requires/0</t>
  </si>
  <si>
    <t>$/linkages/7/requires/1</t>
  </si>
  <si>
    <t>$/linkages/7/proc_chance</t>
  </si>
  <si>
    <t>$/linkages/8</t>
  </si>
  <si>
    <t>$/linkages/8/id</t>
  </si>
  <si>
    <t>"link_rich_path"</t>
  </si>
  <si>
    <t>$/linkages/8/requires</t>
  </si>
  <si>
    <t>$/linkages/8/requires/0</t>
  </si>
  <si>
    <t>$/linkages/8/requires/1</t>
  </si>
  <si>
    <t>$/linkages/8/attack_gold_chance</t>
  </si>
  <si>
    <t>$/linkages/9</t>
  </si>
  <si>
    <t>$/linkages/9/id</t>
  </si>
  <si>
    <t>"link_clearance_sale"</t>
  </si>
  <si>
    <t>$/linkages/9/requires</t>
  </si>
  <si>
    <t>$/linkages/9/requires/0</t>
  </si>
  <si>
    <t>$/linkages/9/requires/1</t>
  </si>
  <si>
    <t>$/linkages/9/shop_price_multiplier</t>
  </si>
  <si>
    <t>$/linkages/10</t>
  </si>
  <si>
    <t>$/linkages/10/id</t>
  </si>
  <si>
    <t>"link_hu_pai_master"</t>
  </si>
  <si>
    <t>$/linkages/10/requires</t>
  </si>
  <si>
    <t>$/linkages/10/requires/0</t>
  </si>
  <si>
    <t>$/linkages/10/requires/1</t>
  </si>
  <si>
    <t>$/linkages/10/requires/2</t>
  </si>
  <si>
    <t>$/linkages/10/requires/3</t>
  </si>
  <si>
    <t>$/linkages/10/requires/4</t>
  </si>
  <si>
    <t>$/linkages/10/positive_effect_multiplier</t>
  </si>
  <si>
    <t>data/formation/formation_allies.json</t>
  </si>
  <si>
    <t>$/spawn_position</t>
  </si>
  <si>
    <t>"front"</t>
  </si>
  <si>
    <t>$/_comment</t>
  </si>
  <si>
    <t>"hp_band 是玩家自己的法阵血量（50 起）。血越多拿到越强的守护者。技能全部走 _tick_skills，skill_global 的跳过射程判定，opening_cd 控制首发时间。"</t>
  </si>
  <si>
    <t>$/allies</t>
  </si>
  <si>
    <t>$/allies/0</t>
  </si>
  <si>
    <t>$/allies/0/id</t>
  </si>
  <si>
    <t>"ally_flame_claw"</t>
  </si>
  <si>
    <t>$/allies/0/name</t>
  </si>
  <si>
    <t>"焰爪魔灵"</t>
  </si>
  <si>
    <t>$/allies/0/name_en</t>
  </si>
  <si>
    <t>"Flameclaw Imp"</t>
  </si>
  <si>
    <t>$/allies/0/hp_band</t>
  </si>
  <si>
    <t>$/allies/0/hp_band/0</t>
  </si>
  <si>
    <t>$/allies/0/hp_band/1</t>
  </si>
  <si>
    <t>$/allies/0/hp</t>
  </si>
  <si>
    <t>$/allies/0/atk</t>
  </si>
  <si>
    <t>$/allies/0/def</t>
  </si>
  <si>
    <t>$/allies/0/attack_speed</t>
  </si>
  <si>
    <t>$/allies/0/range</t>
  </si>
  <si>
    <t>$/allies/0/move_speed</t>
  </si>
  <si>
    <t>$/allies/0/skill_id</t>
  </si>
  <si>
    <t>"burn_claw"</t>
  </si>
  <si>
    <t>$/allies/0/skill_cd</t>
  </si>
  <si>
    <t>$/allies/0/self_heal</t>
  </si>
  <si>
    <t>$/allies/0/self_shield</t>
  </si>
  <si>
    <t>$/allies/0/shield_cap</t>
  </si>
  <si>
    <t>$/allies/0/burn_dps</t>
  </si>
  <si>
    <t>$/allies/0/burn_duration</t>
  </si>
  <si>
    <t>$/allies/0/model</t>
  </si>
  <si>
    <t>"res://assets/models/allies/formation_ally_1_animated/formation_ally_1_animated.tscn"</t>
  </si>
  <si>
    <t>$/allies/0/model_visual_scale</t>
  </si>
  <si>
    <t>$/allies/0/footprint_cells</t>
  </si>
  <si>
    <t>$/allies/0/model_base_yaw</t>
  </si>
  <si>
    <t>$/allies/0/model_idle_animation_name</t>
  </si>
  <si>
    <t>$/allies/0/model_attack_animation_name</t>
  </si>
  <si>
    <t>$/allies/0/model_attack_sync_seek</t>
  </si>
  <si>
    <t>$/allies/0/model_attack_lock_time</t>
  </si>
  <si>
    <t>$/allies/0/model_run_animation_name</t>
  </si>
  <si>
    <t>$/allies/1</t>
  </si>
  <si>
    <t>$/allies/1/id</t>
  </si>
  <si>
    <t>"ally_soul_chain"</t>
  </si>
  <si>
    <t>$/allies/1/name</t>
  </si>
  <si>
    <t>"暗狱锁魂者"</t>
  </si>
  <si>
    <t>$/allies/1/name_en</t>
  </si>
  <si>
    <t>"Abyssal Soulbinder"</t>
  </si>
  <si>
    <t>$/allies/1/hp_band</t>
  </si>
  <si>
    <t>$/allies/1/hp_band/0</t>
  </si>
  <si>
    <t>$/allies/1/hp_band/1</t>
  </si>
  <si>
    <t>$/allies/1/hp</t>
  </si>
  <si>
    <t>2400</t>
  </si>
  <si>
    <t>$/allies/1/atk</t>
  </si>
  <si>
    <t>86</t>
  </si>
  <si>
    <t>$/allies/1/def</t>
  </si>
  <si>
    <t>$/allies/1/attack_speed</t>
  </si>
  <si>
    <t>$/allies/1/range</t>
  </si>
  <si>
    <t>$/allies/1/move_speed</t>
  </si>
  <si>
    <t>$/allies/1/skill_id</t>
  </si>
  <si>
    <t>"soul_chain"</t>
  </si>
  <si>
    <t>$/allies/1/skill_global</t>
  </si>
  <si>
    <t>$/allies/1/opening_cd</t>
  </si>
  <si>
    <t>$/allies/1/skill_cd</t>
  </si>
  <si>
    <t>$/allies/1/stun_sec</t>
  </si>
  <si>
    <t>$/allies/1/aspd_down_pct</t>
  </si>
  <si>
    <t>$/allies/1/aspd_down_duration</t>
  </si>
  <si>
    <t>$/allies/1/model</t>
  </si>
  <si>
    <t>"res://assets/models/allies/formation_ally_2_animated/formation_ally_2_animated.tscn"</t>
  </si>
  <si>
    <t>$/allies/1/model_visual_scale</t>
  </si>
  <si>
    <t>$/allies/1/footprint_cells</t>
  </si>
  <si>
    <t>$/allies/1/model_base_yaw</t>
  </si>
  <si>
    <t>$/allies/1/model_idle_animation_name</t>
  </si>
  <si>
    <t>$/allies/1/model_attack_animation_name</t>
  </si>
  <si>
    <t>$/allies/1/model_attack_sync_seek</t>
  </si>
  <si>
    <t>$/allies/1/model_attack_lock_time</t>
  </si>
  <si>
    <t>$/allies/1/model_run_animation_name</t>
  </si>
  <si>
    <t>$/allies/2</t>
  </si>
  <si>
    <t>$/allies/2/id</t>
  </si>
  <si>
    <t>"ally_abyss_beast"</t>
  </si>
  <si>
    <t>$/allies/2/name</t>
  </si>
  <si>
    <t>"深渊噬兽"</t>
  </si>
  <si>
    <t>$/allies/2/name_en</t>
  </si>
  <si>
    <t>"Abyss Devourer"</t>
  </si>
  <si>
    <t>$/allies/2/hp_band</t>
  </si>
  <si>
    <t>$/allies/2/hp_band/0</t>
  </si>
  <si>
    <t>$/allies/2/hp_band/1</t>
  </si>
  <si>
    <t>$/allies/2/hp</t>
  </si>
  <si>
    <t>3200</t>
  </si>
  <si>
    <t>$/allies/2/atk</t>
  </si>
  <si>
    <t>$/allies/2/def</t>
  </si>
  <si>
    <t>$/allies/2/attack_speed</t>
  </si>
  <si>
    <t>$/allies/2/range</t>
  </si>
  <si>
    <t>$/allies/2/move_speed</t>
  </si>
  <si>
    <t>$/allies/2/skill_id</t>
  </si>
  <si>
    <t>"devour_bite"</t>
  </si>
  <si>
    <t>$/allies/2/skill_global</t>
  </si>
  <si>
    <t>$/allies/2/opening_cd</t>
  </si>
  <si>
    <t>$/allies/2/skill_cd</t>
  </si>
  <si>
    <t>12.0</t>
  </si>
  <si>
    <t>$/allies/2/silence_sec</t>
  </si>
  <si>
    <t>$/allies/2/lifesteal</t>
  </si>
  <si>
    <t>$/allies/2/model</t>
  </si>
  <si>
    <t>"res://assets/models/allies/formation_ally_3_animated/formation_ally_3_animated.tscn"</t>
  </si>
  <si>
    <t>$/allies/2/model_visual_scale</t>
  </si>
  <si>
    <t>$/allies/2/footprint_cells</t>
  </si>
  <si>
    <t>$/allies/2/model_base_yaw</t>
  </si>
  <si>
    <t>$/allies/2/model_idle_animation_name</t>
  </si>
  <si>
    <t>$/allies/2/model_attack_animation_name</t>
  </si>
  <si>
    <t>$/allies/2/model_attack_sync_seek</t>
  </si>
  <si>
    <t>$/allies/2/model_attack_lock_time</t>
  </si>
  <si>
    <t>$/allies/2/model_run_animation_name</t>
  </si>
  <si>
    <t>$/allies/3</t>
  </si>
  <si>
    <t>$/allies/3/id</t>
  </si>
  <si>
    <t>"ally_hell_inferno"</t>
  </si>
  <si>
    <t>$/allies/3/name</t>
  </si>
  <si>
    <t>"炼狱焚界者"</t>
  </si>
  <si>
    <t>$/allies/3/name_en</t>
  </si>
  <si>
    <t>"Inferno Scorcher"</t>
  </si>
  <si>
    <t>$/allies/3/hp_band</t>
  </si>
  <si>
    <t>$/allies/3/hp_band/0</t>
  </si>
  <si>
    <t>$/allies/3/hp_band/1</t>
  </si>
  <si>
    <t>40</t>
  </si>
  <si>
    <t>$/allies/3/hp</t>
  </si>
  <si>
    <t>4000</t>
  </si>
  <si>
    <t>$/allies/3/atk</t>
  </si>
  <si>
    <t>127</t>
  </si>
  <si>
    <t>$/allies/3/def</t>
  </si>
  <si>
    <t>$/allies/3/attack_speed</t>
  </si>
  <si>
    <t>$/allies/3/range</t>
  </si>
  <si>
    <t>$/allies/3/move_speed</t>
  </si>
  <si>
    <t>$/allies/3/skill_id</t>
  </si>
  <si>
    <t>"hell_burst"</t>
  </si>
  <si>
    <t>$/allies/3/skill_global</t>
  </si>
  <si>
    <t>$/allies/3/opening_cd</t>
  </si>
  <si>
    <t>$/allies/3/skill_cd</t>
  </si>
  <si>
    <t>$/allies/3/burn_dps</t>
  </si>
  <si>
    <t>$/allies/3/burn_duration</t>
  </si>
  <si>
    <t>$/allies/3/attack_down_pct</t>
  </si>
  <si>
    <t>$/allies/3/attack_down_duration</t>
  </si>
  <si>
    <t>$/allies/3/model</t>
  </si>
  <si>
    <t>"res://assets/models/allies/formation_ally_4_animated/formation_ally_4_animated.tscn"</t>
  </si>
  <si>
    <t>$/allies/3/model_visual_scale</t>
  </si>
  <si>
    <t>$/allies/3/footprint_cells</t>
  </si>
  <si>
    <t>$/allies/3/model_base_yaw</t>
  </si>
  <si>
    <t>$/allies/3/model_idle_animation_name</t>
  </si>
  <si>
    <t>$/allies/3/model_attack_animation_name</t>
  </si>
  <si>
    <t>$/allies/3/model_attack_sync_seek</t>
  </si>
  <si>
    <t>$/allies/3/model_attack_lock_time</t>
  </si>
  <si>
    <t>$/allies/3/model_run_animation_name</t>
  </si>
  <si>
    <t>$/allies/4</t>
  </si>
  <si>
    <t>$/allies/4/id</t>
  </si>
  <si>
    <t>"ally_eternal_night"</t>
  </si>
  <si>
    <t>$/allies/4/name</t>
  </si>
  <si>
    <t>"深渊魔君·厄夜"</t>
  </si>
  <si>
    <t>$/allies/4/name_en</t>
  </si>
  <si>
    <t>"Abyss Lord · Eternal Night"</t>
  </si>
  <si>
    <t>$/allies/4/hp_band</t>
  </si>
  <si>
    <t>$/allies/4/hp_band/0</t>
  </si>
  <si>
    <t>41</t>
  </si>
  <si>
    <t>$/allies/4/hp_band/1</t>
  </si>
  <si>
    <t>$/allies/4/hp</t>
  </si>
  <si>
    <t>5200</t>
  </si>
  <si>
    <t>$/allies/4/atk</t>
  </si>
  <si>
    <t>$/allies/4/def</t>
  </si>
  <si>
    <t>$/allies/4/attack_speed</t>
  </si>
  <si>
    <t>$/allies/4/range</t>
  </si>
  <si>
    <t>$/allies/4/move_speed</t>
  </si>
  <si>
    <t>$/allies/4/skill_id</t>
  </si>
  <si>
    <t>"eternal_night"</t>
  </si>
  <si>
    <t>$/allies/4/skill_global</t>
  </si>
  <si>
    <t>$/allies/4/opening_cd</t>
  </si>
  <si>
    <t>$/allies/4/skill_cd</t>
  </si>
  <si>
    <t>$/allies/4/meteor_damage</t>
  </si>
  <si>
    <t>$/allies/4/model</t>
  </si>
  <si>
    <t>"res://assets/models/allies/formation_ally_5_animated/formation_ally_5_animated.tscn"</t>
  </si>
  <si>
    <t>$/allies/4/model_visual_scale</t>
  </si>
  <si>
    <t>$/allies/4/footprint_cells</t>
  </si>
  <si>
    <t>$/allies/4/model_base_yaw</t>
  </si>
  <si>
    <t>$/allies/4/model_idle_animation_name</t>
  </si>
  <si>
    <t>$/allies/4/model_attack_animation_name</t>
  </si>
  <si>
    <t>$/allies/4/model_attack_sync_seek</t>
  </si>
  <si>
    <t>$/allies/4/model_attack_lock_time</t>
  </si>
  <si>
    <t>$/allies/4/model_run_animation_name</t>
  </si>
  <si>
    <t>data/pets/pets.json</t>
  </si>
  <si>
    <t>$/starter_ids</t>
  </si>
  <si>
    <t>$/starter_ids/0</t>
  </si>
  <si>
    <t>"pet_mushroom"</t>
  </si>
  <si>
    <t>$/starter_ids/1</t>
  </si>
  <si>
    <t>"pet_cat"</t>
  </si>
  <si>
    <t>$/starter_ids/2</t>
  </si>
  <si>
    <t>"pet_rabbit"</t>
  </si>
  <si>
    <t>$/pets</t>
  </si>
  <si>
    <t>$/pets/0</t>
  </si>
  <si>
    <t>$/pets/0/id</t>
  </si>
  <si>
    <t>$/pets/0/name</t>
  </si>
  <si>
    <t>"蘑菇"</t>
  </si>
  <si>
    <t>$/pets/0/name_en</t>
  </si>
  <si>
    <t>"Mushroom"</t>
  </si>
  <si>
    <t>$/pets/0/effect</t>
  </si>
  <si>
    <t>"self_hp_pct"</t>
  </si>
  <si>
    <t>$/pets/0/value</t>
  </si>
  <si>
    <t>$/pets/0/model</t>
  </si>
  <si>
    <t>"res://assets/models/pets/pet_mushroom/pet_mushroom_animated.tscn"</t>
  </si>
  <si>
    <t>$/pets/0/model_scale</t>
  </si>
  <si>
    <t>$/pets/0/model_y</t>
  </si>
  <si>
    <t>$/pets/0/icon</t>
  </si>
  <si>
    <t>"res://assets/ui/pets/pet_mushroom_illustration.png"</t>
  </si>
  <si>
    <t>$/pets/1</t>
  </si>
  <si>
    <t>$/pets/1/id</t>
  </si>
  <si>
    <t>$/pets/1/name</t>
  </si>
  <si>
    <t>"猫"</t>
  </si>
  <si>
    <t>$/pets/1/name_en</t>
  </si>
  <si>
    <t>"Cat"</t>
  </si>
  <si>
    <t>$/pets/1/effect</t>
  </si>
  <si>
    <t>"interest_pct"</t>
  </si>
  <si>
    <t>$/pets/1/value</t>
  </si>
  <si>
    <t>$/pets/1/model</t>
  </si>
  <si>
    <t>"res://assets/models/pets/pet_cat/pet_cat_animated.tscn"</t>
  </si>
  <si>
    <t>$/pets/1/model_scale</t>
  </si>
  <si>
    <t>$/pets/1/model_y</t>
  </si>
  <si>
    <t>$/pets/1/icon</t>
  </si>
  <si>
    <t>"res://assets/ui/pets/pet_cat_illustration.png"</t>
  </si>
  <si>
    <t>$/pets/2</t>
  </si>
  <si>
    <t>$/pets/2/id</t>
  </si>
  <si>
    <t>$/pets/2/name</t>
  </si>
  <si>
    <t>"兔子"</t>
  </si>
  <si>
    <t>$/pets/2/name_en</t>
  </si>
  <si>
    <t>"Rabbit"</t>
  </si>
  <si>
    <t>$/pets/2/effect</t>
  </si>
  <si>
    <t>"self_atk_pct"</t>
  </si>
  <si>
    <t>$/pets/2/value</t>
  </si>
  <si>
    <t>$/pets/2/model</t>
  </si>
  <si>
    <t>"res://assets/models/pets/pet_rabbit/pet_rabbit_animated.tscn"</t>
  </si>
  <si>
    <t>$/pets/2/model_scale</t>
  </si>
  <si>
    <t>$/pets/2/model_y</t>
  </si>
  <si>
    <t>$/pets/2/icon</t>
  </si>
  <si>
    <t>"res://assets/ui/pets/pet_rabbit_illustration.png"</t>
  </si>
  <si>
    <t>$/pets/3</t>
  </si>
  <si>
    <t>$/pets/3/id</t>
  </si>
  <si>
    <t>"pet_squirrel"</t>
  </si>
  <si>
    <t>$/pets/3/name</t>
  </si>
  <si>
    <t>"松鼠"</t>
  </si>
  <si>
    <t>$/pets/3/name_en</t>
  </si>
  <si>
    <t>"Squirrel"</t>
  </si>
  <si>
    <t>$/pets/3/effect</t>
  </si>
  <si>
    <t>"carrot_harvest_capacity_pct"</t>
  </si>
  <si>
    <t>$/pets/3/value</t>
  </si>
  <si>
    <t>$/pets/3/model</t>
  </si>
  <si>
    <t>"res://assets/models/pets/pet_squirrel/pet_squirrel_animated.tscn"</t>
  </si>
  <si>
    <t>$/pets/3/model_scale</t>
  </si>
  <si>
    <t>$/pets/3/model_y</t>
  </si>
  <si>
    <t>$/pets/3/icon</t>
  </si>
  <si>
    <t>"res://assets/ui/pets/pet_squirrel_illustration.png"</t>
  </si>
  <si>
    <t>$/pets/4</t>
  </si>
  <si>
    <t>$/pets/4/id</t>
  </si>
  <si>
    <t>"pet_tiger"</t>
  </si>
  <si>
    <t>$/pets/4/name</t>
  </si>
  <si>
    <t>"老虎"</t>
  </si>
  <si>
    <t>$/pets/4/name_en</t>
  </si>
  <si>
    <t>"Tiger"</t>
  </si>
  <si>
    <t>$/pets/4/effect</t>
  </si>
  <si>
    <t>"tier1_upgrade_growth"</t>
  </si>
  <si>
    <t>$/pets/4/value</t>
  </si>
  <si>
    <t>$/pets/4/model</t>
  </si>
  <si>
    <t>"res://assets/models/pets/pet_tiger/pet_tiger_animated.tscn"</t>
  </si>
  <si>
    <t>$/pets/4/model_scale</t>
  </si>
  <si>
    <t>$/pets/4/model_y</t>
  </si>
  <si>
    <t>$/pets/4/icon</t>
  </si>
  <si>
    <t>"res://assets/ui/pets/pet_tiger_illustration.png"</t>
  </si>
  <si>
    <t>data/shop.json</t>
  </si>
  <si>
    <t>$/schema_version</t>
  </si>
  <si>
    <t>$/_why</t>
  </si>
  <si>
    <t>"商品 id 与内容 id 刻意脱钩。id 卖出去过就永不改变，改名、改图、改模型都只改 grants 指向的那份数据；同一只宠物可以在不同活动里以不同价格、不同包装上架，都指向同一个 grants。理由与事故先例见 docs/商城系统设计.md 第四节。"</t>
  </si>
  <si>
    <t>$/_free_by_omission</t>
  </si>
  <si>
    <t>"🔴 不在这个文件里的内容一律免费。现有 20 张头像与 frame_default 上线时就是免费的，不能因为做了商城就变成付费 —— 那是对已经在用它的玩家的回收。要卖新头像就出新图、给新 id，别把老的挪进来。判定在 backend/app/shop.py 的 requires_entitlement()。"</t>
  </si>
  <si>
    <t>$/_price_note</t>
  </si>
  <si>
    <t>"普通宠物按七日登录规格定价 500 游戏币。改价格不会改动历史订单的价格快照。"</t>
  </si>
  <si>
    <t>$/_currency_note</t>
  </si>
  <si>
    <t>"currency 只能是 diamond 或 coin。coin 是账号游戏币，区别于对局内 gold。enabled=false 的内容仍需归属，但不在商店出售。"</t>
  </si>
  <si>
    <t>$/items</t>
  </si>
  <si>
    <t>$/items/0</t>
  </si>
  <si>
    <t>$/items/0/id</t>
  </si>
  <si>
    <t>"shop_pet_mushroom"</t>
  </si>
  <si>
    <t>$/items/0/kind</t>
  </si>
  <si>
    <t>"pet"</t>
  </si>
  <si>
    <t>$/items/0/grants</t>
  </si>
  <si>
    <t>$/items/0/currency</t>
  </si>
  <si>
    <t>"coin"</t>
  </si>
  <si>
    <t>$/items/0/price</t>
  </si>
  <si>
    <t>$/items/0/name</t>
  </si>
  <si>
    <t>$/items/0/name_en</t>
  </si>
  <si>
    <t>$/items/1</t>
  </si>
  <si>
    <t>$/items/1/id</t>
  </si>
  <si>
    <t>"shop_pet_cat"</t>
  </si>
  <si>
    <t>$/items/1/kind</t>
  </si>
  <si>
    <t>$/items/1/grants</t>
  </si>
  <si>
    <t>$/items/1/currency</t>
  </si>
  <si>
    <t>$/items/1/price</t>
  </si>
  <si>
    <t>$/items/1/name</t>
  </si>
  <si>
    <t>$/items/1/name_en</t>
  </si>
  <si>
    <t>$/items/2</t>
  </si>
  <si>
    <t>$/items/2/id</t>
  </si>
  <si>
    <t>"shop_pet_rabbit"</t>
  </si>
  <si>
    <t>$/items/2/kind</t>
  </si>
  <si>
    <t>$/items/2/grants</t>
  </si>
  <si>
    <t>$/items/2/currency</t>
  </si>
  <si>
    <t>$/items/2/price</t>
  </si>
  <si>
    <t>$/items/2/name</t>
  </si>
  <si>
    <t>$/items/2/name_en</t>
  </si>
  <si>
    <t>$/items/3</t>
  </si>
  <si>
    <t>$/items/3/id</t>
  </si>
  <si>
    <t>"shop_prep_skin_ice"</t>
  </si>
  <si>
    <t>$/items/3/kind</t>
  </si>
  <si>
    <t>"prep_skin"</t>
  </si>
  <si>
    <t>$/items/3/grants</t>
  </si>
  <si>
    <t>"prep_skin_ice"</t>
  </si>
  <si>
    <t>$/items/3/currency</t>
  </si>
  <si>
    <t>"diamond"</t>
  </si>
  <si>
    <t>$/items/3/price</t>
  </si>
  <si>
    <t>$/items/3/enabled</t>
  </si>
  <si>
    <t>$/items/3/name</t>
  </si>
  <si>
    <t>"冰雪棋盘"</t>
  </si>
  <si>
    <t>$/items/3/name_en</t>
  </si>
  <si>
    <t>"Frost Board"</t>
  </si>
  <si>
    <t>$/items/4</t>
  </si>
  <si>
    <t>$/items/4/id</t>
  </si>
  <si>
    <t>"event_frame_7day_ice"</t>
  </si>
  <si>
    <t>$/items/4/kind</t>
  </si>
  <si>
    <t>"avatar_frame"</t>
  </si>
  <si>
    <t>$/items/4/grants</t>
  </si>
  <si>
    <t>"preset:avatar_frame_7day_01"</t>
  </si>
  <si>
    <t>$/items/4/currency</t>
  </si>
  <si>
    <t>$/items/4/price</t>
  </si>
  <si>
    <t>$/items/4/enabled</t>
  </si>
  <si>
    <t>$/items/4/name</t>
  </si>
  <si>
    <t>"冰雪七日头像框"</t>
  </si>
  <si>
    <t>$/items/4/name_en</t>
  </si>
  <si>
    <t>"Frost Seven-Day Frame"</t>
  </si>
  <si>
    <t>$/items/5</t>
  </si>
  <si>
    <t>$/items/5/id</t>
  </si>
  <si>
    <t>"shop_frame_emerald"</t>
  </si>
  <si>
    <t>$/items/5/kind</t>
  </si>
  <si>
    <t>$/items/5/grants</t>
  </si>
  <si>
    <t>"preset:avatar_frame_shop_01"</t>
  </si>
  <si>
    <t>$/items/5/currency</t>
  </si>
  <si>
    <t>$/items/5/price</t>
  </si>
  <si>
    <t>$/items/5/name</t>
  </si>
  <si>
    <t>"翡翠森境"</t>
  </si>
  <si>
    <t>$/items/5/name_en</t>
  </si>
  <si>
    <t>"Emerald Grove"</t>
  </si>
  <si>
    <t>$/items/6</t>
  </si>
  <si>
    <t>$/items/6/id</t>
  </si>
  <si>
    <t>"shop_frame_frost"</t>
  </si>
  <si>
    <t>$/items/6/kind</t>
  </si>
  <si>
    <t>$/items/6/grants</t>
  </si>
  <si>
    <t>"preset:avatar_frame_shop_02"</t>
  </si>
  <si>
    <t>$/items/6/currency</t>
  </si>
  <si>
    <t>$/items/6/price</t>
  </si>
  <si>
    <t>$/items/6/name</t>
  </si>
  <si>
    <t>"霜晶王冠"</t>
  </si>
  <si>
    <t>$/items/6/name_en</t>
  </si>
  <si>
    <t>"Frost Crown"</t>
  </si>
  <si>
    <t>$/items/7</t>
  </si>
  <si>
    <t>$/items/7/id</t>
  </si>
  <si>
    <t>"shop_frame_dragon"</t>
  </si>
  <si>
    <t>$/items/7/kind</t>
  </si>
  <si>
    <t>$/items/7/grants</t>
  </si>
  <si>
    <t>"preset:avatar_frame_shop_03"</t>
  </si>
  <si>
    <t>$/items/7/currency</t>
  </si>
  <si>
    <t>$/items/7/price</t>
  </si>
  <si>
    <t>$/items/7/name</t>
  </si>
  <si>
    <t>"鎏金龙鳞"</t>
  </si>
  <si>
    <t>$/items/7/name_en</t>
  </si>
  <si>
    <t>"Gilded Dragon"</t>
  </si>
  <si>
    <t>$/items/8</t>
  </si>
  <si>
    <t>$/items/8/id</t>
  </si>
  <si>
    <t>"shop_frame_astral"</t>
  </si>
  <si>
    <t>$/items/8/kind</t>
  </si>
  <si>
    <t>$/items/8/grants</t>
  </si>
  <si>
    <t>"preset:avatar_frame_shop_04"</t>
  </si>
  <si>
    <t>$/items/8/currency</t>
  </si>
  <si>
    <t>$/items/8/price</t>
  </si>
  <si>
    <t>$/items/8/name</t>
  </si>
  <si>
    <t>"星穹秘环"</t>
  </si>
  <si>
    <t>$/items/8/name_en</t>
  </si>
  <si>
    <t>"Astral Halo"</t>
  </si>
  <si>
    <t>$/items/9</t>
  </si>
  <si>
    <t>$/items/9/id</t>
  </si>
  <si>
    <t>"shop_frame_inferno"</t>
  </si>
  <si>
    <t>$/items/9/kind</t>
  </si>
  <si>
    <t>$/items/9/grants</t>
  </si>
  <si>
    <t>"preset:avatar_frame_shop_05"</t>
  </si>
  <si>
    <t>$/items/9/currency</t>
  </si>
  <si>
    <t>$/items/9/price</t>
  </si>
  <si>
    <t>$/items/9/name</t>
  </si>
  <si>
    <t>"炽焰之心"</t>
  </si>
  <si>
    <t>$/items/9/name_en</t>
  </si>
  <si>
    <t>"Inferno Heart"</t>
  </si>
  <si>
    <t>$/items/10</t>
  </si>
  <si>
    <t>$/items/10/id</t>
  </si>
  <si>
    <t>"draw_pet_squirrel"</t>
  </si>
  <si>
    <t>$/items/10/kind</t>
  </si>
  <si>
    <t>$/items/10/grants</t>
  </si>
  <si>
    <t>$/items/10/currency</t>
  </si>
  <si>
    <t>$/items/10/price</t>
  </si>
  <si>
    <t>$/items/10/enabled</t>
  </si>
  <si>
    <t>$/items/10/name</t>
  </si>
  <si>
    <t>$/items/10/name_en</t>
  </si>
  <si>
    <t>$/items/11</t>
  </si>
  <si>
    <t>$/items/11/id</t>
  </si>
  <si>
    <t>"draw_pet_tiger"</t>
  </si>
  <si>
    <t>$/items/11/kind</t>
  </si>
  <si>
    <t>$/items/11/grants</t>
  </si>
  <si>
    <t>$/items/11/currency</t>
  </si>
  <si>
    <t>$/items/11/price</t>
  </si>
  <si>
    <t>$/items/11/enabled</t>
  </si>
  <si>
    <t>$/items/11/name</t>
  </si>
  <si>
    <t>$/items/11/name_en</t>
  </si>
  <si>
    <t>data/codex/treasure_text.json</t>
  </si>
  <si>
    <t>$/_source</t>
  </si>
  <si>
    <t>"Chinese fields were first parsed from docs/宝藏效果总表.md; that parser is not in the repo, so this file is now maintained by hand — keep it and the doc in sync. The *_en fields are hand-written. The sets section is the only copy of the set bonus text: the codex and the prep treasure detail both read it."</t>
  </si>
  <si>
    <t>$/treasures/def_iron_wall</t>
  </si>
  <si>
    <t>$/treasures/def_iron_wall/name</t>
  </si>
  <si>
    <t>$/treasures/def_iron_wall/name_en</t>
  </si>
  <si>
    <t>$/treasures/def_iron_wall/effect</t>
  </si>
  <si>
    <t>"我方普通棋子 DEF +10"</t>
  </si>
  <si>
    <t>$/treasures/def_iron_wall/effect_en</t>
  </si>
  <si>
    <t>"Allied normal pieces gain DEF +10"</t>
  </si>
  <si>
    <t>$/treasures/def_iron_wall/trigger</t>
  </si>
  <si>
    <t>"开战时"</t>
  </si>
  <si>
    <t>$/treasures/def_iron_wall/trigger_en</t>
  </si>
  <si>
    <t>"Battle start"</t>
  </si>
  <si>
    <t>$/treasures/def_life_monument</t>
  </si>
  <si>
    <t>$/treasures/def_life_monument/name</t>
  </si>
  <si>
    <t>$/treasures/def_life_monument/name_en</t>
  </si>
  <si>
    <t>$/treasures/def_life_monument/effect</t>
  </si>
  <si>
    <t>"我方普通棋子最大生命 +20%，当前生命同步提高；胡牌手激活后为 +40%"</t>
  </si>
  <si>
    <t>$/treasures/def_life_monument/effect_en</t>
  </si>
  <si>
    <t>"Allied normal pieces gain +20% max HP, current HP raised to match; +40% once Winning Hand is active"</t>
  </si>
  <si>
    <t>$/treasures/def_life_monument/trigger</t>
  </si>
  <si>
    <t>$/treasures/def_life_monument/trigger_en</t>
  </si>
  <si>
    <t>$/treasures/def_formation_heal</t>
  </si>
  <si>
    <t>$/treasures/def_formation_heal/name</t>
  </si>
  <si>
    <t>$/treasures/def_formation_heal/name_en</t>
  </si>
  <si>
    <t>$/treasures/def_formation_heal/effect</t>
  </si>
  <si>
    <t>"胜利或平局后法阵 HP +1，失败后 +2，不超过初始上限"</t>
  </si>
  <si>
    <t>$/treasures/def_formation_heal/effect_en</t>
  </si>
  <si>
    <t>"After a win or draw, restore 1 formation HP; after a loss, restore 2, up to the starting cap"</t>
  </si>
  <si>
    <t>$/treasures/def_formation_heal/trigger</t>
  </si>
  <si>
    <t>"每次战后"</t>
  </si>
  <si>
    <t>$/treasures/def_formation_heal/trigger_en</t>
  </si>
  <si>
    <t>"After each battle"</t>
  </si>
  <si>
    <t>$/treasures/def_soul_counter</t>
  </si>
  <si>
    <t>$/treasures/def_soul_counter/name</t>
  </si>
  <si>
    <t>$/treasures/def_soul_counter/name_en</t>
  </si>
  <si>
    <t>$/treasures/def_soul_counter/effect</t>
  </si>
  <si>
    <t>"我方普通棋子死亡时，对击杀者造成击杀者最大生命 35% 真实伤害"</t>
  </si>
  <si>
    <t>$/treasures/def_soul_counter/effect_en</t>
  </si>
  <si>
    <t>"When an allied normal piece dies, deal 35% of the killer's max HP to the killer as true damage"</t>
  </si>
  <si>
    <t>$/treasures/def_soul_counter/trigger</t>
  </si>
  <si>
    <t>"我方普通棋子死亡时"</t>
  </si>
  <si>
    <t>$/treasures/def_soul_counter/trigger_en</t>
  </si>
  <si>
    <t>"When an allied normal piece dies"</t>
  </si>
  <si>
    <t>$/treasures/def_lifesteal_emblem</t>
  </si>
  <si>
    <t>$/treasures/def_lifesteal_emblem/name</t>
  </si>
  <si>
    <t>$/treasures/def_lifesteal_emblem/name_en</t>
  </si>
  <si>
    <t>$/treasures/def_lifesteal_emblem/effect</t>
  </si>
  <si>
    <t>"我方普通棋子造成伤害后，回复实际伤害 20% 的生命"</t>
  </si>
  <si>
    <t>$/treasures/def_lifesteal_emblem/effect_en</t>
  </si>
  <si>
    <t>"Allied normal pieces heal for 20% of the damage they actually deal"</t>
  </si>
  <si>
    <t>$/treasures/def_lifesteal_emblem/trigger</t>
  </si>
  <si>
    <t>"普通棋子造成伤害后"</t>
  </si>
  <si>
    <t>$/treasures/def_lifesteal_emblem/trigger_en</t>
  </si>
  <si>
    <t>"After a normal piece deals damage"</t>
  </si>
  <si>
    <t>$/treasures/def_phantom_step</t>
  </si>
  <si>
    <t>$/treasures/def_phantom_step/name</t>
  </si>
  <si>
    <t>$/treasures/def_phantom_step/name_en</t>
  </si>
  <si>
    <t>$/treasures/def_phantom_step/effect</t>
  </si>
  <si>
    <t>"我方普通棋子闪避 +20%"</t>
  </si>
  <si>
    <t>$/treasures/def_phantom_step/effect_en</t>
  </si>
  <si>
    <t>"Allied normal pieces gain +20% dodge"</t>
  </si>
  <si>
    <t>$/treasures/def_phantom_step/trigger</t>
  </si>
  <si>
    <t>$/treasures/def_phantom_step/trigger_en</t>
  </si>
  <si>
    <t>$/treasures/ctrl_shockwave</t>
  </si>
  <si>
    <t>$/treasures/ctrl_shockwave/name</t>
  </si>
  <si>
    <t>$/treasures/ctrl_shockwave/name_en</t>
  </si>
  <si>
    <t>$/treasures/ctrl_shockwave/effect</t>
  </si>
  <si>
    <t>"当前目标眩晕 1 秒，冷却 5 秒；胡牌手激活后眩晕 2 秒"</t>
  </si>
  <si>
    <t>$/treasures/ctrl_shockwave/effect_en</t>
  </si>
  <si>
    <t>"Stun the current target for 1s, 5s cooldown; 2s once Winning Hand is active"</t>
  </si>
  <si>
    <t>$/treasures/ctrl_shockwave/trigger</t>
  </si>
  <si>
    <t>"我方普通棋子攻击时"</t>
  </si>
  <si>
    <t>$/treasures/ctrl_shockwave/trigger_en</t>
  </si>
  <si>
    <t>"When an allied normal piece attacks"</t>
  </si>
  <si>
    <t>$/treasures/ctrl_corrosive_needle</t>
  </si>
  <si>
    <t>$/treasures/ctrl_corrosive_needle/name</t>
  </si>
  <si>
    <t>$/treasures/ctrl_corrosive_needle/name_en</t>
  </si>
  <si>
    <t>$/treasures/ctrl_corrosive_needle/effect</t>
  </si>
  <si>
    <t>"每第 4 次攻击使目标失血 3 秒，冷却 5 秒"</t>
  </si>
  <si>
    <t>$/treasures/ctrl_corrosive_needle/effect_en</t>
  </si>
  <si>
    <t>"Every 4th attack bleeds the target for 3s, 5s cooldown"</t>
  </si>
  <si>
    <t>$/treasures/ctrl_corrosive_needle/trigger</t>
  </si>
  <si>
    <t>$/treasures/ctrl_corrosive_needle/trigger_en</t>
  </si>
  <si>
    <t>$/treasures/ctrl_interrupt_chain</t>
  </si>
  <si>
    <t>$/treasures/ctrl_interrupt_chain/name</t>
  </si>
  <si>
    <t>$/treasures/ctrl_interrupt_chain/name_en</t>
  </si>
  <si>
    <t>$/treasures/ctrl_interrupt_chain/effect</t>
  </si>
  <si>
    <t>"攻击时 25% 概率缴械目标 1.5 秒，冷却 3 秒"</t>
  </si>
  <si>
    <t>$/treasures/ctrl_interrupt_chain/effect_en</t>
  </si>
  <si>
    <t>"On attack, 25% chance to disarm for 1.5s, 3s cooldown"</t>
  </si>
  <si>
    <t>$/treasures/ctrl_interrupt_chain/trigger</t>
  </si>
  <si>
    <t>$/treasures/ctrl_interrupt_chain/trigger_en</t>
  </si>
  <si>
    <t>$/treasures/ctrl_time_compress</t>
  </si>
  <si>
    <t>$/treasures/ctrl_time_compress/name</t>
  </si>
  <si>
    <t>$/treasures/ctrl_time_compress/name_en</t>
  </si>
  <si>
    <t>$/treasures/ctrl_time_compress/effect</t>
  </si>
  <si>
    <t>"我方普通棋子技能冷却缩短 25%，首次与后续冷却均乘以 0.75"</t>
  </si>
  <si>
    <t>$/treasures/ctrl_time_compress/effect_en</t>
  </si>
  <si>
    <t>"Allied normal pieces' skill cooldowns are cut by 25% — opening and later cooldowns both ×0.75"</t>
  </si>
  <si>
    <t>$/treasures/ctrl_time_compress/trigger</t>
  </si>
  <si>
    <t>"持续生效"</t>
  </si>
  <si>
    <t>$/treasures/ctrl_time_compress/trigger_en</t>
  </si>
  <si>
    <t>"Always active"</t>
  </si>
  <si>
    <t>$/treasures/ctrl_binding_weight</t>
  </si>
  <si>
    <t>$/treasures/ctrl_binding_weight/name</t>
  </si>
  <si>
    <t>$/treasures/ctrl_binding_weight/name_en</t>
  </si>
  <si>
    <t>$/treasures/ctrl_binding_weight/effect</t>
  </si>
  <si>
    <t>"当前目标移动 -25%、攻速 -20%、造成伤害 -20%，持续 2 秒，冷却 5 秒"</t>
  </si>
  <si>
    <t>$/treasures/ctrl_binding_weight/effect_en</t>
  </si>
  <si>
    <t>"Target movement -25%, attack speed -20%, and outgoing damage -20% for 2s, 5s cooldown"</t>
  </si>
  <si>
    <t>$/treasures/ctrl_binding_weight/trigger</t>
  </si>
  <si>
    <t>$/treasures/ctrl_binding_weight/trigger_en</t>
  </si>
  <si>
    <t>$/treasures/atk_blood_pact</t>
  </si>
  <si>
    <t>$/treasures/atk_blood_pact/name</t>
  </si>
  <si>
    <t>$/treasures/atk_blood_pact/name_en</t>
  </si>
  <si>
    <t>$/treasures/atk_blood_pact/effect</t>
  </si>
  <si>
    <t>"我方普通棋子 ATK x1.25，同时自身永久获得失血状态；胡牌手激活后为 ATK x1.50"</t>
  </si>
  <si>
    <t>$/treasures/atk_blood_pact/effect_en</t>
  </si>
  <si>
    <t>"Allied normal pieces gain ATK ×1.25 and bleed permanently themselves; ATK ×1.50 once Winning Hand is active"</t>
  </si>
  <si>
    <t>$/treasures/atk_blood_pact/trigger</t>
  </si>
  <si>
    <t>$/treasures/atk_blood_pact/trigger_en</t>
  </si>
  <si>
    <t>$/treasures/atk_fury_roster</t>
  </si>
  <si>
    <t>$/treasures/atk_fury_roster/name</t>
  </si>
  <si>
    <t>$/treasures/atk_fury_roster/name_en</t>
  </si>
  <si>
    <t>$/treasures/atk_fury_roster/effect</t>
  </si>
  <si>
    <t>"普通棋子上限从 7 提高到 8"</t>
  </si>
  <si>
    <t>$/treasures/atk_fury_roster/effect_en</t>
  </si>
  <si>
    <t>"Raises the normal piece limit from 7 to 8"</t>
  </si>
  <si>
    <t>$/treasures/atk_fury_roster/trigger</t>
  </si>
  <si>
    <t>"准备阶段持续生效"</t>
  </si>
  <si>
    <t>$/treasures/atk_fury_roster/trigger_en</t>
  </si>
  <si>
    <t>"Always active in the prep phase"</t>
  </si>
  <si>
    <t>$/treasures/atk_burst_core</t>
  </si>
  <si>
    <t>$/treasures/atk_burst_core/name</t>
  </si>
  <si>
    <t>$/treasures/atk_burst_core/name_en</t>
  </si>
  <si>
    <t>$/treasures/atk_burst_core/effect</t>
  </si>
  <si>
    <t>"我方普通棋子暴击率 +25%"</t>
  </si>
  <si>
    <t>$/treasures/atk_burst_core/effect_en</t>
  </si>
  <si>
    <t>"Allied normal pieces gain +25% crit chance"</t>
  </si>
  <si>
    <t>$/treasures/atk_burst_core/trigger</t>
  </si>
  <si>
    <t>$/treasures/atk_burst_core/trigger_en</t>
  </si>
  <si>
    <t>$/treasures/atk_wail_resonance</t>
  </si>
  <si>
    <t>$/treasures/atk_wail_resonance/name</t>
  </si>
  <si>
    <t>$/treasures/atk_wail_resonance/name_en</t>
  </si>
  <si>
    <t>$/treasures/atk_wail_resonance/effect</t>
  </si>
  <si>
    <t>"击杀敌人时，对死亡目标周围 180 范围内敌人造成其最大生命 15% 真实伤害"</t>
  </si>
  <si>
    <t>$/treasures/atk_wail_resonance/effect_en</t>
  </si>
  <si>
    <t>"On a kill, enemies within 180 of the corpse take 15% of their own max HP as true damage"</t>
  </si>
  <si>
    <t>$/treasures/atk_wail_resonance/trigger</t>
  </si>
  <si>
    <t>"我方普通棋子击杀敌人时"</t>
  </si>
  <si>
    <t>$/treasures/atk_wail_resonance/trigger_en</t>
  </si>
  <si>
    <t>"When an allied normal piece kills an enemy"</t>
  </si>
  <si>
    <t>$/treasures/atk_frenzy_assault</t>
  </si>
  <si>
    <t>$/treasures/atk_frenzy_assault/name</t>
  </si>
  <si>
    <t>$/treasures/atk_frenzy_assault/name_en</t>
  </si>
  <si>
    <t>$/treasures/atk_frenzy_assault/effect</t>
  </si>
  <si>
    <t>"攻击同一目标时自身攻速 x1.15，可叠；换目标重置"</t>
  </si>
  <si>
    <t>$/treasures/atk_frenzy_assault/effect_en</t>
  </si>
  <si>
    <t>"Attacking the same target stacks attack speed ×1.15; resets on target switch"</t>
  </si>
  <si>
    <t>$/treasures/atk_frenzy_assault/trigger</t>
  </si>
  <si>
    <t>"攻击时"</t>
  </si>
  <si>
    <t>$/treasures/atk_frenzy_assault/trigger_en</t>
  </si>
  <si>
    <t>"On attack"</t>
  </si>
  <si>
    <t>$/treasures/money_compound</t>
  </si>
  <si>
    <t>$/treasures/money_compound/name</t>
  </si>
  <si>
    <t>$/treasures/money_compound/name_en</t>
  </si>
  <si>
    <t>$/treasures/money_compound/effect</t>
  </si>
  <si>
    <t>"战后利息额外 +5% 当前金币；本回合未花金币则再额外 +3%"</t>
  </si>
  <si>
    <t>$/treasures/money_compound/effect_en</t>
  </si>
  <si>
    <t>"Post-battle interest gains 5% of current gold, plus another 3% if no gold was spent this round"</t>
  </si>
  <si>
    <t>$/treasures/money_compound/trigger</t>
  </si>
  <si>
    <t>$/treasures/money_compound/trigger_en</t>
  </si>
  <si>
    <t>$/treasures/money_generous_fate</t>
  </si>
  <si>
    <t>$/treasures/money_generous_fate/name</t>
  </si>
  <si>
    <t>$/treasures/money_generous_fate/name_en</t>
  </si>
  <si>
    <t>$/treasures/money_generous_fate/effect</t>
  </si>
  <si>
    <t>"准备阶段每回合可手动参与 1 次赌博：50% 概率金币变为 2.5 倍，50% 概率损失当前金币 80%；与诡诈命运联动后变为 60% 变为 2.5 倍、40% 损失当前金币 50%"</t>
  </si>
  <si>
    <t>$/treasures/money_generous_fate/effect_en</t>
  </si>
  <si>
    <t>"One manual gamble per prep round: 50% to raise your gold to 2.5x, 50% to lose 80% of it; with Trickster's Fate it becomes 60% to 2.5x / 40% lose half"</t>
  </si>
  <si>
    <t>$/treasures/money_generous_fate/trigger</t>
  </si>
  <si>
    <t>"手动点击按钮"</t>
  </si>
  <si>
    <t>$/treasures/money_generous_fate/trigger_en</t>
  </si>
  <si>
    <t>"Manual button"</t>
  </si>
  <si>
    <t>$/treasures/money_discount</t>
  </si>
  <si>
    <t>$/treasures/money_discount/name</t>
  </si>
  <si>
    <t>$/treasures/money_discount/name_en</t>
  </si>
  <si>
    <t>$/treasures/money_discount/effect</t>
  </si>
  <si>
    <t>"棋子商店价格 -30%，最低 1 金"</t>
  </si>
  <si>
    <t>$/treasures/money_discount/effect_en</t>
  </si>
  <si>
    <t>"Piece shop prices -30%, minimum 1 gold"</t>
  </si>
  <si>
    <t>$/treasures/money_discount/trigger</t>
  </si>
  <si>
    <t>"准备阶段购买棋子时"</t>
  </si>
  <si>
    <t>$/treasures/money_discount/trigger_en</t>
  </si>
  <si>
    <t>"When buying pieces in the prep phase"</t>
  </si>
  <si>
    <t>$/treasures/money_golden_altar</t>
  </si>
  <si>
    <t>$/treasures/money_golden_altar/name</t>
  </si>
  <si>
    <t>$/treasures/money_golden_altar/name_en</t>
  </si>
  <si>
    <t>$/treasures/money_golden_altar/effect</t>
  </si>
  <si>
    <t>"准备阶段每次使用：法阵 HP -2、金币 +100，每回合最多 3 次，HP &lt;=10 不可用；本回合不使用则战后法阵 HP +1"</t>
  </si>
  <si>
    <t>$/treasures/money_golden_altar/effect_en</t>
  </si>
  <si>
    <t>"Each prep use costs 2 formation HP and grants 100 gold, up to 3 uses per round; unavailable at HP &lt;=10. If unused this round, restore 1 formation HP after battle"</t>
  </si>
  <si>
    <t>$/treasures/money_golden_altar/trigger</t>
  </si>
  <si>
    <t>$/treasures/money_golden_altar/trigger_en</t>
  </si>
  <si>
    <t>$/treasures/money_lucky_envelope</t>
  </si>
  <si>
    <t>$/treasures/money_lucky_envelope/name</t>
  </si>
  <si>
    <t>$/treasures/money_lucky_envelope/name_en</t>
  </si>
  <si>
    <t>$/treasures/money_lucky_envelope/effect</t>
  </si>
  <si>
    <t>"战后随机 +30 / +40 / +50 金"</t>
  </si>
  <si>
    <t>$/treasures/money_lucky_envelope/effect_en</t>
  </si>
  <si>
    <t>"After battle, randomly gain 30, 40, or 50 gold"</t>
  </si>
  <si>
    <t>$/treasures/money_lucky_envelope/trigger</t>
  </si>
  <si>
    <t>$/treasures/money_lucky_envelope/trigger_en</t>
  </si>
  <si>
    <t>$/treasures/elem_flame_shatter</t>
  </si>
  <si>
    <t>$/treasures/elem_flame_shatter/name</t>
  </si>
  <si>
    <t>$/treasures/elem_flame_shatter/name_en</t>
  </si>
  <si>
    <t>$/treasures/elem_flame_shatter/effect</t>
  </si>
  <si>
    <t>"攻击有 25% 概率额外造成 ATK 40% 真实伤害"</t>
  </si>
  <si>
    <t>$/treasures/elem_flame_shatter/effect_en</t>
  </si>
  <si>
    <t>"Attacks have a 25% chance to deal an extra 40% ATK as true damage"</t>
  </si>
  <si>
    <t>$/treasures/elem_flame_shatter/trigger</t>
  </si>
  <si>
    <t>$/treasures/elem_flame_shatter/trigger_en</t>
  </si>
  <si>
    <t>$/treasures/elem_frost_blade</t>
  </si>
  <si>
    <t>$/treasures/elem_frost_blade/name</t>
  </si>
  <si>
    <t>$/treasures/elem_frost_blade/name_en</t>
  </si>
  <si>
    <t>$/treasures/elem_frost_blade/effect</t>
  </si>
  <si>
    <t>"攻击有 25% 概率使目标移动 -35%、攻速 -50%，持续 2 秒"</t>
  </si>
  <si>
    <t>$/treasures/elem_frost_blade/effect_en</t>
  </si>
  <si>
    <t>"Attacks have a 25% chance to reduce target movement by 35% and attack speed by 50% for 2s"</t>
  </si>
  <si>
    <t>$/treasures/elem_frost_blade/trigger</t>
  </si>
  <si>
    <t>$/treasures/elem_frost_blade/trigger_en</t>
  </si>
  <si>
    <t>$/treasures/elem_thunder_haste</t>
  </si>
  <si>
    <t>$/treasures/elem_thunder_haste/name</t>
  </si>
  <si>
    <t>$/treasures/elem_thunder_haste/name_en</t>
  </si>
  <si>
    <t>$/treasures/elem_thunder_haste/effect</t>
  </si>
  <si>
    <t>"攻击有 25% 概率使自身攻速 +60%，持续 3 秒；重复触发只刷新时间，不叠加"</t>
  </si>
  <si>
    <t>$/treasures/elem_thunder_haste/effect_en</t>
  </si>
  <si>
    <t>"Attacks have a 25% chance to grant +60% attack speed for 3s; retriggering refreshes the duration instead of stacking"</t>
  </si>
  <si>
    <t>$/treasures/elem_thunder_haste/trigger</t>
  </si>
  <si>
    <t>$/treasures/elem_thunder_haste/trigger_en</t>
  </si>
  <si>
    <t>$/treasures/elem_toxic_spread</t>
  </si>
  <si>
    <t>$/treasures/elem_toxic_spread/name</t>
  </si>
  <si>
    <t>$/treasures/elem_toxic_spread/name_en</t>
  </si>
  <si>
    <t>$/treasures/elem_toxic_spread/effect</t>
  </si>
  <si>
    <t>"攻击有 25% 概率使目标中毒"</t>
  </si>
  <si>
    <t>$/treasures/elem_toxic_spread/effect_en</t>
  </si>
  <si>
    <t>"Attacks have a 25% chance to poison the target"</t>
  </si>
  <si>
    <t>$/treasures/elem_toxic_spread/trigger</t>
  </si>
  <si>
    <t>$/treasures/elem_toxic_spread/trigger_en</t>
  </si>
  <si>
    <t>$/linkages/link_phoenix</t>
  </si>
  <si>
    <t>$/linkages/link_phoenix/name</t>
  </si>
  <si>
    <t>"凤凰涅槃"</t>
  </si>
  <si>
    <t>$/linkages/link_phoenix/name_en</t>
  </si>
  <si>
    <t>"Phoenix Rebirth"</t>
  </si>
  <si>
    <t>$/linkages/link_phoenix/requires_text</t>
  </si>
  <si>
    <t>"哀鸣共鸣 + 亡魂反击"</t>
  </si>
  <si>
    <t>$/linkages/link_phoenix/requires_text_en</t>
  </si>
  <si>
    <t>"Wail Resonance + Soul Counter"</t>
  </si>
  <si>
    <t>$/linkages/link_phoenix/effect</t>
  </si>
  <si>
    <t>"我方普通棋子死亡后以 40% 最大生命复活，获得 3 秒无敌，之后强制死亡"</t>
  </si>
  <si>
    <t>$/linkages/link_phoenix/effect_en</t>
  </si>
  <si>
    <t>"Allied normal pieces revive at 40% max HP with 3s invulnerability, then die for good"</t>
  </si>
  <si>
    <t>$/linkages/link_money_magic</t>
  </si>
  <si>
    <t>$/linkages/link_money_magic/name</t>
  </si>
  <si>
    <t>"金钱魔法"</t>
  </si>
  <si>
    <t>$/linkages/link_money_magic/name_en</t>
  </si>
  <si>
    <t>"Money Magic"</t>
  </si>
  <si>
    <t>$/linkages/link_money_magic/requires_text</t>
  </si>
  <si>
    <t>"幸运信封 + 时空压缩"</t>
  </si>
  <si>
    <t>$/linkages/link_money_magic/requires_text_en</t>
  </si>
  <si>
    <t>"Lucky Envelope + Time Compress"</t>
  </si>
  <si>
    <t>$/linkages/link_money_magic/effect</t>
  </si>
  <si>
    <t>"战后额外随机 +60 / +70 / +80 金，10% 概率额外 +200 金"</t>
  </si>
  <si>
    <t>$/linkages/link_money_magic/effect_en</t>
  </si>
  <si>
    <t>"After battle, randomly gain another 60, 70, or 80 gold, with a 10% chance for 200 more"</t>
  </si>
  <si>
    <t>$/linkages/link_blood_covenant</t>
  </si>
  <si>
    <t>$/linkages/link_blood_covenant/name</t>
  </si>
  <si>
    <t>"血之契约"</t>
  </si>
  <si>
    <t>$/linkages/link_blood_covenant/name_en</t>
  </si>
  <si>
    <t>"Blood Covenant"</t>
  </si>
  <si>
    <t>$/linkages/link_blood_covenant/requires_text</t>
  </si>
  <si>
    <t>"炎焰碎裂 + 吸血纹章"</t>
  </si>
  <si>
    <t>$/linkages/link_blood_covenant/requires_text_en</t>
  </si>
  <si>
    <t>"Flame Shatter + Lifesteal Emblem"</t>
  </si>
  <si>
    <t>$/linkages/link_blood_covenant/effect</t>
  </si>
  <si>
    <t>"炎焰碎裂触发时，真实伤害从 ATK 40% 提高到 ATK 100%"</t>
  </si>
  <si>
    <t>$/linkages/link_blood_covenant/effect_en</t>
  </si>
  <si>
    <t>"Flame Shatter's true damage rises from 40% ATK to 100% ATK"</t>
  </si>
  <si>
    <t>$/linkages/link_paralysis_shackles</t>
  </si>
  <si>
    <t>$/linkages/link_paralysis_shackles/name</t>
  </si>
  <si>
    <t>"瘫痪枷锁"</t>
  </si>
  <si>
    <t>$/linkages/link_paralysis_shackles/name_en</t>
  </si>
  <si>
    <t>"Paralysis Shackles"</t>
  </si>
  <si>
    <t>$/linkages/link_paralysis_shackles/requires_text</t>
  </si>
  <si>
    <t>"打断锁链 + 冰封霜刃"</t>
  </si>
  <si>
    <t>$/linkages/link_paralysis_shackles/requires_text_en</t>
  </si>
  <si>
    <t>"Interrupt Chain + Frost Blade"</t>
  </si>
  <si>
    <t>$/linkages/link_paralysis_shackles/effect</t>
  </si>
  <si>
    <t>"打断锁链成功缴械后触发冰属性效果，使目标受伤 +25%、治疗效果 -75%，持续 4 秒"</t>
  </si>
  <si>
    <t>$/linkages/link_paralysis_shackles/effect_en</t>
  </si>
  <si>
    <t>"A successful Interrupt Chain also applies ice; target takes 25% more damage and receives 75% less healing for 4s"</t>
  </si>
  <si>
    <t>$/linkages/link_oppression_counter</t>
  </si>
  <si>
    <t>$/linkages/link_oppression_counter/name</t>
  </si>
  <si>
    <t>"压迫反击"</t>
  </si>
  <si>
    <t>$/linkages/link_oppression_counter/name_en</t>
  </si>
  <si>
    <t>"Oppression Counter"</t>
  </si>
  <si>
    <t>$/linkages/link_oppression_counter/requires_text</t>
  </si>
  <si>
    <t>"束缚重压 + 狂暴进攻"</t>
  </si>
  <si>
    <t>$/linkages/link_oppression_counter/requires_text_en</t>
  </si>
  <si>
    <t>"Binding Weight + Frenzy Assault"</t>
  </si>
  <si>
    <t>$/linkages/link_oppression_counter/effect</t>
  </si>
  <si>
    <t>"我方普通棋子被攻击时，对攻击者施加减攻 25%，持续 2 秒；狂暴进攻仍对攻击者叠加"</t>
  </si>
  <si>
    <t>$/linkages/link_oppression_counter/effect_en</t>
  </si>
  <si>
    <t>"When a friendly normal piece is hit, the attacker gets ATK -25% for 2s; Frenzy Assault still stacks on the attacker"</t>
  </si>
  <si>
    <t>$/linkages/link_fraud_fate</t>
  </si>
  <si>
    <t>$/linkages/link_fraud_fate/name</t>
  </si>
  <si>
    <t>"诡诈命运"</t>
  </si>
  <si>
    <t>$/linkages/link_fraud_fate/name_en</t>
  </si>
  <si>
    <t>"Trickster's Fate"</t>
  </si>
  <si>
    <t>$/linkages/link_fraud_fate/requires_text</t>
  </si>
  <si>
    <t>"幻影步伐 + 慷慨命运"</t>
  </si>
  <si>
    <t>$/linkages/link_fraud_fate/requires_text_en</t>
  </si>
  <si>
    <t>"Phantom Step + Generous Fate"</t>
  </si>
  <si>
    <t>$/linkages/link_fraud_fate/effect</t>
  </si>
  <si>
    <t>"慷慨命运变为准备阶段每回合手动赌博 1 次：60% 金币变为 2.5 倍，40% 损失当前金币 50%"</t>
  </si>
  <si>
    <t>$/linkages/link_fraud_fate/effect_en</t>
  </si>
  <si>
    <t>"Generous Fate becomes one manual gamble per prep round: 60% to raise your gold to 2.5x, 40% to lose half of it"</t>
  </si>
  <si>
    <t>$/linkages/link_iron_maiden</t>
  </si>
  <si>
    <t>$/linkages/link_iron_maiden/name</t>
  </si>
  <si>
    <t>"铁处女"</t>
  </si>
  <si>
    <t>$/linkages/link_iron_maiden/name_en</t>
  </si>
  <si>
    <t>"Iron Maiden"</t>
  </si>
  <si>
    <t>$/linkages/link_iron_maiden/requires_text</t>
  </si>
  <si>
    <t>"铁壁之护 + 腐蚀毒针"</t>
  </si>
  <si>
    <t>$/linkages/link_iron_maiden/requires_text_en</t>
  </si>
  <si>
    <t>"Iron Wall + Corrosive Needle"</t>
  </si>
  <si>
    <t>$/linkages/link_iron_maiden/effect</t>
  </si>
  <si>
    <t>"我方普通棋子受击时，使攻击者失血 5 秒且 DEF -50% 持续 5 秒，冷却 8 秒"</t>
  </si>
  <si>
    <t>$/linkages/link_iron_maiden/effect_en</t>
  </si>
  <si>
    <t>"When a friendly normal piece is hit, bleed the attacker for 5s and reduce DEF by 50% for 5s, 8s cooldown"</t>
  </si>
  <si>
    <t>$/linkages/link_toxic_burst</t>
  </si>
  <si>
    <t>$/linkages/link_toxic_burst/name</t>
  </si>
  <si>
    <t>"剧毒爆发"</t>
  </si>
  <si>
    <t>$/linkages/link_toxic_burst/name_en</t>
  </si>
  <si>
    <t>"Toxic Burst"</t>
  </si>
  <si>
    <t>$/linkages/link_toxic_burst/requires_text</t>
  </si>
  <si>
    <t>"爆裂核心 + 剧毒蔓延"</t>
  </si>
  <si>
    <t>$/linkages/link_toxic_burst/requires_text_en</t>
  </si>
  <si>
    <t>"Burst Core + Toxic Spread"</t>
  </si>
  <si>
    <t>$/linkages/link_toxic_burst/effect</t>
  </si>
  <si>
    <t>"普通棋子造成伤害时，中毒目标有 50% 概率立即结算剩余毒伤并清除中毒"</t>
  </si>
  <si>
    <t>$/linkages/link_toxic_burst/effect_en</t>
  </si>
  <si>
    <t>"When a normal piece deals damage, a poisoned target has a 50% chance to take all remaining poison damage at once and lose the poison"</t>
  </si>
  <si>
    <t>$/linkages/link_rich_path</t>
  </si>
  <si>
    <t>$/linkages/link_rich_path/name</t>
  </si>
  <si>
    <t>"富裕之路"</t>
  </si>
  <si>
    <t>$/linkages/link_rich_path/name_en</t>
  </si>
  <si>
    <t>"Path of Riches"</t>
  </si>
  <si>
    <t>$/linkages/link_rich_path/requires_text</t>
  </si>
  <si>
    <t>"复利之道 + 雷霆加速"</t>
  </si>
  <si>
    <t>$/linkages/link_rich_path/requires_text_en</t>
  </si>
  <si>
    <t>"Compound Interest + Thunder Haste"</t>
  </si>
  <si>
    <t>$/linkages/link_rich_path/effect</t>
  </si>
  <si>
    <t>"我方普通棋子造成伤害后 25% 概率 +10 金"</t>
  </si>
  <si>
    <t>$/linkages/link_rich_path/effect_en</t>
  </si>
  <si>
    <t>"After a friendly normal piece deals damage, 25% chance to gain 10 gold"</t>
  </si>
  <si>
    <t>$/linkages/link_clearance_sale</t>
  </si>
  <si>
    <t>$/linkages/link_clearance_sale/name</t>
  </si>
  <si>
    <t>"清仓特卖"</t>
  </si>
  <si>
    <t>$/linkages/link_clearance_sale/name_en</t>
  </si>
  <si>
    <t>"Clearance Sale"</t>
  </si>
  <si>
    <t>$/linkages/link_clearance_sale/requires_text</t>
  </si>
  <si>
    <t>"狂怒阵容 + 折扣令牌"</t>
  </si>
  <si>
    <t>$/linkages/link_clearance_sale/requires_text_en</t>
  </si>
  <si>
    <t>"Fury Roster + Discount Token"</t>
  </si>
  <si>
    <t>$/linkages/link_clearance_sale/effect</t>
  </si>
  <si>
    <t>"自动激活，同队所有人的棋子商店价格 -60%，最低 1 金"</t>
  </si>
  <si>
    <t>$/linkages/link_clearance_sale/effect_en</t>
  </si>
  <si>
    <t>"Activates automatically: all teammates get 60% off piece shop prices, minimum 1 gold"</t>
  </si>
  <si>
    <t>$/linkages/link_hu_pai_master</t>
  </si>
  <si>
    <t>$/linkages/link_hu_pai_master/name</t>
  </si>
  <si>
    <t>"胡牌手"</t>
  </si>
  <si>
    <t>$/linkages/link_hu_pai_master/name_en</t>
  </si>
  <si>
    <t>"Winning Hand"</t>
  </si>
  <si>
    <t>$/linkages/link_hu_pai_master/requires_text</t>
  </si>
  <si>
    <t>"生命丰碑 + 黄金祭坛 + 震荡余波 + 血契之刃 + 狂怒阵容"</t>
  </si>
  <si>
    <t>$/linkages/link_hu_pai_master/requires_text_en</t>
  </si>
  <si>
    <t>"Life Monument + Golden Altar + Shockwave + Blood Pact + Fury Roster"</t>
  </si>
  <si>
    <t>$/linkages/link_hu_pai_master/effect</t>
  </si>
  <si>
    <t>"集齐生命丰碑、黄金祭坛、震荡余波、血契之刃、狂怒阵容时立即回复法阵 HP +2；生命丰碑 +40%、震荡余波眩晕 2 秒、血契之刃 ATK x1.50、狂怒阵容上限 9；黄金祭坛使用时不扣 HP，仍得 +100 金，每回合最多 3 次，HP &lt;=10 不可用"</t>
  </si>
  <si>
    <t>$/linkages/link_hu_pai_master/effect_en</t>
  </si>
  <si>
    <t>"On completing Life Monument, Golden Altar, Shockwave, Blood Pact, and Fury Roster, immediately restore 2 formation HP. Life Monument +40%, Shockwave stun 2s, Blood Pact ATK x1.50, roster cap 9; Golden Altar costs no HP and still grants 100 gold per use, up to 3 times per round, unavailable at HP &lt;=10"</t>
  </si>
  <si>
    <t>$/sets/set_defense</t>
  </si>
  <si>
    <t>$/sets/set_defense/name</t>
  </si>
  <si>
    <t>"4防御"</t>
  </si>
  <si>
    <t>$/sets/set_defense/name_en</t>
  </si>
  <si>
    <t>"4 Defense"</t>
  </si>
  <si>
    <t>$/sets/set_defense/requires_text</t>
  </si>
  <si>
    <t>"任意 4 件防御宝藏"</t>
  </si>
  <si>
    <t>$/sets/set_defense/requires_text_en</t>
  </si>
  <si>
    <t>"Any 4 Defense treasures"</t>
  </si>
  <si>
    <t>$/sets/set_defense/effect</t>
  </si>
  <si>
    <t>"普通棋子开战 HP/DEF +30%，闪避 +15%。"</t>
  </si>
  <si>
    <t>$/sets/set_defense/effect_en</t>
  </si>
  <si>
    <t>"Normal units gain HP/DEF +30% and Dodge +15% at battle start."</t>
  </si>
  <si>
    <t>$/sets/set_control</t>
  </si>
  <si>
    <t>$/sets/set_control/name</t>
  </si>
  <si>
    <t>"4控制"</t>
  </si>
  <si>
    <t>$/sets/set_control/name_en</t>
  </si>
  <si>
    <t>"4 Control"</t>
  </si>
  <si>
    <t>$/sets/set_control/requires_text</t>
  </si>
  <si>
    <t>"任意 4 件控制宝藏"</t>
  </si>
  <si>
    <t>$/sets/set_control/requires_text_en</t>
  </si>
  <si>
    <t>"Any 4 Control treasures"</t>
  </si>
  <si>
    <t>$/sets/set_control/effect</t>
  </si>
  <si>
    <t>"普通棋子用普攻打出最后一击击杀敌人时，该棋子技能冷却立刻刷新（技能击杀不算）。"</t>
  </si>
  <si>
    <t>$/sets/set_control/effect_en</t>
  </si>
  <si>
    <t>"When a normal unit lands the killing blow with a basic attack, its skill cooldown resets immediately (skill kills don't count)."</t>
  </si>
  <si>
    <t>$/sets/set_attack</t>
  </si>
  <si>
    <t>$/sets/set_attack/name</t>
  </si>
  <si>
    <t>"4攻击"</t>
  </si>
  <si>
    <t>$/sets/set_attack/name_en</t>
  </si>
  <si>
    <t>"4 Attack"</t>
  </si>
  <si>
    <t>$/sets/set_attack/requires_text</t>
  </si>
  <si>
    <t>"任意 4 件攻击宝藏"</t>
  </si>
  <si>
    <t>$/sets/set_attack/requires_text_en</t>
  </si>
  <si>
    <t>"Any 4 Attack treasures"</t>
  </si>
  <si>
    <t>$/sets/set_attack/effect</t>
  </si>
  <si>
    <t>"普通棋子普攻后对生命 &lt;=10% 的非 Boss 目标直接斩杀，触发斩杀的棋子攻速 +25% 持续 5 秒，重复触发只刷新时间；无敌也挡不住斩杀"</t>
  </si>
  <si>
    <t>$/sets/set_attack/effect_en</t>
  </si>
  <si>
    <t>"After a normal unit's basic attack, execute non-Boss targets at &lt;=10% HP even through invulnerability; the executing unit gains 25% attack speed for 5s, refreshing duration on repeat"</t>
  </si>
  <si>
    <t>$/sets/set_money</t>
  </si>
  <si>
    <t>$/sets/set_money/name</t>
  </si>
  <si>
    <t>"4金钱"</t>
  </si>
  <si>
    <t>$/sets/set_money/name_en</t>
  </si>
  <si>
    <t>"4 Money"</t>
  </si>
  <si>
    <t>$/sets/set_money/requires_text</t>
  </si>
  <si>
    <t>"任意 4 件金钱宝藏"</t>
  </si>
  <si>
    <t>$/sets/set_money/requires_text_en</t>
  </si>
  <si>
    <t>"Any 4 Money treasures"</t>
  </si>
  <si>
    <t>$/sets/set_money/effect</t>
  </si>
  <si>
    <t>"开战时，每持有 1000 金，普通棋子攻击与生命 +10%，最高 +100%。"</t>
  </si>
  <si>
    <t>$/sets/set_money/effect_en</t>
  </si>
  <si>
    <t>"At battle start, normal pieces gain +10% ATK and HP per 1,000 gold owned, up to +100%."</t>
  </si>
  <si>
    <t>$/sets/set_element</t>
  </si>
  <si>
    <t>$/sets/set_element/name</t>
  </si>
  <si>
    <t>"4元素"</t>
  </si>
  <si>
    <t>$/sets/set_element/name_en</t>
  </si>
  <si>
    <t>"4 Element"</t>
  </si>
  <si>
    <t>$/sets/set_element/requires_text</t>
  </si>
  <si>
    <t>"4 件元素宝藏"</t>
  </si>
  <si>
    <t>$/sets/set_element/requires_text_en</t>
  </si>
  <si>
    <t>"All 4 Element treasures"</t>
  </si>
  <si>
    <t>$/sets/set_element/effect</t>
  </si>
  <si>
    <t>"普通棋子攻击 20% 概率触发 180 范围元素爆发，造成目标最大生命 10% 真实伤害；每个棋子内置冷却 2 秒"</t>
  </si>
  <si>
    <t>$/sets/set_element/effect_en</t>
  </si>
  <si>
    <t>"Each normal unit's attack has a 20% chance to trigger an elemental burst in radius 180 for 10% max HP true damage, with its own 2s cooldown"</t>
  </si>
  <si>
    <t>data/diamond_products.json</t>
  </si>
  <si>
    <t>$/_note</t>
  </si>
  <si>
    <t>"Only display amount and platform product ID here. Localized price and purchase result must come from the platform IAP service; no client-side wallet credit is allowed."</t>
  </si>
  <si>
    <t>$/products</t>
  </si>
  <si>
    <t>$/products/0</t>
  </si>
  <si>
    <t>$/products/0/product_id</t>
  </si>
  <si>
    <t>"diamond_100"</t>
  </si>
  <si>
    <t>$/products/0/diamond</t>
  </si>
  <si>
    <t>$/products/1</t>
  </si>
  <si>
    <t>$/products/1/product_id</t>
  </si>
  <si>
    <t>"diamond_300"</t>
  </si>
  <si>
    <t>$/products/1/diamond</t>
  </si>
  <si>
    <t>$/products/2</t>
  </si>
  <si>
    <t>$/products/2/product_id</t>
  </si>
  <si>
    <t>"diamond_500"</t>
  </si>
  <si>
    <t>$/products/2/diamond</t>
  </si>
  <si>
    <t>$/products/3</t>
  </si>
  <si>
    <t>$/products/3/product_id</t>
  </si>
  <si>
    <t>"diamond_750"</t>
  </si>
  <si>
    <t>$/products/3/diamond</t>
  </si>
  <si>
    <t>750</t>
  </si>
  <si>
    <t>$/products/4</t>
  </si>
  <si>
    <t>$/products/4/product_id</t>
  </si>
  <si>
    <t>"diamond_1000"</t>
  </si>
  <si>
    <t>$/products/4/diamond</t>
  </si>
  <si>
    <t>1000</t>
  </si>
  <si>
    <t>data/seven_day_login.json</t>
  </si>
  <si>
    <t>$/game_timezone</t>
  </si>
  <si>
    <t>"Asia/Kuala_Lumpur"</t>
  </si>
  <si>
    <t>$/rewards</t>
  </si>
  <si>
    <t>$/rewards/0</t>
  </si>
  <si>
    <t>$/rewards/0/day</t>
  </si>
  <si>
    <t>$/rewards/0/reward_type</t>
  </si>
  <si>
    <t>$/rewards/0/amount</t>
  </si>
  <si>
    <t>$/rewards/1</t>
  </si>
  <si>
    <t>$/rewards/1/day</t>
  </si>
  <si>
    <t>$/rewards/1/reward_type</t>
  </si>
  <si>
    <t>$/rewards/1/amount</t>
  </si>
  <si>
    <t>$/rewards/2</t>
  </si>
  <si>
    <t>$/rewards/2/day</t>
  </si>
  <si>
    <t>$/rewards/2/reward_type</t>
  </si>
  <si>
    <t>$/rewards/2/amount</t>
  </si>
  <si>
    <t>$/rewards/3</t>
  </si>
  <si>
    <t>$/rewards/3/day</t>
  </si>
  <si>
    <t>$/rewards/3/reward_type</t>
  </si>
  <si>
    <t>$/rewards/3/amount</t>
  </si>
  <si>
    <t>$/rewards/4</t>
  </si>
  <si>
    <t>$/rewards/4/day</t>
  </si>
  <si>
    <t>$/rewards/4/reward_type</t>
  </si>
  <si>
    <t>$/rewards/4/amount</t>
  </si>
  <si>
    <t>$/rewards/5</t>
  </si>
  <si>
    <t>$/rewards/5/day</t>
  </si>
  <si>
    <t>$/rewards/5/reward_type</t>
  </si>
  <si>
    <t>$/rewards/5/amount</t>
  </si>
  <si>
    <t>$/rewards/5/item_id</t>
  </si>
  <si>
    <t>$/rewards/6</t>
  </si>
  <si>
    <t>$/rewards/6/day</t>
  </si>
  <si>
    <t>$/rewards/6/reward_type</t>
  </si>
  <si>
    <t>$/rewards/6/amount</t>
  </si>
  <si>
    <t>$/rewards/6/extra_unlock</t>
  </si>
  <si>
    <t>data/prep_skins.json</t>
  </si>
  <si>
    <t>"棋盘皮肤的目录：对局里摆放界面的底图等换成哪一套，只换图不碰玩法，在主界面「备战」页换。一张皮肤 = 这里一段 + assets/skins/prep/&lt;id&gt;/ 下的图，文件名固定为 board / river / bench / carrot / shop_button / shop_panel（.png），缺哪张就沿用默认那张；再加一张卡片用的 preview.png。槽位与默认图在 scenes/prep/PrepSkin.gd 的 SLOTS，加皮肤的步骤在 docs/棋盘皮肤.md。"</t>
  </si>
  <si>
    <t>$/_order</t>
  </si>
  <si>
    <t>"按这里的顺序显示。默认皮肤放第一个，永远免费（不许进 data/shop.json）。"</t>
  </si>
  <si>
    <t>$/_options</t>
  </si>
  <si>
    <t>"每张皮肤可以另写：firefly_color = [r, g, b] 满场光点的颜色（默认金色萤火虫）；river_glow = false 关掉下河面的流动波光。"</t>
  </si>
  <si>
    <t>$/_sale</t>
  </si>
  <si>
    <t>"要卖就在 data/shop.json 加一个 kind=prep_skin、grants=这里 id 的商品。不在 shop.json 里的皮肤一律免费。"</t>
  </si>
  <si>
    <t>$/skins</t>
  </si>
  <si>
    <t>$/skins/0</t>
  </si>
  <si>
    <t>$/skins/0/id</t>
  </si>
  <si>
    <t>"prep_skin_default"</t>
  </si>
  <si>
    <t>$/skins/0/name</t>
  </si>
  <si>
    <t>"青草地"</t>
  </si>
  <si>
    <t>$/skins/0/name_en</t>
  </si>
  <si>
    <t>"Meadow"</t>
  </si>
  <si>
    <t>$/skins/1</t>
  </si>
  <si>
    <t>$/skins/1/id</t>
  </si>
  <si>
    <t>$/skins/1/name</t>
  </si>
  <si>
    <t>"冰雪"</t>
  </si>
  <si>
    <t>$/skins/1/name_en</t>
  </si>
  <si>
    <t>"Frost"</t>
  </si>
  <si>
    <t>$/skins/1/firefly_color</t>
  </si>
  <si>
    <t>$/skins/1/firefly_color/0</t>
  </si>
  <si>
    <t>$/skins/1/firefly_color/1</t>
  </si>
  <si>
    <t>$/skins/1/firefly_color/2</t>
  </si>
  <si>
    <t>$/skins/1/river_glow</t>
  </si>
  <si>
    <t>$/items/12</t>
  </si>
  <si>
    <t>$/items/12/id</t>
  </si>
  <si>
    <t>"shop_frame_pink_sakura"</t>
  </si>
  <si>
    <t>$/items/12/kind</t>
  </si>
  <si>
    <t>$/items/12/grants</t>
  </si>
  <si>
    <t>"preset:avatar_frame_shop_06"</t>
  </si>
  <si>
    <t>$/items/12/currency</t>
  </si>
  <si>
    <t>$/items/12/price</t>
  </si>
  <si>
    <t>$/items/12/name</t>
  </si>
  <si>
    <t>"樱晶蝶语"</t>
  </si>
  <si>
    <t>$/items/12/name_en</t>
  </si>
  <si>
    <t>"Sakura Crystal"</t>
  </si>
  <si>
    <t>data/avatars.json</t>
  </si>
  <si>
    <t>"头像 id 与单位 id 刻意脱钩。数据库里存的是 avatar_0NN，永不改变；美术改名、重做、替换只改这里的 source 一行，玩家数据一行都不用动。理由与事故先例（pet_duck→pet_rabbit）见 docs/玩家资料系统设计.md 第四节。"</t>
  </si>
  <si>
    <t>$/default_id</t>
  </si>
  <si>
    <t>"avatar_001"</t>
  </si>
  <si>
    <t>$/default_frame_id</t>
  </si>
  <si>
    <t>"frame_default"</t>
  </si>
  <si>
    <t>$/thumb_size</t>
  </si>
  <si>
    <t>128</t>
  </si>
  <si>
    <t>$/thumb_dir</t>
  </si>
  <si>
    <t>"res://assets/ui/avatars/thumb"</t>
  </si>
  <si>
    <t>$/_frames_why</t>
  </si>
  <si>
    <t>"头像框这一版 UI 只有默认框，清单先建好。它是最便宜的奖励载体（一张图、零逻辑），现在留位比以后加迁移便宜。"</t>
  </si>
  <si>
    <t>$/frames</t>
  </si>
  <si>
    <t>$/frames/0</t>
  </si>
  <si>
    <t>$/frames/0/id</t>
  </si>
  <si>
    <t>$/frames/0/name</t>
  </si>
  <si>
    <t>"默认"</t>
  </si>
  <si>
    <t>$/frames/0/name_en</t>
  </si>
  <si>
    <t>"Default"</t>
  </si>
  <si>
    <t>$/frames/0/source</t>
  </si>
  <si>
    <t>"res://assets/ui/main_menu_live/profile_avatar.png"</t>
  </si>
  <si>
    <t>$/frames/1</t>
  </si>
  <si>
    <t>$/frames/1/id</t>
  </si>
  <si>
    <t>"avatar_frame_7day_01"</t>
  </si>
  <si>
    <t>$/frames/1/name</t>
  </si>
  <si>
    <t>"冰雪七日"</t>
  </si>
  <si>
    <t>$/frames/1/name_en</t>
  </si>
  <si>
    <t>"Frost Seven-Day"</t>
  </si>
  <si>
    <t>$/frames/1/source</t>
  </si>
  <si>
    <t>"res://assets/ui/shop/frame_7day_ice.png"</t>
  </si>
  <si>
    <t>$/frames/2</t>
  </si>
  <si>
    <t>$/frames/2/id</t>
  </si>
  <si>
    <t>"avatar_frame_shop_01"</t>
  </si>
  <si>
    <t>$/frames/2/name</t>
  </si>
  <si>
    <t>$/frames/2/name_en</t>
  </si>
  <si>
    <t>$/frames/2/source</t>
  </si>
  <si>
    <t>"res://assets/ui/shop/headframes/emerald.png"</t>
  </si>
  <si>
    <t>$/frames/3</t>
  </si>
  <si>
    <t>$/frames/3/id</t>
  </si>
  <si>
    <t>"avatar_frame_shop_02"</t>
  </si>
  <si>
    <t>$/frames/3/name</t>
  </si>
  <si>
    <t>$/frames/3/name_en</t>
  </si>
  <si>
    <t>$/frames/3/source</t>
  </si>
  <si>
    <t>"res://assets/ui/shop/headframes/frost.png"</t>
  </si>
  <si>
    <t>$/frames/4</t>
  </si>
  <si>
    <t>$/frames/4/id</t>
  </si>
  <si>
    <t>"avatar_frame_shop_03"</t>
  </si>
  <si>
    <t>$/frames/4/name</t>
  </si>
  <si>
    <t>$/frames/4/name_en</t>
  </si>
  <si>
    <t>$/frames/4/source</t>
  </si>
  <si>
    <t>"res://assets/ui/shop/headframes/dragon.png"</t>
  </si>
  <si>
    <t>$/frames/5</t>
  </si>
  <si>
    <t>$/frames/5/id</t>
  </si>
  <si>
    <t>"avatar_frame_shop_04"</t>
  </si>
  <si>
    <t>$/frames/5/name</t>
  </si>
  <si>
    <t>$/frames/5/name_en</t>
  </si>
  <si>
    <t>$/frames/5/source</t>
  </si>
  <si>
    <t>"res://assets/ui/shop/headframes/astral.png"</t>
  </si>
  <si>
    <t>$/frames/6</t>
  </si>
  <si>
    <t>$/frames/6/id</t>
  </si>
  <si>
    <t>"avatar_frame_shop_05"</t>
  </si>
  <si>
    <t>$/frames/6/name</t>
  </si>
  <si>
    <t>$/frames/6/name_en</t>
  </si>
  <si>
    <t>$/frames/6/source</t>
  </si>
  <si>
    <t>"res://assets/ui/shop/headframes/inferno.png"</t>
  </si>
  <si>
    <t>$/frames/7</t>
  </si>
  <si>
    <t>$/frames/7/id</t>
  </si>
  <si>
    <t>"avatar_frame_shop_06"</t>
  </si>
  <si>
    <t>$/frames/7/name</t>
  </si>
  <si>
    <t>$/frames/7/name_en</t>
  </si>
  <si>
    <t>$/frames/7/source</t>
  </si>
  <si>
    <t>"res://assets/ui/shop/headframes/pink_sakura.png"</t>
  </si>
  <si>
    <t>$/avatars</t>
  </si>
  <si>
    <t>$/avatars/0</t>
  </si>
  <si>
    <t>$/avatars/0/id</t>
  </si>
  <si>
    <t>$/avatars/0/name</t>
  </si>
  <si>
    <t>"人族国王"</t>
  </si>
  <si>
    <t>$/avatars/0/name_en</t>
  </si>
  <si>
    <t>$/avatars/0/source</t>
  </si>
  <si>
    <t>"res://assets/ui/unit_portraits/human_king.png"</t>
  </si>
  <si>
    <t>$/avatars/0/group</t>
  </si>
  <si>
    <t>$/avatars/1</t>
  </si>
  <si>
    <t>$/avatars/1/id</t>
  </si>
  <si>
    <t>"avatar_002"</t>
  </si>
  <si>
    <t>$/avatars/1/name</t>
  </si>
  <si>
    <t>"人族剑士"</t>
  </si>
  <si>
    <t>$/avatars/1/name_en</t>
  </si>
  <si>
    <t>$/avatars/1/source</t>
  </si>
  <si>
    <t>"res://assets/ui/unit_portraits/human_swordsman.png"</t>
  </si>
  <si>
    <t>$/avatars/1/group</t>
  </si>
  <si>
    <t>$/avatars/2</t>
  </si>
  <si>
    <t>$/avatars/2/id</t>
  </si>
  <si>
    <t>"avatar_003"</t>
  </si>
  <si>
    <t>$/avatars/2/name</t>
  </si>
  <si>
    <t>"人族弓手"</t>
  </si>
  <si>
    <t>$/avatars/2/name_en</t>
  </si>
  <si>
    <t>$/avatars/2/source</t>
  </si>
  <si>
    <t>"res://assets/ui/unit_portraits/human_archer.png"</t>
  </si>
  <si>
    <t>$/avatars/2/group</t>
  </si>
  <si>
    <t>$/avatars/3</t>
  </si>
  <si>
    <t>$/avatars/3/id</t>
  </si>
  <si>
    <t>"avatar_004"</t>
  </si>
  <si>
    <t>$/avatars/3/name</t>
  </si>
  <si>
    <t>"人族法师"</t>
  </si>
  <si>
    <t>$/avatars/3/name_en</t>
  </si>
  <si>
    <t>$/avatars/3/source</t>
  </si>
  <si>
    <t>"res://assets/ui/unit_portraits/human_mage.png"</t>
  </si>
  <si>
    <t>$/avatars/3/group</t>
  </si>
  <si>
    <t>$/avatars/4</t>
  </si>
  <si>
    <t>$/avatars/4/id</t>
  </si>
  <si>
    <t>"avatar_005"</t>
  </si>
  <si>
    <t>$/avatars/4/name</t>
  </si>
  <si>
    <t>"暗黑巨龙"</t>
  </si>
  <si>
    <t>$/avatars/4/name_en</t>
  </si>
  <si>
    <t>"Dark Dragon"</t>
  </si>
  <si>
    <t>$/avatars/4/source</t>
  </si>
  <si>
    <t>"res://assets/ui/unit_portraits/dark_dragon.png"</t>
  </si>
  <si>
    <t>$/avatars/4/group</t>
  </si>
  <si>
    <t>$/avatars/5</t>
  </si>
  <si>
    <t>$/avatars/5/id</t>
  </si>
  <si>
    <t>"avatar_006"</t>
  </si>
  <si>
    <t>$/avatars/5/name</t>
  </si>
  <si>
    <t>"暗黑女王"</t>
  </si>
  <si>
    <t>$/avatars/5/name_en</t>
  </si>
  <si>
    <t>"Dark Queen"</t>
  </si>
  <si>
    <t>$/avatars/5/source</t>
  </si>
  <si>
    <t>"res://assets/ui/unit_portraits/dark_queen.png"</t>
  </si>
  <si>
    <t>$/avatars/5/group</t>
  </si>
  <si>
    <t>$/avatars/6</t>
  </si>
  <si>
    <t>$/avatars/6/id</t>
  </si>
  <si>
    <t>"avatar_007"</t>
  </si>
  <si>
    <t>$/avatars/6/name</t>
  </si>
  <si>
    <t>"暗黑法师"</t>
  </si>
  <si>
    <t>$/avatars/6/name_en</t>
  </si>
  <si>
    <t>"Dark Mage"</t>
  </si>
  <si>
    <t>$/avatars/6/source</t>
  </si>
  <si>
    <t>"res://assets/ui/unit_portraits/dark_mage.png"</t>
  </si>
  <si>
    <t>$/avatars/6/group</t>
  </si>
  <si>
    <t>$/avatars/7</t>
  </si>
  <si>
    <t>$/avatars/7/id</t>
  </si>
  <si>
    <t>"avatar_008"</t>
  </si>
  <si>
    <t>$/avatars/7/name</t>
  </si>
  <si>
    <t>"末日"</t>
  </si>
  <si>
    <t>$/avatars/7/name_en</t>
  </si>
  <si>
    <t>"Doom"</t>
  </si>
  <si>
    <t>$/avatars/7/source</t>
  </si>
  <si>
    <t>"res://assets/ui/unit_portraits/dark_doom.png"</t>
  </si>
  <si>
    <t>$/avatars/7/group</t>
  </si>
  <si>
    <t>$/avatars/8</t>
  </si>
  <si>
    <t>$/avatars/8/id</t>
  </si>
  <si>
    <t>"avatar_009"</t>
  </si>
  <si>
    <t>$/avatars/8/name</t>
  </si>
  <si>
    <t>"神族之王"</t>
  </si>
  <si>
    <t>$/avatars/8/name_en</t>
  </si>
  <si>
    <t>$/avatars/8/source</t>
  </si>
  <si>
    <t>"res://assets/ui/unit_portraits/god_king.png"</t>
  </si>
  <si>
    <t>$/avatars/8/group</t>
  </si>
  <si>
    <t>$/avatars/9</t>
  </si>
  <si>
    <t>$/avatars/9/id</t>
  </si>
  <si>
    <t>"avatar_010"</t>
  </si>
  <si>
    <t>$/avatars/9/name</t>
  </si>
  <si>
    <t>$/avatars/9/name_en</t>
  </si>
  <si>
    <t>$/avatars/9/source</t>
  </si>
  <si>
    <t>"res://assets/ui/unit_portraits/god_archangel.png"</t>
  </si>
  <si>
    <t>$/avatars/9/group</t>
  </si>
  <si>
    <t>$/avatars/10</t>
  </si>
  <si>
    <t>$/avatars/10/id</t>
  </si>
  <si>
    <t>"avatar_011"</t>
  </si>
  <si>
    <t>$/avatars/10/name</t>
  </si>
  <si>
    <t>"极光"</t>
  </si>
  <si>
    <t>$/avatars/10/name_en</t>
  </si>
  <si>
    <t>$/avatars/10/source</t>
  </si>
  <si>
    <t>"res://assets/ui/unit_portraits/god_aurora.png"</t>
  </si>
  <si>
    <t>$/avatars/10/group</t>
  </si>
  <si>
    <t>$/avatars/11</t>
  </si>
  <si>
    <t>$/avatars/11/id</t>
  </si>
  <si>
    <t>"avatar_012"</t>
  </si>
  <si>
    <t>$/avatars/11/name</t>
  </si>
  <si>
    <t>"女祭司"</t>
  </si>
  <si>
    <t>$/avatars/11/name_en</t>
  </si>
  <si>
    <t>$/avatars/11/source</t>
  </si>
  <si>
    <t>"res://assets/ui/unit_portraits/god_priestess.png"</t>
  </si>
  <si>
    <t>$/avatars/11/group</t>
  </si>
  <si>
    <t>$/avatars/12</t>
  </si>
  <si>
    <t>$/avatars/12/id</t>
  </si>
  <si>
    <t>"avatar_013"</t>
  </si>
  <si>
    <t>$/avatars/12/name</t>
  </si>
  <si>
    <t>"亡灵泰坦"</t>
  </si>
  <si>
    <t>$/avatars/12/name_en</t>
  </si>
  <si>
    <t>"Undead Titan"</t>
  </si>
  <si>
    <t>$/avatars/12/source</t>
  </si>
  <si>
    <t>"res://assets/ui/unit_portraits/undead_titan.png"</t>
  </si>
  <si>
    <t>$/avatars/12/group</t>
  </si>
  <si>
    <t>$/avatars/13</t>
  </si>
  <si>
    <t>$/avatars/13/id</t>
  </si>
  <si>
    <t>"avatar_014"</t>
  </si>
  <si>
    <t>$/avatars/13/name</t>
  </si>
  <si>
    <t>"亡灵母体"</t>
  </si>
  <si>
    <t>$/avatars/13/name_en</t>
  </si>
  <si>
    <t>"Undead Mother"</t>
  </si>
  <si>
    <t>$/avatars/13/source</t>
  </si>
  <si>
    <t>"res://assets/ui/unit_portraits/undead_mother.png"</t>
  </si>
  <si>
    <t>$/avatars/13/group</t>
  </si>
  <si>
    <t>$/avatars/14</t>
  </si>
  <si>
    <t>$/avatars/14/id</t>
  </si>
  <si>
    <t>"avatar_015"</t>
  </si>
  <si>
    <t>$/avatars/14/name</t>
  </si>
  <si>
    <t>"尖刺"</t>
  </si>
  <si>
    <t>$/avatars/14/name_en</t>
  </si>
  <si>
    <t>"Spike"</t>
  </si>
  <si>
    <t>$/avatars/14/source</t>
  </si>
  <si>
    <t>"res://assets/ui/unit_portraits/undead_spike.png"</t>
  </si>
  <si>
    <t>$/avatars/14/group</t>
  </si>
  <si>
    <t>$/avatars/15</t>
  </si>
  <si>
    <t>$/avatars/15/id</t>
  </si>
  <si>
    <t>"avatar_016"</t>
  </si>
  <si>
    <t>$/avatars/15/name</t>
  </si>
  <si>
    <t>"剧毒"</t>
  </si>
  <si>
    <t>$/avatars/15/name_en</t>
  </si>
  <si>
    <t>"Poison"</t>
  </si>
  <si>
    <t>$/avatars/15/source</t>
  </si>
  <si>
    <t>"res://assets/ui/unit_portraits/undead_poison.png"</t>
  </si>
  <si>
    <t>$/avatars/15/group</t>
  </si>
  <si>
    <t>$/avatars/16</t>
  </si>
  <si>
    <t>$/avatars/16/id</t>
  </si>
  <si>
    <t>"avatar_017"</t>
  </si>
  <si>
    <t>$/avatars/16/name</t>
  </si>
  <si>
    <t>"狮子座 · 烈阳"</t>
  </si>
  <si>
    <t>$/avatars/16/name_en</t>
  </si>
  <si>
    <t>"Leo"</t>
  </si>
  <si>
    <t>$/avatars/16/source</t>
  </si>
  <si>
    <t>"res://assets/ui/mercenary_portraits/merc_leo_sun.png"</t>
  </si>
  <si>
    <t>$/avatars/16/group</t>
  </si>
  <si>
    <t>"mercenary"</t>
  </si>
  <si>
    <t>$/avatars/17</t>
  </si>
  <si>
    <t>$/avatars/17/id</t>
  </si>
  <si>
    <t>"avatar_018"</t>
  </si>
  <si>
    <t>$/avatars/17/name</t>
  </si>
  <si>
    <t>"天蝎座 · 死神"</t>
  </si>
  <si>
    <t>$/avatars/17/name_en</t>
  </si>
  <si>
    <t>"Scorpio"</t>
  </si>
  <si>
    <t>$/avatars/17/source</t>
  </si>
  <si>
    <t>"res://assets/ui/mercenary_portraits/merc_scorpio_death.png"</t>
  </si>
  <si>
    <t>$/avatars/17/group</t>
  </si>
  <si>
    <t>$/avatars/18</t>
  </si>
  <si>
    <t>$/avatars/18/id</t>
  </si>
  <si>
    <t>"avatar_019"</t>
  </si>
  <si>
    <t>$/avatars/18/name</t>
  </si>
  <si>
    <t>"天秤座 · 裁决"</t>
  </si>
  <si>
    <t>$/avatars/18/name_en</t>
  </si>
  <si>
    <t>"Libra"</t>
  </si>
  <si>
    <t>$/avatars/18/source</t>
  </si>
  <si>
    <t>"res://assets/ui/mercenary_portraits/merc_libra_judge.png"</t>
  </si>
  <si>
    <t>$/avatars/18/group</t>
  </si>
  <si>
    <t>$/avatars/19</t>
  </si>
  <si>
    <t>$/avatars/19/id</t>
  </si>
  <si>
    <t>"avatar_020"</t>
  </si>
  <si>
    <t>$/avatars/19/name</t>
  </si>
  <si>
    <t>"白羊座 · 血怒"</t>
  </si>
  <si>
    <t>$/avatars/19/name_en</t>
  </si>
  <si>
    <t>"Aries"</t>
  </si>
  <si>
    <t>$/avatars/19/source</t>
  </si>
  <si>
    <t>"res://assets/ui/mercenary_portraits/merc_aries_blood.png"</t>
  </si>
  <si>
    <t>$/avatars/19/group</t>
  </si>
  <si>
    <t>$/avatars/20</t>
  </si>
  <si>
    <t>$/avatars/20/id</t>
  </si>
  <si>
    <t>"avatar_021"</t>
  </si>
  <si>
    <t>$/avatars/20/name</t>
  </si>
  <si>
    <t>$/avatars/20/name_en</t>
  </si>
  <si>
    <t>$/avatars/20/source</t>
  </si>
  <si>
    <t>"res://assets/ui/unit_portraits/god_priest.png"</t>
  </si>
  <si>
    <t>$/avatars/20/group</t>
  </si>
  <si>
    <t>$/avatars/21</t>
  </si>
  <si>
    <t>$/avatars/21/id</t>
  </si>
  <si>
    <t>"avatar_022"</t>
  </si>
  <si>
    <t>$/avatars/21/name</t>
  </si>
  <si>
    <t>$/avatars/21/name_en</t>
  </si>
  <si>
    <t>$/avatars/21/source</t>
  </si>
  <si>
    <t>"res://assets/ui/unit_portraits/god_guard.png"</t>
  </si>
  <si>
    <t>$/avatars/21/group</t>
  </si>
  <si>
    <t>$/avatars/22</t>
  </si>
  <si>
    <t>$/avatars/22/id</t>
  </si>
  <si>
    <t>"avatar_023"</t>
  </si>
  <si>
    <t>$/avatars/22/name</t>
  </si>
  <si>
    <t>$/avatars/22/name_en</t>
  </si>
  <si>
    <t>$/avatars/22/source</t>
  </si>
  <si>
    <t>"res://assets/ui/unit_portraits/god_angel.png"</t>
  </si>
  <si>
    <t>$/avatars/22/group</t>
  </si>
  <si>
    <t>$/avatars/23</t>
  </si>
  <si>
    <t>$/avatars/23/id</t>
  </si>
  <si>
    <t>"avatar_024"</t>
  </si>
  <si>
    <t>$/avatars/23/name</t>
  </si>
  <si>
    <t>$/avatars/23/name_en</t>
  </si>
  <si>
    <t>$/avatars/23/source</t>
  </si>
  <si>
    <t>"res://assets/ui/unit_portraits/god_arbiter.png"</t>
  </si>
  <si>
    <t>$/avatars/23/group</t>
  </si>
  <si>
    <t>$/avatars/24</t>
  </si>
  <si>
    <t>$/avatars/24/id</t>
  </si>
  <si>
    <t>"avatar_025"</t>
  </si>
  <si>
    <t>$/avatars/24/name</t>
  </si>
  <si>
    <t>$/avatars/24/name_en</t>
  </si>
  <si>
    <t>$/avatars/24/source</t>
  </si>
  <si>
    <t>"res://assets/ui/unit_portraits/dark_imp.png"</t>
  </si>
  <si>
    <t>$/avatars/24/group</t>
  </si>
  <si>
    <t>$/avatars/25</t>
  </si>
  <si>
    <t>$/avatars/25/id</t>
  </si>
  <si>
    <t>"avatar_026"</t>
  </si>
  <si>
    <t>$/avatars/25/name</t>
  </si>
  <si>
    <t>$/avatars/25/name_en</t>
  </si>
  <si>
    <t>$/avatars/25/source</t>
  </si>
  <si>
    <t>"res://assets/ui/unit_portraits/dark_fear.png"</t>
  </si>
  <si>
    <t>$/avatars/25/group</t>
  </si>
  <si>
    <t>$/avatars/26</t>
  </si>
  <si>
    <t>$/avatars/26/id</t>
  </si>
  <si>
    <t>"avatar_027"</t>
  </si>
  <si>
    <t>$/avatars/26/name</t>
  </si>
  <si>
    <t>$/avatars/26/name_en</t>
  </si>
  <si>
    <t>$/avatars/26/source</t>
  </si>
  <si>
    <t>"res://assets/ui/unit_portraits/dark_scythe.png"</t>
  </si>
  <si>
    <t>$/avatars/26/group</t>
  </si>
  <si>
    <t>$/avatars/27</t>
  </si>
  <si>
    <t>$/avatars/27/id</t>
  </si>
  <si>
    <t>"avatar_028"</t>
  </si>
  <si>
    <t>$/avatars/27/name</t>
  </si>
  <si>
    <t>$/avatars/27/name_en</t>
  </si>
  <si>
    <t>$/avatars/27/source</t>
  </si>
  <si>
    <t>"res://assets/ui/unit_portraits/dark_suc.png"</t>
  </si>
  <si>
    <t>$/avatars/27/group</t>
  </si>
  <si>
    <t>$/avatars/28</t>
  </si>
  <si>
    <t>$/avatars/28/id</t>
  </si>
  <si>
    <t>"avatar_029"</t>
  </si>
  <si>
    <t>$/avatars/28/name</t>
  </si>
  <si>
    <t>$/avatars/28/name_en</t>
  </si>
  <si>
    <t>$/avatars/28/source</t>
  </si>
  <si>
    <t>"res://assets/ui/unit_portraits/undead_small.png"</t>
  </si>
  <si>
    <t>$/avatars/28/group</t>
  </si>
  <si>
    <t>$/avatars/29</t>
  </si>
  <si>
    <t>$/avatars/29/id</t>
  </si>
  <si>
    <t>"avatar_030"</t>
  </si>
  <si>
    <t>$/avatars/29/name</t>
  </si>
  <si>
    <t>$/avatars/29/name_en</t>
  </si>
  <si>
    <t>$/avatars/29/source</t>
  </si>
  <si>
    <t>"res://assets/ui/unit_portraits/undead_parasite.png"</t>
  </si>
  <si>
    <t>$/avatars/29/group</t>
  </si>
  <si>
    <t>$/avatars/30</t>
  </si>
  <si>
    <t>$/avatars/30/id</t>
  </si>
  <si>
    <t>"avatar_031"</t>
  </si>
  <si>
    <t>$/avatars/30/name</t>
  </si>
  <si>
    <t>$/avatars/30/name_en</t>
  </si>
  <si>
    <t>$/avatars/30/source</t>
  </si>
  <si>
    <t>"res://assets/ui/unit_portraits/undead_fly.png"</t>
  </si>
  <si>
    <t>$/avatars/30/group</t>
  </si>
  <si>
    <t>$/avatars/31</t>
  </si>
  <si>
    <t>$/avatars/31/id</t>
  </si>
  <si>
    <t>"avatar_032"</t>
  </si>
  <si>
    <t>$/avatars/31/name</t>
  </si>
  <si>
    <t>$/avatars/31/name_en</t>
  </si>
  <si>
    <t>$/avatars/31/source</t>
  </si>
  <si>
    <t>"res://assets/ui/unit_portraits/undead_bomb.png"</t>
  </si>
  <si>
    <t>$/avatars/31/group</t>
  </si>
  <si>
    <t>$/avatars/32</t>
  </si>
  <si>
    <t>$/avatars/32/id</t>
  </si>
  <si>
    <t>"avatar_033"</t>
  </si>
  <si>
    <t>$/avatars/32/name</t>
  </si>
  <si>
    <t>$/avatars/32/name_en</t>
  </si>
  <si>
    <t>$/avatars/32/source</t>
  </si>
  <si>
    <t>"res://assets/ui/unit_portraits/human_militia.png"</t>
  </si>
  <si>
    <t>$/avatars/32/group</t>
  </si>
  <si>
    <t>$/avatars/33</t>
  </si>
  <si>
    <t>$/avatars/33/id</t>
  </si>
  <si>
    <t>"avatar_034"</t>
  </si>
  <si>
    <t>$/avatars/33/name</t>
  </si>
  <si>
    <t>$/avatars/33/name_en</t>
  </si>
  <si>
    <t>$/avatars/33/source</t>
  </si>
  <si>
    <t>"res://assets/ui/unit_portraits/human_merchant.png"</t>
  </si>
  <si>
    <t>$/avatars/33/group</t>
  </si>
  <si>
    <t>$/avatars/34</t>
  </si>
  <si>
    <t>$/avatars/34/id</t>
  </si>
  <si>
    <t>"avatar_035"</t>
  </si>
  <si>
    <t>$/avatars/34/name</t>
  </si>
  <si>
    <t>$/avatars/34/name_en</t>
  </si>
  <si>
    <t>$/avatars/34/source</t>
  </si>
  <si>
    <t>"res://assets/ui/unit_portraits/human_cleric.png"</t>
  </si>
  <si>
    <t>$/avatars/34/group</t>
  </si>
  <si>
    <t>$/avatars/35</t>
  </si>
  <si>
    <t>$/avatars/35/id</t>
  </si>
  <si>
    <t>"avatar_036"</t>
  </si>
  <si>
    <t>$/avatars/35/name</t>
  </si>
  <si>
    <t>$/avatars/35/name_en</t>
  </si>
  <si>
    <t>$/avatars/35/source</t>
  </si>
  <si>
    <t>"res://assets/ui/unit_portraits/human_death_servant.png"</t>
  </si>
  <si>
    <t>$/avatars/35/group</t>
  </si>
  <si>
    <t>$/avatars/36</t>
  </si>
  <si>
    <t>$/avatars/36/id</t>
  </si>
  <si>
    <t>"avatar_037"</t>
  </si>
  <si>
    <t>$/avatars/36/name</t>
  </si>
  <si>
    <t>$/avatars/36/name_en</t>
  </si>
  <si>
    <t>$/avatars/36/source</t>
  </si>
  <si>
    <t>"res://assets/ui/unit_portraits/crimson.png"</t>
  </si>
  <si>
    <t>$/avatars/36/group</t>
  </si>
  <si>
    <t>$/avatars/37</t>
  </si>
  <si>
    <t>$/avatars/37/id</t>
  </si>
  <si>
    <t>"avatar_038"</t>
  </si>
  <si>
    <t>$/avatars/37/name</t>
  </si>
  <si>
    <t>$/avatars/37/name_en</t>
  </si>
  <si>
    <t>$/avatars/37/source</t>
  </si>
  <si>
    <t>"res://assets/ui/unit_portraits/dancer.png"</t>
  </si>
  <si>
    <t>$/avatars/37/group</t>
  </si>
  <si>
    <t>$/avatars/38</t>
  </si>
  <si>
    <t>$/avatars/38/id</t>
  </si>
  <si>
    <t>"avatar_039"</t>
  </si>
  <si>
    <t>$/avatars/38/name</t>
  </si>
  <si>
    <t>$/avatars/38/name_en</t>
  </si>
  <si>
    <t>$/avatars/38/source</t>
  </si>
  <si>
    <t>"res://assets/ui/unit_portraits/drumer.png"</t>
  </si>
  <si>
    <t>$/avatars/38/group</t>
  </si>
  <si>
    <t>$/avatars/39</t>
  </si>
  <si>
    <t>$/avatars/39/id</t>
  </si>
  <si>
    <t>"avatar_040"</t>
  </si>
  <si>
    <t>$/avatars/39/name</t>
  </si>
  <si>
    <t>$/avatars/39/name_en</t>
  </si>
  <si>
    <t>$/avatars/39/source</t>
  </si>
  <si>
    <t>"res://assets/ui/unit_portraits/hunter.png"</t>
  </si>
  <si>
    <t>$/avatars/39/group</t>
  </si>
  <si>
    <t>$/avatars/40</t>
  </si>
  <si>
    <t>$/avatars/40/id</t>
  </si>
  <si>
    <t>"avatar_041"</t>
  </si>
  <si>
    <t>$/avatars/40/name</t>
  </si>
  <si>
    <t>$/avatars/40/name_en</t>
  </si>
  <si>
    <t>$/avatars/40/source</t>
  </si>
  <si>
    <t>"res://assets/ui/unit_portraits/armbreaker.png"</t>
  </si>
  <si>
    <t>$/avatars/40/group</t>
  </si>
  <si>
    <t>$/avatars/41</t>
  </si>
  <si>
    <t>$/avatars/41/id</t>
  </si>
  <si>
    <t>"avatar_042"</t>
  </si>
  <si>
    <t>$/avatars/41/name</t>
  </si>
  <si>
    <t>$/avatars/41/name_en</t>
  </si>
  <si>
    <t>$/avatars/41/source</t>
  </si>
  <si>
    <t>"res://assets/ui/unit_portraits/Icey.png"</t>
  </si>
  <si>
    <t>$/avatars/41/group</t>
  </si>
  <si>
    <t>$/avatars/42</t>
  </si>
  <si>
    <t>$/avatars/42/id</t>
  </si>
  <si>
    <t>"avatar_043"</t>
  </si>
  <si>
    <t>$/avatars/42/name</t>
  </si>
  <si>
    <t>$/avatars/42/name_en</t>
  </si>
  <si>
    <t>$/avatars/42/source</t>
  </si>
  <si>
    <t>"res://assets/ui/unit_portraits/skypierce.png"</t>
  </si>
  <si>
    <t>$/avatars/42/group</t>
  </si>
  <si>
    <t>$/avatars/43</t>
  </si>
  <si>
    <t>$/avatars/43/id</t>
  </si>
  <si>
    <t>"avatar_044"</t>
  </si>
  <si>
    <t>$/avatars/43/name</t>
  </si>
  <si>
    <t>$/avatars/43/name_en</t>
  </si>
  <si>
    <t>$/avatars/43/source</t>
  </si>
  <si>
    <t>"res://assets/ui/unit_portraits/lattern.png"</t>
  </si>
  <si>
    <t>$/avatars/43/group</t>
  </si>
  <si>
    <t>$/avatars/44</t>
  </si>
  <si>
    <t>$/avatars/44/id</t>
  </si>
  <si>
    <t>"avatar_045"</t>
  </si>
  <si>
    <t>$/avatars/44/name</t>
  </si>
  <si>
    <t>$/avatars/44/name_en</t>
  </si>
  <si>
    <t>$/avatars/44/source</t>
  </si>
  <si>
    <t>"res://assets/ui/mercenary_portraits/merc_pisces_bubble.png"</t>
  </si>
  <si>
    <t>$/avatars/44/group</t>
  </si>
  <si>
    <t>$/avatars/45</t>
  </si>
  <si>
    <t>$/avatars/45/id</t>
  </si>
  <si>
    <t>"avatar_046"</t>
  </si>
  <si>
    <t>$/avatars/45/name</t>
  </si>
  <si>
    <t>$/avatars/45/name_en</t>
  </si>
  <si>
    <t>$/avatars/45/source</t>
  </si>
  <si>
    <t>"res://assets/ui/mercenary_portraits/merc_cancer_shell.png"</t>
  </si>
  <si>
    <t>$/avatars/45/group</t>
  </si>
  <si>
    <t>$/avatars/46</t>
  </si>
  <si>
    <t>$/avatars/46/id</t>
  </si>
  <si>
    <t>"avatar_047"</t>
  </si>
  <si>
    <t>$/avatars/46/name</t>
  </si>
  <si>
    <t>$/avatars/46/name_en</t>
  </si>
  <si>
    <t>$/avatars/46/source</t>
  </si>
  <si>
    <t>"res://assets/ui/mercenary_portraits/merc_taurus_charge.png"</t>
  </si>
  <si>
    <t>$/avatars/46/group</t>
  </si>
  <si>
    <t>$/avatars/47</t>
  </si>
  <si>
    <t>$/avatars/47/id</t>
  </si>
  <si>
    <t>"avatar_048"</t>
  </si>
  <si>
    <t>$/avatars/47/name</t>
  </si>
  <si>
    <t>$/avatars/47/name_en</t>
  </si>
  <si>
    <t>$/avatars/47/source</t>
  </si>
  <si>
    <t>"res://assets/ui/mercenary_portraits/merc_virgo_heal.png"</t>
  </si>
  <si>
    <t>$/avatars/47/group</t>
  </si>
  <si>
    <t>$/avatars/48</t>
  </si>
  <si>
    <t>$/avatars/48/id</t>
  </si>
  <si>
    <t>"avatar_049"</t>
  </si>
  <si>
    <t>$/avatars/48/name</t>
  </si>
  <si>
    <t>$/avatars/48/name_en</t>
  </si>
  <si>
    <t>$/avatars/48/source</t>
  </si>
  <si>
    <t>"res://assets/ui/mercenary_portraits/merc_gemini_assassin.png"</t>
  </si>
  <si>
    <t>$/avatars/48/group</t>
  </si>
  <si>
    <t>$/avatars/49</t>
  </si>
  <si>
    <t>$/avatars/49/id</t>
  </si>
  <si>
    <t>"avatar_050"</t>
  </si>
  <si>
    <t>$/avatars/49/name</t>
  </si>
  <si>
    <t>$/avatars/49/name_en</t>
  </si>
  <si>
    <t>$/avatars/49/source</t>
  </si>
  <si>
    <t>"res://assets/ui/mercenary_portraits/merc_sagittarius_rain.png"</t>
  </si>
  <si>
    <t>$/avatars/49/group</t>
  </si>
  <si>
    <t>$/avatars/50</t>
  </si>
  <si>
    <t>$/avatars/50/id</t>
  </si>
  <si>
    <t>"avatar_051"</t>
  </si>
  <si>
    <t>$/avatars/50/name</t>
  </si>
  <si>
    <t>$/avatars/50/name_en</t>
  </si>
  <si>
    <t>$/avatars/50/source</t>
  </si>
  <si>
    <t>"res://assets/ui/mercenary_portraits/merc_capricorn_steel.png"</t>
  </si>
  <si>
    <t>$/avatars/50/group</t>
  </si>
  <si>
    <t>$/avatars/51</t>
  </si>
  <si>
    <t>$/avatars/51/id</t>
  </si>
  <si>
    <t>"avatar_052"</t>
  </si>
  <si>
    <t>$/avatars/51/name</t>
  </si>
  <si>
    <t>$/avatars/51/name_en</t>
  </si>
  <si>
    <t>$/avatars/51/source</t>
  </si>
  <si>
    <t>"res://assets/ui/mercenary_portraits/merc_aquarius_time.png"</t>
  </si>
  <si>
    <t>$/avatars/51/group</t>
  </si>
  <si>
    <t>91_来源清单</t>
  </si>
  <si>
    <t>本机仓库 2026-10-08 静态配置快照。修改任何运行配置后，必须从 final 导出并运行一致性检查；线上实际部署版本另行核对。</t>
  </si>
  <si>
    <t>字段节点数</t>
  </si>
  <si>
    <t>初始文件 SHA-256</t>
  </si>
  <si>
    <t>编辑位置</t>
  </si>
  <si>
    <t>736af1c276dc504c542bc28a94ef922aa29b4789ce94fe7c0b553766b03095fe</t>
  </si>
  <si>
    <t>本机仓库运行文件</t>
  </si>
  <si>
    <t>Excel 90_运行配置</t>
  </si>
  <si>
    <t>a5060ff848ab343c39107882d394a38162dd22b6108ba41b9beaad89ec742f92</t>
  </si>
  <si>
    <t>d4c66a504f8a97f28fc391119ef1ea31fffd76991b58841e61c4089899284846</t>
  </si>
  <si>
    <t>bf9e9a72979fbf9d7c14182f3ee6985cfe2fe452c7faacb3daf6f4352337a0bd</t>
  </si>
  <si>
    <t>6e089d0d395f7a9e0d77add3bf8bc2b8895722b44b5cdbc69e94164f86c23d30</t>
  </si>
  <si>
    <t>7fc6d5e9d4c47c92385bb2619a5a8583bd8c94a6447695a66c313e9fbb9ba554</t>
  </si>
  <si>
    <t>b6a19e1cfb53e587a283eb90581dcb8b55eedb4471811f2969f1782bc458b281</t>
  </si>
  <si>
    <t>322cf7cd78c872760467c1069b6ea819a1e86afecb9861e7d31cd1be9f86c152</t>
  </si>
  <si>
    <t>0e47e6bfaec6522c832052a676dc4a5e2d05ce487d322e54af49ee989e9aa0e9</t>
  </si>
  <si>
    <t>a859a60f384c303feb7017a509907e914c390a8ef845051c2b123f804645e7d2</t>
  </si>
  <si>
    <t>c873dc89ac996ac30af0e0cd43f4e41a8c9a92038b249c883c52b08ac9e68930</t>
  </si>
  <si>
    <t>a0879aedbb9c191c0c2e09998a13c8e88399b927720afe44ea52dd6e391929a9</t>
  </si>
  <si>
    <t>8c831e73043f7a595471721e34a2fe36ba00bf3d2d1c829bd94e58f48980ec2c</t>
  </si>
  <si>
    <t>cd7439747c8ccc5d0da723a52b17fb24373abb8b6c6aa2b5e7155d667a7e2019</t>
  </si>
  <si>
    <t>本机仓库当前配置</t>
  </si>
  <si>
    <t>代码内固定参数对照</t>
  </si>
  <si>
    <t>发布检查核对这些尚未由 JSON 加载的固定参数；修改玩法时先修改此页，再修改代码并运行校验。</t>
  </si>
  <si>
    <t>参数 ID</t>
  </si>
  <si>
    <t>数值</t>
  </si>
  <si>
    <t>代码表达式</t>
  </si>
  <si>
    <t>economy.base_interest_rate</t>
  </si>
  <si>
    <t>scripts/economy/EconomyService.gd</t>
  </si>
  <si>
    <t>BASE_INTEREST_RATE</t>
  </si>
  <si>
    <t>economy.sell_refund_rate</t>
  </si>
  <si>
    <t>scripts/multiplayer/EconomyLedger.gd</t>
  </si>
  <si>
    <t>SELL_REFUND_RATE</t>
  </si>
  <si>
    <t>treasure.phoenix_revive_hp_rate</t>
  </si>
  <si>
    <t>scripts/battle/BattleSimTreasures.gd</t>
  </si>
  <si>
    <t>victim.max_hp * 0.40</t>
  </si>
  <si>
    <t>synergy.undead_poison_antiheal</t>
  </si>
  <si>
    <t>scripts/units/SynergyService.gd</t>
  </si>
  <si>
    <t>undead_poison_antiheal: 0.30</t>
  </si>
  <si>
    <t>pet_draw.price</t>
  </si>
  <si>
    <t>backend/app/pet_draw.py</t>
  </si>
  <si>
    <t>PRICE</t>
  </si>
  <si>
    <t>pet_draw.miss_coin</t>
  </si>
  <si>
    <t>MISS_COIN</t>
  </si>
  <si>
    <t>pet_draw.pity_limit</t>
  </si>
  <si>
    <t>PITY_LIMIT</t>
  </si>
  <si>
    <t>pet_draw.base_chance_percent</t>
  </si>
  <si>
    <t>secrets.randbelow(10)</t>
  </si>
  <si>
    <t>商城商品与售价</t>
  </si>
  <si>
    <t>商城商品由 data/shop.json 管理；此页与 JSON 保持一致，发布检查会核对名称、货币、价格及上架状态。</t>
  </si>
  <si>
    <t>授予内容</t>
  </si>
  <si>
    <t>价格</t>
  </si>
  <si>
    <t>中文名</t>
  </si>
  <si>
    <t>可购买</t>
  </si>
  <si>
    <t>pet</t>
  </si>
  <si>
    <t>shop_prep_skin_ice</t>
  </si>
  <si>
    <t>prep_skin</t>
  </si>
  <si>
    <t>prep_skin_ice</t>
  </si>
  <si>
    <t>冰雪棋盘</t>
  </si>
  <si>
    <t>Frost Board</t>
  </si>
  <si>
    <t>event_frame_7day_ice</t>
  </si>
  <si>
    <t>avatar_frame</t>
  </si>
  <si>
    <t>preset:avatar_frame_7day_01</t>
  </si>
  <si>
    <t>冰雪七日头像框</t>
  </si>
  <si>
    <t>Frost Seven-Day Frame</t>
  </si>
  <si>
    <t>shop_frame_emerald</t>
  </si>
  <si>
    <t>preset:avatar_frame_shop_01</t>
  </si>
  <si>
    <t>翡翠森境</t>
  </si>
  <si>
    <t>Emerald Grove</t>
  </si>
  <si>
    <t>shop_frame_frost</t>
  </si>
  <si>
    <t>preset:avatar_frame_shop_02</t>
  </si>
  <si>
    <t>霜晶王冠</t>
  </si>
  <si>
    <t>Frost Crown</t>
  </si>
  <si>
    <t>shop_frame_dragon</t>
  </si>
  <si>
    <t>preset:avatar_frame_shop_03</t>
  </si>
  <si>
    <t>鎏金龙鳞</t>
  </si>
  <si>
    <t>Gilded Dragon</t>
  </si>
  <si>
    <t>shop_frame_astral</t>
  </si>
  <si>
    <t>preset:avatar_frame_shop_04</t>
  </si>
  <si>
    <t>星穹秘环</t>
  </si>
  <si>
    <t>Astral Halo</t>
  </si>
  <si>
    <t>shop_frame_inferno</t>
  </si>
  <si>
    <t>preset:avatar_frame_shop_05</t>
  </si>
  <si>
    <t>炽焰之心</t>
  </si>
  <si>
    <t>Inferno Heart</t>
  </si>
  <si>
    <t>shop_frame_pink_sakura</t>
  </si>
  <si>
    <t>preset:avatar_frame_shop_06</t>
  </si>
  <si>
    <t>樱晶蝶语</t>
  </si>
  <si>
    <t>Sakura Crystal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</si>
</sst>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_(* \(#,##0.00\);_(* &quot;-&quot;??_);_(@_)"/>
    <numFmt numFmtId="177" formatCode="_-&quot;RM&quot;* #,##0.00_-;\-&quot;RM&quot;* #,##0.00_-;_-&quot;RM&quot;* &quot;-&quot;??_-;_-@_-"/>
    <numFmt numFmtId="178" formatCode="_(* #,##0_);_(* \(#,##0\);_(* &quot;-&quot;_);_(@_)"/>
    <numFmt numFmtId="179" formatCode="_-&quot;RM&quot;* #,##0_-;\-&quot;RM&quot;* #,##0_-;_-&quot;RM&quot;* &quot;-&quot;??_-;_-@_-"/>
  </numFmts>
  <fonts count="26">
    <font>
      <sz val="11"/>
      <name val="Carlito"/>
      <charset val="134"/>
    </font>
    <font>
      <b/>
      <sz val="15"/>
      <color rgb="FFFFFFFF"/>
      <name val="Microsoft YaHei"/>
      <charset val="134"/>
    </font>
    <font>
      <sz val="10"/>
      <color rgb="FF526377"/>
      <name val="Microsoft YaHei"/>
      <charset val="134"/>
    </font>
    <font>
      <b/>
      <sz val="10"/>
      <color rgb="FFFFFFFF"/>
      <name val="Microsoft YaHei"/>
      <charset val="134"/>
    </font>
    <font>
      <sz val="10"/>
      <color rgb="FF243447"/>
      <name val="Microsoft YaHei"/>
      <charset val="134"/>
    </font>
    <font>
      <sz val="9"/>
      <color rgb="FF243447"/>
      <name val="Microsoft YaHe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1B3553"/>
        <bgColor indexed="64"/>
      </patternFill>
    </fill>
    <fill>
      <patternFill patternType="solid">
        <fgColor rgb="FF284766"/>
        <bgColor indexed="64"/>
      </patternFill>
    </fill>
    <fill>
      <patternFill patternType="solid">
        <fgColor rgb="FFFFFFFF"/>
        <bgColor indexed="64"/>
      </patternFill>
    </fill>
    <fill>
      <patternFill patternType="solid">
        <fgColor rgb="FFF3F6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Font="0" applyFill="0" applyBorder="0" applyAlignment="0" applyProtection="0">
      <alignment vertical="center"/>
    </xf>
    <xf numFmtId="177" fontId="6" fillId="0" borderId="0" applyFont="0" applyFill="0" applyBorder="0" applyAlignment="0" applyProtection="0">
      <alignment vertical="center"/>
    </xf>
    <xf numFmtId="9" fontId="6" fillId="0" borderId="0" applyFont="0" applyFill="0" applyBorder="0" applyAlignment="0" applyProtection="0">
      <alignment vertical="center"/>
    </xf>
    <xf numFmtId="178" fontId="6" fillId="0" borderId="0" applyFont="0" applyFill="0" applyBorder="0" applyAlignment="0" applyProtection="0">
      <alignment vertical="center"/>
    </xf>
    <xf numFmtId="179"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6"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7" borderId="4" applyNumberFormat="0" applyAlignment="0" applyProtection="0">
      <alignment vertical="center"/>
    </xf>
    <xf numFmtId="0" fontId="16" fillId="8" borderId="5" applyNumberFormat="0" applyAlignment="0" applyProtection="0">
      <alignment vertical="center"/>
    </xf>
    <xf numFmtId="0" fontId="17" fillId="8" borderId="4" applyNumberFormat="0" applyAlignment="0" applyProtection="0">
      <alignment vertical="center"/>
    </xf>
    <xf numFmtId="0" fontId="18" fillId="9"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1">
    <xf numFmtId="0" fontId="0" fillId="0" borderId="0" xfId="0"/>
    <xf numFmtId="0" fontId="1" fillId="2" borderId="0" xfId="0" applyNumberFormat="1" applyFont="1" applyFill="1" applyBorder="1"/>
    <xf numFmtId="0" fontId="2" fillId="0" borderId="0" xfId="0" applyNumberFormat="1" applyFont="1" applyFill="1" applyBorder="1" applyAlignment="1">
      <alignment wrapText="1"/>
    </xf>
    <xf numFmtId="0" fontId="3" fillId="3" borderId="0" xfId="0" applyNumberFormat="1" applyFont="1" applyFill="1" applyBorder="1"/>
    <xf numFmtId="0" fontId="4" fillId="0" borderId="0" xfId="0" applyNumberFormat="1" applyFont="1" applyFill="1" applyBorder="1"/>
    <xf numFmtId="0" fontId="3" fillId="3" borderId="0" xfId="0" applyNumberFormat="1" applyFont="1" applyFill="1" applyBorder="1" applyAlignment="1">
      <alignment wrapText="1"/>
    </xf>
    <xf numFmtId="0" fontId="5" fillId="0" borderId="0" xfId="0" applyNumberFormat="1" applyFont="1" applyFill="1" applyBorder="1"/>
    <xf numFmtId="0" fontId="4" fillId="4" borderId="0" xfId="0" applyNumberFormat="1" applyFont="1" applyFill="1" applyBorder="1" applyAlignment="1">
      <alignment vertical="center" wrapText="1"/>
    </xf>
    <xf numFmtId="0" fontId="4" fillId="5" borderId="0" xfId="0" applyNumberFormat="1" applyFont="1" applyFill="1" applyBorder="1" applyAlignment="1">
      <alignment vertical="center" wrapText="1"/>
    </xf>
    <xf numFmtId="9" fontId="4" fillId="4" borderId="0" xfId="0" applyNumberFormat="1" applyFont="1" applyFill="1" applyBorder="1" applyAlignment="1">
      <alignment vertical="center" wrapText="1"/>
    </xf>
    <xf numFmtId="9" fontId="4" fillId="5" borderId="0" xfId="0" applyNumberFormat="1" applyFont="1" applyFill="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0" customWidth="1"/>
    <col min="2" max="2" width="92" customWidth="1"/>
    <col min="3" max="3" width="80" customWidth="1"/>
  </cols>
  <sheetData>
    <row r="1" ht="34" customHeight="1" spans="1:3">
      <c r="A1" s="1" t="s">
        <v>0</v>
      </c>
      <c r="B1" s="1"/>
      <c r="C1" s="1"/>
    </row>
    <row r="2" ht="32" customHeight="1" spans="1:3">
      <c r="A2" s="2" t="s">
        <v>1</v>
      </c>
      <c r="B2" s="2"/>
      <c r="C2" s="2"/>
    </row>
    <row r="3" ht="28" customHeight="1" spans="1:3">
      <c r="A3" s="5" t="s">
        <v>2</v>
      </c>
      <c r="B3" s="5" t="s">
        <v>3</v>
      </c>
      <c r="C3" s="5" t="s">
        <v>4</v>
      </c>
    </row>
    <row r="4" ht="38" customHeight="1" spans="1:3">
      <c r="A4" s="7" t="s">
        <v>5</v>
      </c>
      <c r="B4" s="7" t="s">
        <v>6</v>
      </c>
      <c r="C4" s="7" t="s">
        <v>7</v>
      </c>
    </row>
    <row r="5" ht="38" customHeight="1" spans="1:3">
      <c r="A5" s="8" t="s">
        <v>8</v>
      </c>
      <c r="B5" s="8" t="s">
        <v>9</v>
      </c>
      <c r="C5" s="8" t="s">
        <v>10</v>
      </c>
    </row>
    <row r="6" ht="38" customHeight="1" spans="1:3">
      <c r="A6" s="7" t="s">
        <v>11</v>
      </c>
      <c r="B6" s="7" t="s">
        <v>12</v>
      </c>
      <c r="C6" s="7" t="s">
        <v>13</v>
      </c>
    </row>
    <row r="7" ht="38" customHeight="1" spans="1:3">
      <c r="A7" s="8" t="s">
        <v>14</v>
      </c>
      <c r="B7" s="8" t="s">
        <v>15</v>
      </c>
      <c r="C7" s="8" t="s">
        <v>16</v>
      </c>
    </row>
    <row r="8" ht="38" customHeight="1" spans="1:3">
      <c r="A8" s="7" t="s">
        <v>17</v>
      </c>
      <c r="B8" s="7" t="s">
        <v>18</v>
      </c>
      <c r="C8" s="7" t="s">
        <v>19</v>
      </c>
    </row>
    <row r="9" ht="38" customHeight="1" spans="1:3">
      <c r="A9" s="8" t="s">
        <v>20</v>
      </c>
      <c r="B9" s="8" t="s">
        <v>21</v>
      </c>
      <c r="C9" s="8" t="s">
        <v>22</v>
      </c>
    </row>
    <row r="10" ht="38" customHeight="1" spans="1:3">
      <c r="A10" s="7" t="s">
        <v>23</v>
      </c>
      <c r="B10" s="7" t="s">
        <v>24</v>
      </c>
      <c r="C10" s="7" t="s">
        <v>25</v>
      </c>
    </row>
  </sheetData>
  <mergeCells count="2">
    <mergeCell ref="A1:C1"/>
    <mergeCell ref="A2:C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43"/>
  <sheetViews>
    <sheetView showGridLines="0" workbookViewId="0">
      <pane ySplit="3" topLeftCell="A4" activePane="bottomLeft" state="frozen"/>
      <selection/>
      <selection pane="bottomLeft" activeCell="A1" sqref="A1:AC1"/>
    </sheetView>
  </sheetViews>
  <sheetFormatPr defaultColWidth="9" defaultRowHeight="14.25"/>
  <cols>
    <col min="1" max="1" width="20" customWidth="1"/>
    <col min="2" max="2" width="15" customWidth="1"/>
    <col min="3" max="3" width="12" customWidth="1"/>
    <col min="4" max="4" width="10" customWidth="1"/>
    <col min="5" max="5" width="8" customWidth="1"/>
    <col min="6" max="6" width="9" customWidth="1"/>
    <col min="7" max="18" width="12" customWidth="1"/>
    <col min="19" max="20" width="10" customWidth="1"/>
    <col min="21" max="21" width="12" customWidth="1"/>
    <col min="22" max="22" width="10" customWidth="1"/>
    <col min="23" max="23" width="13" customWidth="1"/>
    <col min="24" max="25" width="10" customWidth="1"/>
    <col min="26" max="27" width="12" customWidth="1"/>
    <col min="28" max="28" width="13" customWidth="1"/>
    <col min="29" max="29" width="24" customWidth="1"/>
  </cols>
  <sheetData>
    <row r="1" ht="34" customHeight="1" spans="1:29">
      <c r="A1" s="1" t="s">
        <v>26</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27</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30</v>
      </c>
      <c r="D3" s="5" t="s">
        <v>31</v>
      </c>
      <c r="E3" s="5" t="s">
        <v>32</v>
      </c>
      <c r="F3" s="5" t="s">
        <v>33</v>
      </c>
      <c r="G3" s="5" t="s">
        <v>34</v>
      </c>
      <c r="H3" s="5" t="s">
        <v>35</v>
      </c>
      <c r="I3" s="5" t="s">
        <v>36</v>
      </c>
      <c r="J3" s="5" t="s">
        <v>37</v>
      </c>
      <c r="K3" s="5" t="s">
        <v>38</v>
      </c>
      <c r="L3" s="5" t="s">
        <v>39</v>
      </c>
      <c r="M3" s="5" t="s">
        <v>40</v>
      </c>
      <c r="N3" s="5" t="s">
        <v>41</v>
      </c>
      <c r="O3" s="5" t="s">
        <v>42</v>
      </c>
      <c r="P3" s="5" t="s">
        <v>43</v>
      </c>
      <c r="Q3" s="5" t="s">
        <v>44</v>
      </c>
      <c r="R3" s="5" t="s">
        <v>45</v>
      </c>
      <c r="S3" s="5" t="s">
        <v>46</v>
      </c>
      <c r="T3" s="5" t="s">
        <v>47</v>
      </c>
      <c r="U3" s="5" t="s">
        <v>48</v>
      </c>
      <c r="V3" s="5" t="s">
        <v>49</v>
      </c>
      <c r="W3" s="5" t="s">
        <v>50</v>
      </c>
      <c r="X3" s="5" t="s">
        <v>51</v>
      </c>
      <c r="Y3" s="5" t="s">
        <v>52</v>
      </c>
      <c r="Z3" s="5" t="s">
        <v>53</v>
      </c>
      <c r="AA3" s="5" t="s">
        <v>54</v>
      </c>
      <c r="AB3" s="5" t="s">
        <v>55</v>
      </c>
      <c r="AC3" s="5" t="s">
        <v>56</v>
      </c>
    </row>
    <row r="4" ht="38" customHeight="1" spans="1:29">
      <c r="A4" s="7" t="s">
        <v>57</v>
      </c>
      <c r="B4" s="7" t="s">
        <v>58</v>
      </c>
      <c r="C4" s="7" t="s">
        <v>59</v>
      </c>
      <c r="D4" s="7" t="s">
        <v>60</v>
      </c>
      <c r="E4" s="7">
        <v>1</v>
      </c>
      <c r="F4" s="7">
        <v>20</v>
      </c>
      <c r="G4" s="7">
        <v>580</v>
      </c>
      <c r="H4" s="7">
        <f t="shared" ref="H4:H43" si="0">ROUND(G4*1.5,0)</f>
        <v>870</v>
      </c>
      <c r="I4" s="7">
        <f t="shared" ref="I4:I43" si="1">ROUND(G4*3,0)</f>
        <v>1740</v>
      </c>
      <c r="J4" s="7">
        <f t="shared" ref="J4:J28" si="2">ROUND(G4*(3*1.15),0)</f>
        <v>2001</v>
      </c>
      <c r="K4" s="7">
        <v>37</v>
      </c>
      <c r="L4" s="7">
        <f t="shared" ref="L4:L23" si="3">ROUND(K4*1.5,0)</f>
        <v>56</v>
      </c>
      <c r="M4" s="7">
        <f t="shared" ref="M4:M23" si="4">ROUND(K4*3,0)</f>
        <v>111</v>
      </c>
      <c r="N4" s="7">
        <f t="shared" ref="N4:N23" si="5">ROUND(K4*(3*1.15),0)</f>
        <v>128</v>
      </c>
      <c r="O4" s="7">
        <v>4</v>
      </c>
      <c r="P4" s="7">
        <f t="shared" ref="P4:P43" si="6">ROUND(O4*1.5,0)</f>
        <v>6</v>
      </c>
      <c r="Q4" s="7">
        <f t="shared" ref="Q4:Q43" si="7">ROUND(O4*3,0)</f>
        <v>12</v>
      </c>
      <c r="R4" s="7">
        <f t="shared" ref="R4:R28" si="8">ROUND(O4*(3*1.15),0)</f>
        <v>14</v>
      </c>
      <c r="S4" s="7">
        <v>1.05</v>
      </c>
      <c r="T4" s="7">
        <v>1</v>
      </c>
      <c r="U4" s="7">
        <v>32</v>
      </c>
      <c r="V4" s="7">
        <v>3.35</v>
      </c>
      <c r="W4" s="7">
        <v>184.25</v>
      </c>
      <c r="X4" s="7" t="s">
        <v>61</v>
      </c>
      <c r="Y4" s="7">
        <v>1.5</v>
      </c>
      <c r="Z4" s="7" t="s">
        <v>62</v>
      </c>
      <c r="AA4" s="7" t="s">
        <v>62</v>
      </c>
      <c r="AB4" s="7"/>
      <c r="AC4" s="7" t="s">
        <v>63</v>
      </c>
    </row>
    <row r="5" ht="38" customHeight="1" spans="1:29">
      <c r="A5" s="8" t="s">
        <v>64</v>
      </c>
      <c r="B5" s="8" t="s">
        <v>65</v>
      </c>
      <c r="C5" s="8" t="s">
        <v>59</v>
      </c>
      <c r="D5" s="8" t="s">
        <v>66</v>
      </c>
      <c r="E5" s="8">
        <v>1</v>
      </c>
      <c r="F5" s="8">
        <v>20</v>
      </c>
      <c r="G5" s="8">
        <v>520</v>
      </c>
      <c r="H5" s="8">
        <f t="shared" si="0"/>
        <v>780</v>
      </c>
      <c r="I5" s="8">
        <f t="shared" si="1"/>
        <v>1560</v>
      </c>
      <c r="J5" s="8">
        <f t="shared" si="2"/>
        <v>1794</v>
      </c>
      <c r="K5" s="8">
        <v>48</v>
      </c>
      <c r="L5" s="8">
        <f t="shared" si="3"/>
        <v>72</v>
      </c>
      <c r="M5" s="8">
        <f t="shared" si="4"/>
        <v>144</v>
      </c>
      <c r="N5" s="8">
        <f t="shared" si="5"/>
        <v>166</v>
      </c>
      <c r="O5" s="8">
        <v>3</v>
      </c>
      <c r="P5" s="8">
        <f t="shared" si="6"/>
        <v>5</v>
      </c>
      <c r="Q5" s="8">
        <f t="shared" si="7"/>
        <v>9</v>
      </c>
      <c r="R5" s="8">
        <f t="shared" si="8"/>
        <v>10</v>
      </c>
      <c r="S5" s="8">
        <v>0.9</v>
      </c>
      <c r="T5" s="8">
        <v>4</v>
      </c>
      <c r="U5" s="8">
        <v>248</v>
      </c>
      <c r="V5" s="8">
        <v>3.25</v>
      </c>
      <c r="W5" s="8">
        <v>178.75</v>
      </c>
      <c r="X5" s="8" t="s">
        <v>61</v>
      </c>
      <c r="Y5" s="8">
        <v>1.5</v>
      </c>
      <c r="Z5" s="8" t="s">
        <v>62</v>
      </c>
      <c r="AA5" s="8" t="s">
        <v>62</v>
      </c>
      <c r="AB5" s="8"/>
      <c r="AC5" s="8" t="s">
        <v>67</v>
      </c>
    </row>
    <row r="6" ht="38" customHeight="1" spans="1:29">
      <c r="A6" s="7" t="s">
        <v>68</v>
      </c>
      <c r="B6" s="7" t="s">
        <v>69</v>
      </c>
      <c r="C6" s="7" t="s">
        <v>59</v>
      </c>
      <c r="D6" s="7" t="s">
        <v>70</v>
      </c>
      <c r="E6" s="7">
        <v>2</v>
      </c>
      <c r="F6" s="7">
        <v>30</v>
      </c>
      <c r="G6" s="7">
        <v>840</v>
      </c>
      <c r="H6" s="7">
        <f t="shared" si="0"/>
        <v>1260</v>
      </c>
      <c r="I6" s="7">
        <f t="shared" si="1"/>
        <v>2520</v>
      </c>
      <c r="J6" s="7">
        <f t="shared" si="2"/>
        <v>2898</v>
      </c>
      <c r="K6" s="7">
        <v>55</v>
      </c>
      <c r="L6" s="7">
        <f t="shared" si="3"/>
        <v>83</v>
      </c>
      <c r="M6" s="7">
        <f t="shared" si="4"/>
        <v>165</v>
      </c>
      <c r="N6" s="7">
        <f t="shared" si="5"/>
        <v>190</v>
      </c>
      <c r="O6" s="7">
        <v>7</v>
      </c>
      <c r="P6" s="7">
        <f t="shared" si="6"/>
        <v>11</v>
      </c>
      <c r="Q6" s="7">
        <f t="shared" si="7"/>
        <v>21</v>
      </c>
      <c r="R6" s="7">
        <f t="shared" si="8"/>
        <v>24</v>
      </c>
      <c r="S6" s="7">
        <v>0.92</v>
      </c>
      <c r="T6" s="7">
        <v>1</v>
      </c>
      <c r="U6" s="7">
        <v>32</v>
      </c>
      <c r="V6" s="7">
        <v>3.15</v>
      </c>
      <c r="W6" s="7">
        <v>173.25</v>
      </c>
      <c r="X6" s="7" t="s">
        <v>71</v>
      </c>
      <c r="Y6" s="7">
        <v>1.6</v>
      </c>
      <c r="Z6" s="7" t="s">
        <v>62</v>
      </c>
      <c r="AA6" s="7" t="s">
        <v>62</v>
      </c>
      <c r="AB6" s="7"/>
      <c r="AC6" s="7" t="s">
        <v>72</v>
      </c>
    </row>
    <row r="7" ht="38" customHeight="1" spans="1:29">
      <c r="A7" s="8" t="s">
        <v>73</v>
      </c>
      <c r="B7" s="8" t="s">
        <v>74</v>
      </c>
      <c r="C7" s="8" t="s">
        <v>59</v>
      </c>
      <c r="D7" s="8" t="s">
        <v>66</v>
      </c>
      <c r="E7" s="8">
        <v>2</v>
      </c>
      <c r="F7" s="8">
        <v>30</v>
      </c>
      <c r="G7" s="8">
        <v>920</v>
      </c>
      <c r="H7" s="8">
        <f t="shared" si="0"/>
        <v>1380</v>
      </c>
      <c r="I7" s="8">
        <f t="shared" si="1"/>
        <v>2760</v>
      </c>
      <c r="J7" s="8">
        <f t="shared" si="2"/>
        <v>3174</v>
      </c>
      <c r="K7" s="8">
        <v>68</v>
      </c>
      <c r="L7" s="8">
        <f t="shared" si="3"/>
        <v>102</v>
      </c>
      <c r="M7" s="8">
        <f t="shared" si="4"/>
        <v>204</v>
      </c>
      <c r="N7" s="8">
        <f t="shared" si="5"/>
        <v>235</v>
      </c>
      <c r="O7" s="8">
        <v>8</v>
      </c>
      <c r="P7" s="8">
        <f t="shared" si="6"/>
        <v>12</v>
      </c>
      <c r="Q7" s="8">
        <f t="shared" si="7"/>
        <v>24</v>
      </c>
      <c r="R7" s="8">
        <f t="shared" si="8"/>
        <v>28</v>
      </c>
      <c r="S7" s="8">
        <v>1</v>
      </c>
      <c r="T7" s="8">
        <v>2</v>
      </c>
      <c r="U7" s="8">
        <v>104</v>
      </c>
      <c r="V7" s="8">
        <v>3.2</v>
      </c>
      <c r="W7" s="8">
        <v>176</v>
      </c>
      <c r="X7" s="8" t="s">
        <v>71</v>
      </c>
      <c r="Y7" s="8">
        <v>1.6</v>
      </c>
      <c r="Z7" s="8" t="s">
        <v>62</v>
      </c>
      <c r="AA7" s="8" t="s">
        <v>62</v>
      </c>
      <c r="AB7" s="8"/>
      <c r="AC7" s="8" t="s">
        <v>75</v>
      </c>
    </row>
    <row r="8" ht="38" customHeight="1" spans="1:29">
      <c r="A8" s="7" t="s">
        <v>76</v>
      </c>
      <c r="B8" s="7" t="s">
        <v>77</v>
      </c>
      <c r="C8" s="7" t="s">
        <v>59</v>
      </c>
      <c r="D8" s="7" t="s">
        <v>60</v>
      </c>
      <c r="E8" s="7">
        <v>2</v>
      </c>
      <c r="F8" s="7">
        <v>30</v>
      </c>
      <c r="G8" s="7">
        <v>780</v>
      </c>
      <c r="H8" s="7">
        <f t="shared" si="0"/>
        <v>1170</v>
      </c>
      <c r="I8" s="7">
        <f t="shared" si="1"/>
        <v>2340</v>
      </c>
      <c r="J8" s="7">
        <f t="shared" si="2"/>
        <v>2691</v>
      </c>
      <c r="K8" s="7">
        <v>88</v>
      </c>
      <c r="L8" s="7">
        <f t="shared" si="3"/>
        <v>132</v>
      </c>
      <c r="M8" s="7">
        <f t="shared" si="4"/>
        <v>264</v>
      </c>
      <c r="N8" s="7">
        <f t="shared" si="5"/>
        <v>304</v>
      </c>
      <c r="O8" s="7">
        <v>6</v>
      </c>
      <c r="P8" s="7">
        <f t="shared" si="6"/>
        <v>9</v>
      </c>
      <c r="Q8" s="7">
        <f t="shared" si="7"/>
        <v>18</v>
      </c>
      <c r="R8" s="7">
        <f t="shared" si="8"/>
        <v>21</v>
      </c>
      <c r="S8" s="7">
        <v>1.35</v>
      </c>
      <c r="T8" s="7">
        <v>1</v>
      </c>
      <c r="U8" s="7">
        <v>32</v>
      </c>
      <c r="V8" s="7">
        <v>3.55</v>
      </c>
      <c r="W8" s="7">
        <v>195.25</v>
      </c>
      <c r="X8" s="7" t="s">
        <v>78</v>
      </c>
      <c r="Y8" s="7">
        <v>1.6</v>
      </c>
      <c r="Z8" s="7" t="s">
        <v>62</v>
      </c>
      <c r="AA8" s="7" t="s">
        <v>62</v>
      </c>
      <c r="AB8" s="7"/>
      <c r="AC8" s="7" t="s">
        <v>79</v>
      </c>
    </row>
    <row r="9" ht="38" customHeight="1" spans="1:29">
      <c r="A9" s="8" t="s">
        <v>80</v>
      </c>
      <c r="B9" s="8" t="s">
        <v>81</v>
      </c>
      <c r="C9" s="8" t="s">
        <v>59</v>
      </c>
      <c r="D9" s="8" t="s">
        <v>60</v>
      </c>
      <c r="E9" s="8">
        <v>2</v>
      </c>
      <c r="F9" s="8">
        <v>30</v>
      </c>
      <c r="G9" s="8">
        <v>860</v>
      </c>
      <c r="H9" s="8">
        <f t="shared" si="0"/>
        <v>1290</v>
      </c>
      <c r="I9" s="8">
        <f t="shared" si="1"/>
        <v>2580</v>
      </c>
      <c r="J9" s="8">
        <f t="shared" si="2"/>
        <v>2967</v>
      </c>
      <c r="K9" s="8">
        <v>64</v>
      </c>
      <c r="L9" s="8">
        <f t="shared" si="3"/>
        <v>96</v>
      </c>
      <c r="M9" s="8">
        <f t="shared" si="4"/>
        <v>192</v>
      </c>
      <c r="N9" s="8">
        <f t="shared" si="5"/>
        <v>221</v>
      </c>
      <c r="O9" s="8">
        <v>7</v>
      </c>
      <c r="P9" s="8">
        <f t="shared" si="6"/>
        <v>11</v>
      </c>
      <c r="Q9" s="8">
        <f t="shared" si="7"/>
        <v>21</v>
      </c>
      <c r="R9" s="8">
        <f t="shared" si="8"/>
        <v>24</v>
      </c>
      <c r="S9" s="8">
        <v>1</v>
      </c>
      <c r="T9" s="8">
        <v>3</v>
      </c>
      <c r="U9" s="8">
        <v>176</v>
      </c>
      <c r="V9" s="8">
        <v>3.25</v>
      </c>
      <c r="W9" s="8">
        <v>178.75</v>
      </c>
      <c r="X9" s="8" t="s">
        <v>71</v>
      </c>
      <c r="Y9" s="8">
        <v>1.6</v>
      </c>
      <c r="Z9" s="8" t="s">
        <v>62</v>
      </c>
      <c r="AA9" s="8" t="s">
        <v>62</v>
      </c>
      <c r="AB9" s="8"/>
      <c r="AC9" s="8" t="s">
        <v>82</v>
      </c>
    </row>
    <row r="10" ht="38" customHeight="1" spans="1:29">
      <c r="A10" s="7" t="s">
        <v>83</v>
      </c>
      <c r="B10" s="7" t="s">
        <v>84</v>
      </c>
      <c r="C10" s="7" t="s">
        <v>59</v>
      </c>
      <c r="D10" s="7" t="s">
        <v>70</v>
      </c>
      <c r="E10" s="7">
        <v>3</v>
      </c>
      <c r="F10" s="7">
        <v>50</v>
      </c>
      <c r="G10" s="7">
        <v>1640</v>
      </c>
      <c r="H10" s="7">
        <f t="shared" si="0"/>
        <v>2460</v>
      </c>
      <c r="I10" s="7">
        <f t="shared" si="1"/>
        <v>4920</v>
      </c>
      <c r="J10" s="7">
        <f t="shared" si="2"/>
        <v>5658</v>
      </c>
      <c r="K10" s="7">
        <v>97</v>
      </c>
      <c r="L10" s="7">
        <f t="shared" si="3"/>
        <v>146</v>
      </c>
      <c r="M10" s="7">
        <f t="shared" si="4"/>
        <v>291</v>
      </c>
      <c r="N10" s="7">
        <f t="shared" si="5"/>
        <v>335</v>
      </c>
      <c r="O10" s="7">
        <v>16</v>
      </c>
      <c r="P10" s="7">
        <f t="shared" si="6"/>
        <v>24</v>
      </c>
      <c r="Q10" s="7">
        <f t="shared" si="7"/>
        <v>48</v>
      </c>
      <c r="R10" s="7">
        <f t="shared" si="8"/>
        <v>55</v>
      </c>
      <c r="S10" s="7">
        <v>0.78</v>
      </c>
      <c r="T10" s="7">
        <v>1</v>
      </c>
      <c r="U10" s="7">
        <v>32</v>
      </c>
      <c r="V10" s="7">
        <v>3</v>
      </c>
      <c r="W10" s="7">
        <v>165</v>
      </c>
      <c r="X10" s="7" t="s">
        <v>85</v>
      </c>
      <c r="Y10" s="7">
        <v>1.75</v>
      </c>
      <c r="Z10" s="7" t="s">
        <v>62</v>
      </c>
      <c r="AA10" s="7" t="s">
        <v>62</v>
      </c>
      <c r="AB10" s="7" t="s">
        <v>86</v>
      </c>
      <c r="AC10" s="7" t="s">
        <v>87</v>
      </c>
    </row>
    <row r="11" ht="38" customHeight="1" spans="1:29">
      <c r="A11" s="8" t="s">
        <v>88</v>
      </c>
      <c r="B11" s="8" t="s">
        <v>89</v>
      </c>
      <c r="C11" s="8" t="s">
        <v>59</v>
      </c>
      <c r="D11" s="8" t="s">
        <v>66</v>
      </c>
      <c r="E11" s="8">
        <v>3</v>
      </c>
      <c r="F11" s="8">
        <v>50</v>
      </c>
      <c r="G11" s="8">
        <v>1800</v>
      </c>
      <c r="H11" s="8">
        <f t="shared" si="0"/>
        <v>2700</v>
      </c>
      <c r="I11" s="8">
        <f t="shared" si="1"/>
        <v>5400</v>
      </c>
      <c r="J11" s="8">
        <f t="shared" si="2"/>
        <v>6210</v>
      </c>
      <c r="K11" s="8">
        <v>120</v>
      </c>
      <c r="L11" s="8">
        <f t="shared" si="3"/>
        <v>180</v>
      </c>
      <c r="M11" s="8">
        <f t="shared" si="4"/>
        <v>360</v>
      </c>
      <c r="N11" s="8">
        <f t="shared" si="5"/>
        <v>414</v>
      </c>
      <c r="O11" s="8">
        <v>14</v>
      </c>
      <c r="P11" s="8">
        <f t="shared" si="6"/>
        <v>21</v>
      </c>
      <c r="Q11" s="8">
        <f t="shared" si="7"/>
        <v>42</v>
      </c>
      <c r="R11" s="8">
        <f t="shared" si="8"/>
        <v>48</v>
      </c>
      <c r="S11" s="8">
        <v>0.85</v>
      </c>
      <c r="T11" s="8">
        <v>1</v>
      </c>
      <c r="U11" s="8">
        <v>32</v>
      </c>
      <c r="V11" s="8">
        <v>2.95</v>
      </c>
      <c r="W11" s="8">
        <v>162.25</v>
      </c>
      <c r="X11" s="8" t="s">
        <v>78</v>
      </c>
      <c r="Y11" s="8">
        <v>1.8</v>
      </c>
      <c r="Z11" s="8" t="s">
        <v>62</v>
      </c>
      <c r="AA11" s="8" t="s">
        <v>62</v>
      </c>
      <c r="AB11" s="8" t="s">
        <v>86</v>
      </c>
      <c r="AC11" s="8" t="s">
        <v>90</v>
      </c>
    </row>
    <row r="12" ht="38" customHeight="1" spans="1:29">
      <c r="A12" s="7" t="s">
        <v>91</v>
      </c>
      <c r="B12" s="7" t="s">
        <v>92</v>
      </c>
      <c r="C12" s="7" t="s">
        <v>93</v>
      </c>
      <c r="D12" s="7" t="s">
        <v>60</v>
      </c>
      <c r="E12" s="7">
        <v>1</v>
      </c>
      <c r="F12" s="7">
        <v>20</v>
      </c>
      <c r="G12" s="7">
        <v>640</v>
      </c>
      <c r="H12" s="7">
        <f t="shared" si="0"/>
        <v>960</v>
      </c>
      <c r="I12" s="7">
        <f t="shared" si="1"/>
        <v>1920</v>
      </c>
      <c r="J12" s="7">
        <f t="shared" si="2"/>
        <v>2208</v>
      </c>
      <c r="K12" s="7">
        <v>31</v>
      </c>
      <c r="L12" s="7">
        <f t="shared" si="3"/>
        <v>47</v>
      </c>
      <c r="M12" s="7">
        <f t="shared" si="4"/>
        <v>93</v>
      </c>
      <c r="N12" s="7">
        <f t="shared" si="5"/>
        <v>107</v>
      </c>
      <c r="O12" s="7">
        <v>4</v>
      </c>
      <c r="P12" s="7">
        <f t="shared" si="6"/>
        <v>6</v>
      </c>
      <c r="Q12" s="7">
        <f t="shared" si="7"/>
        <v>12</v>
      </c>
      <c r="R12" s="7">
        <f t="shared" si="8"/>
        <v>14</v>
      </c>
      <c r="S12" s="7">
        <v>0.95</v>
      </c>
      <c r="T12" s="7">
        <v>4</v>
      </c>
      <c r="U12" s="7">
        <v>248</v>
      </c>
      <c r="V12" s="7">
        <v>3.2</v>
      </c>
      <c r="W12" s="7">
        <v>176</v>
      </c>
      <c r="X12" s="7" t="s">
        <v>61</v>
      </c>
      <c r="Y12" s="7">
        <v>1.5</v>
      </c>
      <c r="Z12" s="7" t="s">
        <v>62</v>
      </c>
      <c r="AA12" s="7" t="s">
        <v>62</v>
      </c>
      <c r="AB12" s="7"/>
      <c r="AC12" s="7" t="s">
        <v>94</v>
      </c>
    </row>
    <row r="13" ht="38" customHeight="1" spans="1:29">
      <c r="A13" s="8" t="s">
        <v>95</v>
      </c>
      <c r="B13" s="8" t="s">
        <v>96</v>
      </c>
      <c r="C13" s="8" t="s">
        <v>93</v>
      </c>
      <c r="D13" s="8" t="s">
        <v>60</v>
      </c>
      <c r="E13" s="8">
        <v>1</v>
      </c>
      <c r="F13" s="8">
        <v>20</v>
      </c>
      <c r="G13" s="8">
        <v>600</v>
      </c>
      <c r="H13" s="8">
        <f t="shared" si="0"/>
        <v>900</v>
      </c>
      <c r="I13" s="8">
        <f t="shared" si="1"/>
        <v>1800</v>
      </c>
      <c r="J13" s="8">
        <f t="shared" si="2"/>
        <v>2070</v>
      </c>
      <c r="K13" s="8">
        <v>26</v>
      </c>
      <c r="L13" s="8">
        <f t="shared" si="3"/>
        <v>39</v>
      </c>
      <c r="M13" s="8">
        <f t="shared" si="4"/>
        <v>78</v>
      </c>
      <c r="N13" s="8">
        <f t="shared" si="5"/>
        <v>90</v>
      </c>
      <c r="O13" s="8">
        <v>4</v>
      </c>
      <c r="P13" s="8">
        <f t="shared" si="6"/>
        <v>6</v>
      </c>
      <c r="Q13" s="8">
        <f t="shared" si="7"/>
        <v>12</v>
      </c>
      <c r="R13" s="8">
        <f t="shared" si="8"/>
        <v>14</v>
      </c>
      <c r="S13" s="8">
        <v>0.9</v>
      </c>
      <c r="T13" s="8">
        <v>4</v>
      </c>
      <c r="U13" s="8">
        <v>248</v>
      </c>
      <c r="V13" s="8">
        <v>3.15</v>
      </c>
      <c r="W13" s="8">
        <v>173.25</v>
      </c>
      <c r="X13" s="8" t="s">
        <v>61</v>
      </c>
      <c r="Y13" s="8">
        <v>1.5</v>
      </c>
      <c r="Z13" s="8" t="s">
        <v>62</v>
      </c>
      <c r="AA13" s="8" t="s">
        <v>62</v>
      </c>
      <c r="AB13" s="8"/>
      <c r="AC13" s="8" t="s">
        <v>97</v>
      </c>
    </row>
    <row r="14" ht="38" customHeight="1" spans="1:29">
      <c r="A14" s="7" t="s">
        <v>98</v>
      </c>
      <c r="B14" s="7" t="s">
        <v>99</v>
      </c>
      <c r="C14" s="7" t="s">
        <v>93</v>
      </c>
      <c r="D14" s="7" t="s">
        <v>66</v>
      </c>
      <c r="E14" s="7">
        <v>2</v>
      </c>
      <c r="F14" s="7">
        <v>30</v>
      </c>
      <c r="G14" s="7">
        <v>1080</v>
      </c>
      <c r="H14" s="7">
        <f t="shared" si="0"/>
        <v>1620</v>
      </c>
      <c r="I14" s="7">
        <f t="shared" si="1"/>
        <v>3240</v>
      </c>
      <c r="J14" s="7">
        <f t="shared" si="2"/>
        <v>3726</v>
      </c>
      <c r="K14" s="7">
        <v>48</v>
      </c>
      <c r="L14" s="7">
        <f t="shared" si="3"/>
        <v>72</v>
      </c>
      <c r="M14" s="7">
        <f t="shared" si="4"/>
        <v>144</v>
      </c>
      <c r="N14" s="7">
        <f t="shared" si="5"/>
        <v>166</v>
      </c>
      <c r="O14" s="7">
        <v>8</v>
      </c>
      <c r="P14" s="7">
        <f t="shared" si="6"/>
        <v>12</v>
      </c>
      <c r="Q14" s="7">
        <f t="shared" si="7"/>
        <v>24</v>
      </c>
      <c r="R14" s="7">
        <f t="shared" si="8"/>
        <v>28</v>
      </c>
      <c r="S14" s="7">
        <v>0.95</v>
      </c>
      <c r="T14" s="7">
        <v>4</v>
      </c>
      <c r="U14" s="7">
        <v>248</v>
      </c>
      <c r="V14" s="7">
        <v>3.25</v>
      </c>
      <c r="W14" s="7">
        <v>178.75</v>
      </c>
      <c r="X14" s="7" t="s">
        <v>71</v>
      </c>
      <c r="Y14" s="7">
        <v>1.6</v>
      </c>
      <c r="Z14" s="7" t="s">
        <v>62</v>
      </c>
      <c r="AA14" s="7" t="s">
        <v>62</v>
      </c>
      <c r="AB14" s="7"/>
      <c r="AC14" s="7" t="s">
        <v>100</v>
      </c>
    </row>
    <row r="15" ht="38" customHeight="1" spans="1:29">
      <c r="A15" s="8" t="s">
        <v>101</v>
      </c>
      <c r="B15" s="8" t="s">
        <v>102</v>
      </c>
      <c r="C15" s="8" t="s">
        <v>93</v>
      </c>
      <c r="D15" s="8" t="s">
        <v>70</v>
      </c>
      <c r="E15" s="8">
        <v>2</v>
      </c>
      <c r="F15" s="8">
        <v>30</v>
      </c>
      <c r="G15" s="8">
        <v>1040</v>
      </c>
      <c r="H15" s="8">
        <f t="shared" si="0"/>
        <v>1560</v>
      </c>
      <c r="I15" s="8">
        <f t="shared" si="1"/>
        <v>3120</v>
      </c>
      <c r="J15" s="8">
        <f t="shared" si="2"/>
        <v>3588</v>
      </c>
      <c r="K15" s="8">
        <v>79</v>
      </c>
      <c r="L15" s="8">
        <f t="shared" si="3"/>
        <v>119</v>
      </c>
      <c r="M15" s="8">
        <f t="shared" si="4"/>
        <v>237</v>
      </c>
      <c r="N15" s="8">
        <f t="shared" si="5"/>
        <v>273</v>
      </c>
      <c r="O15" s="8">
        <v>10</v>
      </c>
      <c r="P15" s="8">
        <f t="shared" si="6"/>
        <v>15</v>
      </c>
      <c r="Q15" s="8">
        <f t="shared" si="7"/>
        <v>30</v>
      </c>
      <c r="R15" s="8">
        <f t="shared" si="8"/>
        <v>35</v>
      </c>
      <c r="S15" s="8">
        <v>0.8</v>
      </c>
      <c r="T15" s="8">
        <v>1</v>
      </c>
      <c r="U15" s="8">
        <v>32</v>
      </c>
      <c r="V15" s="8">
        <v>3.05</v>
      </c>
      <c r="W15" s="8">
        <v>167.75</v>
      </c>
      <c r="X15" s="8" t="s">
        <v>71</v>
      </c>
      <c r="Y15" s="8">
        <v>1.6</v>
      </c>
      <c r="Z15" s="8" t="s">
        <v>62</v>
      </c>
      <c r="AA15" s="8" t="s">
        <v>62</v>
      </c>
      <c r="AB15" s="8"/>
      <c r="AC15" s="8" t="s">
        <v>103</v>
      </c>
    </row>
    <row r="16" ht="38" customHeight="1" spans="1:29">
      <c r="A16" s="7" t="s">
        <v>104</v>
      </c>
      <c r="B16" s="7" t="s">
        <v>105</v>
      </c>
      <c r="C16" s="7" t="s">
        <v>93</v>
      </c>
      <c r="D16" s="7" t="s">
        <v>66</v>
      </c>
      <c r="E16" s="7">
        <v>2</v>
      </c>
      <c r="F16" s="7">
        <v>30</v>
      </c>
      <c r="G16" s="7">
        <v>720</v>
      </c>
      <c r="H16" s="7">
        <f t="shared" si="0"/>
        <v>1080</v>
      </c>
      <c r="I16" s="7">
        <f t="shared" si="1"/>
        <v>2160</v>
      </c>
      <c r="J16" s="7">
        <f t="shared" si="2"/>
        <v>2484</v>
      </c>
      <c r="K16" s="7">
        <v>77</v>
      </c>
      <c r="L16" s="7">
        <f t="shared" si="3"/>
        <v>116</v>
      </c>
      <c r="M16" s="7">
        <f t="shared" si="4"/>
        <v>231</v>
      </c>
      <c r="N16" s="7">
        <f t="shared" si="5"/>
        <v>266</v>
      </c>
      <c r="O16" s="7">
        <v>4</v>
      </c>
      <c r="P16" s="7">
        <f t="shared" si="6"/>
        <v>6</v>
      </c>
      <c r="Q16" s="7">
        <f t="shared" si="7"/>
        <v>12</v>
      </c>
      <c r="R16" s="7">
        <f t="shared" si="8"/>
        <v>14</v>
      </c>
      <c r="S16" s="7">
        <v>1.2</v>
      </c>
      <c r="T16" s="7">
        <v>4</v>
      </c>
      <c r="U16" s="7">
        <v>248</v>
      </c>
      <c r="V16" s="7">
        <v>3.2</v>
      </c>
      <c r="W16" s="7">
        <v>176</v>
      </c>
      <c r="X16" s="7" t="s">
        <v>85</v>
      </c>
      <c r="Y16" s="7">
        <v>1.6</v>
      </c>
      <c r="Z16" s="7" t="s">
        <v>62</v>
      </c>
      <c r="AA16" s="7" t="s">
        <v>62</v>
      </c>
      <c r="AB16" s="7"/>
      <c r="AC16" s="7" t="s">
        <v>106</v>
      </c>
    </row>
    <row r="17" ht="38" customHeight="1" spans="1:29">
      <c r="A17" s="8" t="s">
        <v>107</v>
      </c>
      <c r="B17" s="8" t="s">
        <v>108</v>
      </c>
      <c r="C17" s="8" t="s">
        <v>93</v>
      </c>
      <c r="D17" s="8" t="s">
        <v>70</v>
      </c>
      <c r="E17" s="8">
        <v>2</v>
      </c>
      <c r="F17" s="8">
        <v>30</v>
      </c>
      <c r="G17" s="8">
        <v>1520</v>
      </c>
      <c r="H17" s="8">
        <f t="shared" si="0"/>
        <v>2280</v>
      </c>
      <c r="I17" s="8">
        <f t="shared" si="1"/>
        <v>4560</v>
      </c>
      <c r="J17" s="8">
        <f t="shared" si="2"/>
        <v>5244</v>
      </c>
      <c r="K17" s="8">
        <v>46</v>
      </c>
      <c r="L17" s="8">
        <f t="shared" si="3"/>
        <v>69</v>
      </c>
      <c r="M17" s="8">
        <f t="shared" si="4"/>
        <v>138</v>
      </c>
      <c r="N17" s="8">
        <f t="shared" si="5"/>
        <v>159</v>
      </c>
      <c r="O17" s="8">
        <v>14</v>
      </c>
      <c r="P17" s="8">
        <f t="shared" si="6"/>
        <v>21</v>
      </c>
      <c r="Q17" s="8">
        <f t="shared" si="7"/>
        <v>42</v>
      </c>
      <c r="R17" s="8">
        <f t="shared" si="8"/>
        <v>48</v>
      </c>
      <c r="S17" s="8">
        <v>0.75</v>
      </c>
      <c r="T17" s="8">
        <v>1</v>
      </c>
      <c r="U17" s="8">
        <v>32</v>
      </c>
      <c r="V17" s="8">
        <v>3</v>
      </c>
      <c r="W17" s="8">
        <v>165</v>
      </c>
      <c r="X17" s="8" t="s">
        <v>61</v>
      </c>
      <c r="Y17" s="8">
        <v>1.5</v>
      </c>
      <c r="Z17" s="8" t="s">
        <v>62</v>
      </c>
      <c r="AA17" s="8" t="s">
        <v>62</v>
      </c>
      <c r="AB17" s="8"/>
      <c r="AC17" s="8" t="s">
        <v>109</v>
      </c>
    </row>
    <row r="18" ht="38" customHeight="1" spans="1:29">
      <c r="A18" s="7" t="s">
        <v>110</v>
      </c>
      <c r="B18" s="7" t="s">
        <v>111</v>
      </c>
      <c r="C18" s="7" t="s">
        <v>93</v>
      </c>
      <c r="D18" s="7" t="s">
        <v>66</v>
      </c>
      <c r="E18" s="7">
        <v>3</v>
      </c>
      <c r="F18" s="7">
        <v>50</v>
      </c>
      <c r="G18" s="7">
        <v>1700</v>
      </c>
      <c r="H18" s="7">
        <f t="shared" si="0"/>
        <v>2550</v>
      </c>
      <c r="I18" s="7">
        <f t="shared" si="1"/>
        <v>5100</v>
      </c>
      <c r="J18" s="7">
        <f t="shared" si="2"/>
        <v>5865</v>
      </c>
      <c r="K18" s="7">
        <v>73</v>
      </c>
      <c r="L18" s="7">
        <f t="shared" si="3"/>
        <v>110</v>
      </c>
      <c r="M18" s="7">
        <f t="shared" si="4"/>
        <v>219</v>
      </c>
      <c r="N18" s="7">
        <f t="shared" si="5"/>
        <v>252</v>
      </c>
      <c r="O18" s="7">
        <v>15</v>
      </c>
      <c r="P18" s="7">
        <f t="shared" si="6"/>
        <v>23</v>
      </c>
      <c r="Q18" s="7">
        <f t="shared" si="7"/>
        <v>45</v>
      </c>
      <c r="R18" s="7">
        <f t="shared" si="8"/>
        <v>52</v>
      </c>
      <c r="S18" s="7">
        <v>0.85</v>
      </c>
      <c r="T18" s="7">
        <v>4</v>
      </c>
      <c r="U18" s="7">
        <v>248</v>
      </c>
      <c r="V18" s="7">
        <v>3.05</v>
      </c>
      <c r="W18" s="7">
        <v>167.75</v>
      </c>
      <c r="X18" s="7" t="s">
        <v>85</v>
      </c>
      <c r="Y18" s="7">
        <v>1.75</v>
      </c>
      <c r="Z18" s="7" t="s">
        <v>62</v>
      </c>
      <c r="AA18" s="7" t="s">
        <v>62</v>
      </c>
      <c r="AB18" s="7" t="s">
        <v>86</v>
      </c>
      <c r="AC18" s="7" t="s">
        <v>112</v>
      </c>
    </row>
    <row r="19" ht="38" customHeight="1" spans="1:29">
      <c r="A19" s="8" t="s">
        <v>113</v>
      </c>
      <c r="B19" s="8" t="s">
        <v>114</v>
      </c>
      <c r="C19" s="8" t="s">
        <v>93</v>
      </c>
      <c r="D19" s="8" t="s">
        <v>70</v>
      </c>
      <c r="E19" s="8">
        <v>3</v>
      </c>
      <c r="F19" s="8">
        <v>50</v>
      </c>
      <c r="G19" s="8">
        <v>1800</v>
      </c>
      <c r="H19" s="8">
        <f t="shared" si="0"/>
        <v>2700</v>
      </c>
      <c r="I19" s="8">
        <f t="shared" si="1"/>
        <v>5400</v>
      </c>
      <c r="J19" s="8">
        <f t="shared" si="2"/>
        <v>6210</v>
      </c>
      <c r="K19" s="8">
        <v>105</v>
      </c>
      <c r="L19" s="8">
        <f t="shared" si="3"/>
        <v>158</v>
      </c>
      <c r="M19" s="8">
        <f t="shared" si="4"/>
        <v>315</v>
      </c>
      <c r="N19" s="8">
        <f t="shared" si="5"/>
        <v>362</v>
      </c>
      <c r="O19" s="8">
        <v>16</v>
      </c>
      <c r="P19" s="8">
        <f t="shared" si="6"/>
        <v>24</v>
      </c>
      <c r="Q19" s="8">
        <f t="shared" si="7"/>
        <v>48</v>
      </c>
      <c r="R19" s="8">
        <f t="shared" si="8"/>
        <v>55</v>
      </c>
      <c r="S19" s="8">
        <v>0.88</v>
      </c>
      <c r="T19" s="8">
        <v>1</v>
      </c>
      <c r="U19" s="8">
        <v>32</v>
      </c>
      <c r="V19" s="8">
        <v>3</v>
      </c>
      <c r="W19" s="8">
        <v>165</v>
      </c>
      <c r="X19" s="8" t="s">
        <v>78</v>
      </c>
      <c r="Y19" s="8">
        <v>1.75</v>
      </c>
      <c r="Z19" s="8" t="s">
        <v>62</v>
      </c>
      <c r="AA19" s="8" t="s">
        <v>62</v>
      </c>
      <c r="AB19" s="8" t="s">
        <v>86</v>
      </c>
      <c r="AC19" s="8" t="s">
        <v>115</v>
      </c>
    </row>
    <row r="20" ht="38" customHeight="1" spans="1:29">
      <c r="A20" s="7" t="s">
        <v>116</v>
      </c>
      <c r="B20" s="7" t="s">
        <v>117</v>
      </c>
      <c r="C20" s="7" t="s">
        <v>118</v>
      </c>
      <c r="D20" s="7" t="s">
        <v>60</v>
      </c>
      <c r="E20" s="7">
        <v>1</v>
      </c>
      <c r="F20" s="7">
        <v>20</v>
      </c>
      <c r="G20" s="7">
        <v>560</v>
      </c>
      <c r="H20" s="7">
        <f t="shared" si="0"/>
        <v>840</v>
      </c>
      <c r="I20" s="7">
        <f t="shared" si="1"/>
        <v>1680</v>
      </c>
      <c r="J20" s="7">
        <f t="shared" si="2"/>
        <v>1932</v>
      </c>
      <c r="K20" s="7">
        <v>29</v>
      </c>
      <c r="L20" s="7">
        <f t="shared" si="3"/>
        <v>44</v>
      </c>
      <c r="M20" s="7">
        <f t="shared" si="4"/>
        <v>87</v>
      </c>
      <c r="N20" s="7">
        <f t="shared" si="5"/>
        <v>100</v>
      </c>
      <c r="O20" s="7">
        <v>4</v>
      </c>
      <c r="P20" s="7">
        <f t="shared" si="6"/>
        <v>6</v>
      </c>
      <c r="Q20" s="7">
        <f t="shared" si="7"/>
        <v>12</v>
      </c>
      <c r="R20" s="7">
        <f t="shared" si="8"/>
        <v>14</v>
      </c>
      <c r="S20" s="7">
        <v>0.9</v>
      </c>
      <c r="T20" s="7">
        <v>1</v>
      </c>
      <c r="U20" s="7">
        <v>32</v>
      </c>
      <c r="V20" s="7">
        <v>3.2</v>
      </c>
      <c r="W20" s="7">
        <v>176</v>
      </c>
      <c r="X20" s="7" t="s">
        <v>61</v>
      </c>
      <c r="Y20" s="7">
        <v>1.5</v>
      </c>
      <c r="Z20" s="7" t="s">
        <v>62</v>
      </c>
      <c r="AA20" s="7" t="s">
        <v>62</v>
      </c>
      <c r="AB20" s="7"/>
      <c r="AC20" s="7" t="s">
        <v>119</v>
      </c>
    </row>
    <row r="21" ht="38" customHeight="1" spans="1:29">
      <c r="A21" s="8" t="s">
        <v>120</v>
      </c>
      <c r="B21" s="8" t="s">
        <v>121</v>
      </c>
      <c r="C21" s="8" t="s">
        <v>118</v>
      </c>
      <c r="D21" s="8" t="s">
        <v>70</v>
      </c>
      <c r="E21" s="8">
        <v>1</v>
      </c>
      <c r="F21" s="8">
        <v>20</v>
      </c>
      <c r="G21" s="8">
        <v>600</v>
      </c>
      <c r="H21" s="8">
        <f t="shared" si="0"/>
        <v>900</v>
      </c>
      <c r="I21" s="8">
        <f t="shared" si="1"/>
        <v>1800</v>
      </c>
      <c r="J21" s="8">
        <f t="shared" si="2"/>
        <v>2070</v>
      </c>
      <c r="K21" s="8">
        <v>35</v>
      </c>
      <c r="L21" s="8">
        <f t="shared" si="3"/>
        <v>53</v>
      </c>
      <c r="M21" s="8">
        <f t="shared" si="4"/>
        <v>105</v>
      </c>
      <c r="N21" s="8">
        <f t="shared" si="5"/>
        <v>121</v>
      </c>
      <c r="O21" s="8">
        <v>5</v>
      </c>
      <c r="P21" s="8">
        <f t="shared" si="6"/>
        <v>8</v>
      </c>
      <c r="Q21" s="8">
        <f t="shared" si="7"/>
        <v>15</v>
      </c>
      <c r="R21" s="8">
        <f t="shared" si="8"/>
        <v>17</v>
      </c>
      <c r="S21" s="8">
        <v>1</v>
      </c>
      <c r="T21" s="8">
        <v>1</v>
      </c>
      <c r="U21" s="8">
        <v>32</v>
      </c>
      <c r="V21" s="8">
        <v>3.3</v>
      </c>
      <c r="W21" s="8">
        <v>181.5</v>
      </c>
      <c r="X21" s="8" t="s">
        <v>61</v>
      </c>
      <c r="Y21" s="8">
        <v>1.5</v>
      </c>
      <c r="Z21" s="8" t="s">
        <v>62</v>
      </c>
      <c r="AA21" s="8" t="s">
        <v>62</v>
      </c>
      <c r="AB21" s="8"/>
      <c r="AC21" s="8" t="s">
        <v>122</v>
      </c>
    </row>
    <row r="22" ht="38" customHeight="1" spans="1:29">
      <c r="A22" s="7" t="s">
        <v>123</v>
      </c>
      <c r="B22" s="7" t="s">
        <v>124</v>
      </c>
      <c r="C22" s="7" t="s">
        <v>118</v>
      </c>
      <c r="D22" s="7" t="s">
        <v>66</v>
      </c>
      <c r="E22" s="7">
        <v>2</v>
      </c>
      <c r="F22" s="7">
        <v>30</v>
      </c>
      <c r="G22" s="7">
        <v>760</v>
      </c>
      <c r="H22" s="7">
        <f t="shared" si="0"/>
        <v>1140</v>
      </c>
      <c r="I22" s="7">
        <f t="shared" si="1"/>
        <v>2280</v>
      </c>
      <c r="J22" s="7">
        <f t="shared" si="2"/>
        <v>2622</v>
      </c>
      <c r="K22" s="7">
        <v>70</v>
      </c>
      <c r="L22" s="7">
        <f t="shared" si="3"/>
        <v>105</v>
      </c>
      <c r="M22" s="7">
        <f t="shared" si="4"/>
        <v>210</v>
      </c>
      <c r="N22" s="7">
        <f t="shared" si="5"/>
        <v>242</v>
      </c>
      <c r="O22" s="7">
        <v>3</v>
      </c>
      <c r="P22" s="7">
        <f t="shared" si="6"/>
        <v>5</v>
      </c>
      <c r="Q22" s="7">
        <f t="shared" si="7"/>
        <v>9</v>
      </c>
      <c r="R22" s="7">
        <f t="shared" si="8"/>
        <v>10</v>
      </c>
      <c r="S22" s="7">
        <v>1.2</v>
      </c>
      <c r="T22" s="7">
        <v>4</v>
      </c>
      <c r="U22" s="7">
        <v>248</v>
      </c>
      <c r="V22" s="7">
        <v>3.25</v>
      </c>
      <c r="W22" s="7">
        <v>178.75</v>
      </c>
      <c r="X22" s="7" t="s">
        <v>85</v>
      </c>
      <c r="Y22" s="7">
        <v>1.6</v>
      </c>
      <c r="Z22" s="7" t="s">
        <v>62</v>
      </c>
      <c r="AA22" s="7" t="s">
        <v>62</v>
      </c>
      <c r="AB22" s="7"/>
      <c r="AC22" s="7" t="s">
        <v>125</v>
      </c>
    </row>
    <row r="23" ht="38" customHeight="1" spans="1:29">
      <c r="A23" s="8" t="s">
        <v>126</v>
      </c>
      <c r="B23" s="8" t="s">
        <v>127</v>
      </c>
      <c r="C23" s="8" t="s">
        <v>118</v>
      </c>
      <c r="D23" s="8" t="s">
        <v>60</v>
      </c>
      <c r="E23" s="8">
        <v>2</v>
      </c>
      <c r="F23" s="8">
        <v>30</v>
      </c>
      <c r="G23" s="8">
        <v>1200</v>
      </c>
      <c r="H23" s="8">
        <f t="shared" si="0"/>
        <v>1800</v>
      </c>
      <c r="I23" s="8">
        <f t="shared" si="1"/>
        <v>3600</v>
      </c>
      <c r="J23" s="8">
        <f t="shared" si="2"/>
        <v>4140</v>
      </c>
      <c r="K23" s="8">
        <v>48</v>
      </c>
      <c r="L23" s="8">
        <f t="shared" si="3"/>
        <v>72</v>
      </c>
      <c r="M23" s="8">
        <f t="shared" si="4"/>
        <v>144</v>
      </c>
      <c r="N23" s="8">
        <f t="shared" si="5"/>
        <v>166</v>
      </c>
      <c r="O23" s="8">
        <v>6</v>
      </c>
      <c r="P23" s="8">
        <f t="shared" si="6"/>
        <v>9</v>
      </c>
      <c r="Q23" s="8">
        <f t="shared" si="7"/>
        <v>18</v>
      </c>
      <c r="R23" s="8">
        <f t="shared" si="8"/>
        <v>21</v>
      </c>
      <c r="S23" s="8">
        <v>0.92</v>
      </c>
      <c r="T23" s="8">
        <v>4</v>
      </c>
      <c r="U23" s="8">
        <v>248</v>
      </c>
      <c r="V23" s="8">
        <v>3.2</v>
      </c>
      <c r="W23" s="8">
        <v>176</v>
      </c>
      <c r="X23" s="8" t="s">
        <v>71</v>
      </c>
      <c r="Y23" s="8">
        <v>1.6</v>
      </c>
      <c r="Z23" s="8" t="s">
        <v>62</v>
      </c>
      <c r="AA23" s="8" t="s">
        <v>62</v>
      </c>
      <c r="AB23" s="8"/>
      <c r="AC23" s="8" t="s">
        <v>128</v>
      </c>
    </row>
    <row r="24" ht="38" customHeight="1" spans="1:29">
      <c r="A24" s="7" t="s">
        <v>129</v>
      </c>
      <c r="B24" s="7" t="s">
        <v>130</v>
      </c>
      <c r="C24" s="7" t="s">
        <v>118</v>
      </c>
      <c r="D24" s="7" t="s">
        <v>70</v>
      </c>
      <c r="E24" s="7">
        <v>2</v>
      </c>
      <c r="F24" s="7">
        <v>30</v>
      </c>
      <c r="G24" s="7">
        <v>1640</v>
      </c>
      <c r="H24" s="7">
        <f t="shared" si="0"/>
        <v>2460</v>
      </c>
      <c r="I24" s="7">
        <f t="shared" si="1"/>
        <v>4920</v>
      </c>
      <c r="J24" s="7">
        <f t="shared" si="2"/>
        <v>5658</v>
      </c>
      <c r="K24" s="7">
        <v>1</v>
      </c>
      <c r="L24" s="7">
        <f>1</f>
        <v>1</v>
      </c>
      <c r="M24" s="7">
        <f>1</f>
        <v>1</v>
      </c>
      <c r="N24" s="7">
        <f>1</f>
        <v>1</v>
      </c>
      <c r="O24" s="7">
        <v>18</v>
      </c>
      <c r="P24" s="7">
        <f t="shared" si="6"/>
        <v>27</v>
      </c>
      <c r="Q24" s="7">
        <f t="shared" si="7"/>
        <v>54</v>
      </c>
      <c r="R24" s="7">
        <f t="shared" si="8"/>
        <v>62</v>
      </c>
      <c r="S24" s="7">
        <v>0</v>
      </c>
      <c r="T24" s="7">
        <v>1</v>
      </c>
      <c r="U24" s="7">
        <v>32</v>
      </c>
      <c r="V24" s="7">
        <v>2.8</v>
      </c>
      <c r="W24" s="7">
        <v>154</v>
      </c>
      <c r="X24" s="7" t="s">
        <v>131</v>
      </c>
      <c r="Y24" s="7">
        <v>1</v>
      </c>
      <c r="Z24" s="7" t="s">
        <v>62</v>
      </c>
      <c r="AA24" s="7" t="s">
        <v>62</v>
      </c>
      <c r="AB24" s="7"/>
      <c r="AC24" s="7" t="s">
        <v>132</v>
      </c>
    </row>
    <row r="25" ht="38" customHeight="1" spans="1:29">
      <c r="A25" s="8" t="s">
        <v>133</v>
      </c>
      <c r="B25" s="8" t="s">
        <v>134</v>
      </c>
      <c r="C25" s="8" t="s">
        <v>118</v>
      </c>
      <c r="D25" s="8" t="s">
        <v>66</v>
      </c>
      <c r="E25" s="8">
        <v>2</v>
      </c>
      <c r="F25" s="8">
        <v>30</v>
      </c>
      <c r="G25" s="8">
        <v>720</v>
      </c>
      <c r="H25" s="8">
        <f t="shared" si="0"/>
        <v>1080</v>
      </c>
      <c r="I25" s="8">
        <f t="shared" si="1"/>
        <v>2160</v>
      </c>
      <c r="J25" s="8">
        <f t="shared" si="2"/>
        <v>2484</v>
      </c>
      <c r="K25" s="8">
        <v>72</v>
      </c>
      <c r="L25" s="8">
        <f t="shared" ref="L25:L43" si="9">ROUND(K25*1.5,0)</f>
        <v>108</v>
      </c>
      <c r="M25" s="8">
        <f t="shared" ref="M25:M43" si="10">ROUND(K25*3,0)</f>
        <v>216</v>
      </c>
      <c r="N25" s="8">
        <f>ROUND(K25*(3*1.15),0)</f>
        <v>248</v>
      </c>
      <c r="O25" s="8">
        <v>3</v>
      </c>
      <c r="P25" s="8">
        <f t="shared" si="6"/>
        <v>5</v>
      </c>
      <c r="Q25" s="8">
        <f t="shared" si="7"/>
        <v>9</v>
      </c>
      <c r="R25" s="8">
        <f t="shared" si="8"/>
        <v>10</v>
      </c>
      <c r="S25" s="8">
        <v>0.85</v>
      </c>
      <c r="T25" s="8">
        <v>4</v>
      </c>
      <c r="U25" s="8">
        <v>248</v>
      </c>
      <c r="V25" s="8">
        <v>3.15</v>
      </c>
      <c r="W25" s="8">
        <v>173.25</v>
      </c>
      <c r="X25" s="8" t="s">
        <v>71</v>
      </c>
      <c r="Y25" s="8">
        <v>1.6</v>
      </c>
      <c r="Z25" s="8" t="s">
        <v>62</v>
      </c>
      <c r="AA25" s="8" t="s">
        <v>62</v>
      </c>
      <c r="AB25" s="8"/>
      <c r="AC25" s="8" t="s">
        <v>135</v>
      </c>
    </row>
    <row r="26" ht="38" customHeight="1" spans="1:29">
      <c r="A26" s="7" t="s">
        <v>136</v>
      </c>
      <c r="B26" s="7" t="s">
        <v>137</v>
      </c>
      <c r="C26" s="7" t="s">
        <v>118</v>
      </c>
      <c r="D26" s="7" t="s">
        <v>70</v>
      </c>
      <c r="E26" s="7">
        <v>2</v>
      </c>
      <c r="F26" s="7">
        <v>30</v>
      </c>
      <c r="G26" s="7">
        <v>1120</v>
      </c>
      <c r="H26" s="7">
        <f t="shared" si="0"/>
        <v>1680</v>
      </c>
      <c r="I26" s="7">
        <f t="shared" si="1"/>
        <v>3360</v>
      </c>
      <c r="J26" s="7">
        <f t="shared" si="2"/>
        <v>3864</v>
      </c>
      <c r="K26" s="7">
        <v>64</v>
      </c>
      <c r="L26" s="7">
        <f t="shared" si="9"/>
        <v>96</v>
      </c>
      <c r="M26" s="7">
        <f t="shared" si="10"/>
        <v>192</v>
      </c>
      <c r="N26" s="7">
        <f>ROUND(K26*(3*1.15),0)</f>
        <v>221</v>
      </c>
      <c r="O26" s="7">
        <v>10</v>
      </c>
      <c r="P26" s="7">
        <f t="shared" si="6"/>
        <v>15</v>
      </c>
      <c r="Q26" s="7">
        <f t="shared" si="7"/>
        <v>30</v>
      </c>
      <c r="R26" s="7">
        <f t="shared" si="8"/>
        <v>35</v>
      </c>
      <c r="S26" s="7">
        <v>0.88</v>
      </c>
      <c r="T26" s="7">
        <v>1</v>
      </c>
      <c r="U26" s="7">
        <v>32</v>
      </c>
      <c r="V26" s="7">
        <v>3.1</v>
      </c>
      <c r="W26" s="7">
        <v>170.5</v>
      </c>
      <c r="X26" s="7" t="s">
        <v>71</v>
      </c>
      <c r="Y26" s="7">
        <v>1.6</v>
      </c>
      <c r="Z26" s="7" t="s">
        <v>62</v>
      </c>
      <c r="AA26" s="7" t="s">
        <v>62</v>
      </c>
      <c r="AB26" s="7"/>
      <c r="AC26" s="7" t="s">
        <v>138</v>
      </c>
    </row>
    <row r="27" ht="38" customHeight="1" spans="1:29">
      <c r="A27" s="8" t="s">
        <v>139</v>
      </c>
      <c r="B27" s="8" t="s">
        <v>140</v>
      </c>
      <c r="C27" s="8" t="s">
        <v>118</v>
      </c>
      <c r="D27" s="8" t="s">
        <v>60</v>
      </c>
      <c r="E27" s="8">
        <v>3</v>
      </c>
      <c r="F27" s="8">
        <v>50</v>
      </c>
      <c r="G27" s="8">
        <v>720</v>
      </c>
      <c r="H27" s="8">
        <f t="shared" si="0"/>
        <v>1080</v>
      </c>
      <c r="I27" s="8">
        <f t="shared" si="1"/>
        <v>2160</v>
      </c>
      <c r="J27" s="8">
        <f t="shared" si="2"/>
        <v>2484</v>
      </c>
      <c r="K27" s="8">
        <v>55</v>
      </c>
      <c r="L27" s="8">
        <f t="shared" si="9"/>
        <v>83</v>
      </c>
      <c r="M27" s="8">
        <f t="shared" si="10"/>
        <v>165</v>
      </c>
      <c r="N27" s="8">
        <f>ROUND(K27*(3*1.15),0)</f>
        <v>190</v>
      </c>
      <c r="O27" s="8">
        <v>7</v>
      </c>
      <c r="P27" s="8">
        <f t="shared" si="6"/>
        <v>11</v>
      </c>
      <c r="Q27" s="8">
        <f t="shared" si="7"/>
        <v>21</v>
      </c>
      <c r="R27" s="8">
        <f t="shared" si="8"/>
        <v>24</v>
      </c>
      <c r="S27" s="8">
        <v>0.6</v>
      </c>
      <c r="T27" s="8">
        <v>1.5</v>
      </c>
      <c r="U27" s="8">
        <v>68</v>
      </c>
      <c r="V27" s="8">
        <v>1.2</v>
      </c>
      <c r="W27" s="8">
        <v>66</v>
      </c>
      <c r="X27" s="8" t="s">
        <v>141</v>
      </c>
      <c r="Y27" s="8">
        <v>1.8</v>
      </c>
      <c r="Z27" s="8" t="s">
        <v>62</v>
      </c>
      <c r="AA27" s="8" t="s">
        <v>62</v>
      </c>
      <c r="AB27" s="8" t="s">
        <v>86</v>
      </c>
      <c r="AC27" s="8" t="s">
        <v>142</v>
      </c>
    </row>
    <row r="28" ht="38" customHeight="1" spans="1:29">
      <c r="A28" s="7" t="s">
        <v>143</v>
      </c>
      <c r="B28" s="7" t="s">
        <v>144</v>
      </c>
      <c r="C28" s="7" t="s">
        <v>145</v>
      </c>
      <c r="D28" s="7" t="s">
        <v>60</v>
      </c>
      <c r="E28" s="7">
        <v>1</v>
      </c>
      <c r="F28" s="7">
        <v>20</v>
      </c>
      <c r="G28" s="7">
        <v>660</v>
      </c>
      <c r="H28" s="7">
        <f t="shared" si="0"/>
        <v>990</v>
      </c>
      <c r="I28" s="7">
        <f t="shared" si="1"/>
        <v>1980</v>
      </c>
      <c r="J28" s="7">
        <f t="shared" si="2"/>
        <v>2277</v>
      </c>
      <c r="K28" s="7">
        <v>33</v>
      </c>
      <c r="L28" s="7">
        <f t="shared" si="9"/>
        <v>50</v>
      </c>
      <c r="M28" s="7">
        <f t="shared" si="10"/>
        <v>99</v>
      </c>
      <c r="N28" s="7">
        <f>ROUND(K28*(3*1.15),0)</f>
        <v>114</v>
      </c>
      <c r="O28" s="7">
        <v>5</v>
      </c>
      <c r="P28" s="7">
        <f t="shared" si="6"/>
        <v>8</v>
      </c>
      <c r="Q28" s="7">
        <f t="shared" si="7"/>
        <v>15</v>
      </c>
      <c r="R28" s="7">
        <f t="shared" si="8"/>
        <v>17</v>
      </c>
      <c r="S28" s="7">
        <v>1</v>
      </c>
      <c r="T28" s="7">
        <v>1</v>
      </c>
      <c r="U28" s="7">
        <v>32</v>
      </c>
      <c r="V28" s="7">
        <v>3.3</v>
      </c>
      <c r="W28" s="7">
        <v>181.5</v>
      </c>
      <c r="X28" s="7" t="s">
        <v>61</v>
      </c>
      <c r="Y28" s="7">
        <v>1.5</v>
      </c>
      <c r="Z28" s="7" t="s">
        <v>62</v>
      </c>
      <c r="AA28" s="7" t="s">
        <v>62</v>
      </c>
      <c r="AB28" s="7"/>
      <c r="AC28" s="7" t="s">
        <v>146</v>
      </c>
    </row>
    <row r="29" ht="38" customHeight="1" spans="1:29">
      <c r="A29" s="8" t="s">
        <v>147</v>
      </c>
      <c r="B29" s="8" t="s">
        <v>148</v>
      </c>
      <c r="C29" s="8" t="s">
        <v>145</v>
      </c>
      <c r="D29" s="8" t="s">
        <v>66</v>
      </c>
      <c r="E29" s="8">
        <v>1</v>
      </c>
      <c r="F29" s="8">
        <v>10</v>
      </c>
      <c r="G29" s="8">
        <v>600</v>
      </c>
      <c r="H29" s="8">
        <f t="shared" si="0"/>
        <v>900</v>
      </c>
      <c r="I29" s="8">
        <f t="shared" si="1"/>
        <v>1800</v>
      </c>
      <c r="J29" s="8">
        <f>ROUND(G29*(3*1.5),0)</f>
        <v>2700</v>
      </c>
      <c r="K29" s="8">
        <v>24</v>
      </c>
      <c r="L29" s="8">
        <f t="shared" si="9"/>
        <v>36</v>
      </c>
      <c r="M29" s="8">
        <f t="shared" si="10"/>
        <v>72</v>
      </c>
      <c r="N29" s="8">
        <f>ROUND(K29*(3*1.5),0)</f>
        <v>108</v>
      </c>
      <c r="O29" s="8">
        <v>2</v>
      </c>
      <c r="P29" s="8">
        <f t="shared" si="6"/>
        <v>3</v>
      </c>
      <c r="Q29" s="8">
        <f t="shared" si="7"/>
        <v>6</v>
      </c>
      <c r="R29" s="8">
        <f>ROUND(O29*(3*1.5),0)</f>
        <v>9</v>
      </c>
      <c r="S29" s="8">
        <v>1.1</v>
      </c>
      <c r="T29" s="8">
        <v>1</v>
      </c>
      <c r="U29" s="8">
        <v>32</v>
      </c>
      <c r="V29" s="8">
        <v>3.45</v>
      </c>
      <c r="W29" s="8">
        <v>189.75</v>
      </c>
      <c r="X29" s="8" t="s">
        <v>61</v>
      </c>
      <c r="Y29" s="8">
        <v>1.5</v>
      </c>
      <c r="Z29" s="8" t="s">
        <v>62</v>
      </c>
      <c r="AA29" s="8" t="s">
        <v>62</v>
      </c>
      <c r="AB29" s="8"/>
      <c r="AC29" s="8" t="s">
        <v>149</v>
      </c>
    </row>
    <row r="30" ht="38" customHeight="1" spans="1:29">
      <c r="A30" s="7" t="s">
        <v>150</v>
      </c>
      <c r="B30" s="7" t="s">
        <v>151</v>
      </c>
      <c r="C30" s="7" t="s">
        <v>145</v>
      </c>
      <c r="D30" s="7" t="s">
        <v>60</v>
      </c>
      <c r="E30" s="7">
        <v>2</v>
      </c>
      <c r="F30" s="7">
        <v>30</v>
      </c>
      <c r="G30" s="7">
        <v>600</v>
      </c>
      <c r="H30" s="7">
        <f t="shared" si="0"/>
        <v>900</v>
      </c>
      <c r="I30" s="7">
        <f t="shared" si="1"/>
        <v>1800</v>
      </c>
      <c r="J30" s="7">
        <f t="shared" ref="J30:J43" si="11">ROUND(G30*(3*1.15),0)</f>
        <v>2070</v>
      </c>
      <c r="K30" s="7">
        <v>145</v>
      </c>
      <c r="L30" s="7">
        <f t="shared" si="9"/>
        <v>218</v>
      </c>
      <c r="M30" s="7">
        <f t="shared" si="10"/>
        <v>435</v>
      </c>
      <c r="N30" s="7">
        <f t="shared" ref="N30:N43" si="12">ROUND(K30*(3*1.15),0)</f>
        <v>500</v>
      </c>
      <c r="O30" s="7">
        <v>0</v>
      </c>
      <c r="P30" s="7">
        <f t="shared" si="6"/>
        <v>0</v>
      </c>
      <c r="Q30" s="7">
        <f t="shared" si="7"/>
        <v>0</v>
      </c>
      <c r="R30" s="7">
        <f t="shared" ref="R30:R43" si="13">ROUND(O30*(3*1.15),0)</f>
        <v>0</v>
      </c>
      <c r="S30" s="7">
        <v>0.7</v>
      </c>
      <c r="T30" s="7">
        <v>1</v>
      </c>
      <c r="U30" s="7">
        <v>32</v>
      </c>
      <c r="V30" s="7">
        <v>3</v>
      </c>
      <c r="W30" s="7">
        <v>165</v>
      </c>
      <c r="X30" s="7" t="s">
        <v>71</v>
      </c>
      <c r="Y30" s="7">
        <v>1.6</v>
      </c>
      <c r="Z30" s="7" t="s">
        <v>62</v>
      </c>
      <c r="AA30" s="7" t="s">
        <v>62</v>
      </c>
      <c r="AB30" s="7"/>
      <c r="AC30" s="7" t="s">
        <v>152</v>
      </c>
    </row>
    <row r="31" ht="38" customHeight="1" spans="1:29">
      <c r="A31" s="8" t="s">
        <v>153</v>
      </c>
      <c r="B31" s="8" t="s">
        <v>154</v>
      </c>
      <c r="C31" s="8" t="s">
        <v>145</v>
      </c>
      <c r="D31" s="8" t="s">
        <v>66</v>
      </c>
      <c r="E31" s="8">
        <v>2</v>
      </c>
      <c r="F31" s="8">
        <v>30</v>
      </c>
      <c r="G31" s="8">
        <v>760</v>
      </c>
      <c r="H31" s="8">
        <f t="shared" si="0"/>
        <v>1140</v>
      </c>
      <c r="I31" s="8">
        <f t="shared" si="1"/>
        <v>2280</v>
      </c>
      <c r="J31" s="8">
        <f t="shared" si="11"/>
        <v>2622</v>
      </c>
      <c r="K31" s="8">
        <v>66</v>
      </c>
      <c r="L31" s="8">
        <f t="shared" si="9"/>
        <v>99</v>
      </c>
      <c r="M31" s="8">
        <f t="shared" si="10"/>
        <v>198</v>
      </c>
      <c r="N31" s="8">
        <f t="shared" si="12"/>
        <v>228</v>
      </c>
      <c r="O31" s="8">
        <v>4</v>
      </c>
      <c r="P31" s="8">
        <f t="shared" si="6"/>
        <v>6</v>
      </c>
      <c r="Q31" s="8">
        <f t="shared" si="7"/>
        <v>12</v>
      </c>
      <c r="R31" s="8">
        <f t="shared" si="13"/>
        <v>14</v>
      </c>
      <c r="S31" s="8">
        <v>1.2</v>
      </c>
      <c r="T31" s="8">
        <v>1</v>
      </c>
      <c r="U31" s="8">
        <v>32</v>
      </c>
      <c r="V31" s="8">
        <v>3.55</v>
      </c>
      <c r="W31" s="8">
        <v>195.25</v>
      </c>
      <c r="X31" s="8" t="s">
        <v>85</v>
      </c>
      <c r="Y31" s="8">
        <v>1.6</v>
      </c>
      <c r="Z31" s="8">
        <v>0.25</v>
      </c>
      <c r="AA31" s="8">
        <v>0.4</v>
      </c>
      <c r="AB31" s="8"/>
      <c r="AC31" s="8" t="s">
        <v>146</v>
      </c>
    </row>
    <row r="32" ht="38" customHeight="1" spans="1:29">
      <c r="A32" s="7" t="s">
        <v>155</v>
      </c>
      <c r="B32" s="7" t="s">
        <v>156</v>
      </c>
      <c r="C32" s="7" t="s">
        <v>145</v>
      </c>
      <c r="D32" s="7" t="s">
        <v>60</v>
      </c>
      <c r="E32" s="7">
        <v>2</v>
      </c>
      <c r="F32" s="7">
        <v>30</v>
      </c>
      <c r="G32" s="7">
        <v>840</v>
      </c>
      <c r="H32" s="7">
        <f t="shared" si="0"/>
        <v>1260</v>
      </c>
      <c r="I32" s="7">
        <f t="shared" si="1"/>
        <v>2520</v>
      </c>
      <c r="J32" s="7">
        <f t="shared" si="11"/>
        <v>2898</v>
      </c>
      <c r="K32" s="7">
        <v>57</v>
      </c>
      <c r="L32" s="7">
        <f t="shared" si="9"/>
        <v>86</v>
      </c>
      <c r="M32" s="7">
        <f t="shared" si="10"/>
        <v>171</v>
      </c>
      <c r="N32" s="7">
        <f t="shared" si="12"/>
        <v>197</v>
      </c>
      <c r="O32" s="7">
        <v>7</v>
      </c>
      <c r="P32" s="7">
        <f t="shared" si="6"/>
        <v>11</v>
      </c>
      <c r="Q32" s="7">
        <f t="shared" si="7"/>
        <v>21</v>
      </c>
      <c r="R32" s="7">
        <f t="shared" si="13"/>
        <v>24</v>
      </c>
      <c r="S32" s="7">
        <v>0.9</v>
      </c>
      <c r="T32" s="7">
        <v>1</v>
      </c>
      <c r="U32" s="7">
        <v>32</v>
      </c>
      <c r="V32" s="7">
        <v>3.15</v>
      </c>
      <c r="W32" s="7">
        <v>173.25</v>
      </c>
      <c r="X32" s="7" t="s">
        <v>71</v>
      </c>
      <c r="Y32" s="7">
        <v>1.6</v>
      </c>
      <c r="Z32" s="7" t="s">
        <v>62</v>
      </c>
      <c r="AA32" s="7" t="s">
        <v>62</v>
      </c>
      <c r="AB32" s="7"/>
      <c r="AC32" s="7" t="s">
        <v>157</v>
      </c>
    </row>
    <row r="33" ht="38" customHeight="1" spans="1:29">
      <c r="A33" s="8" t="s">
        <v>158</v>
      </c>
      <c r="B33" s="8" t="s">
        <v>159</v>
      </c>
      <c r="C33" s="8" t="s">
        <v>145</v>
      </c>
      <c r="D33" s="8" t="s">
        <v>66</v>
      </c>
      <c r="E33" s="8">
        <v>2</v>
      </c>
      <c r="F33" s="8">
        <v>30</v>
      </c>
      <c r="G33" s="8">
        <v>800</v>
      </c>
      <c r="H33" s="8">
        <f t="shared" si="0"/>
        <v>1200</v>
      </c>
      <c r="I33" s="8">
        <f t="shared" si="1"/>
        <v>2400</v>
      </c>
      <c r="J33" s="8">
        <f t="shared" si="11"/>
        <v>2760</v>
      </c>
      <c r="K33" s="8">
        <v>62</v>
      </c>
      <c r="L33" s="8">
        <f t="shared" si="9"/>
        <v>93</v>
      </c>
      <c r="M33" s="8">
        <f t="shared" si="10"/>
        <v>186</v>
      </c>
      <c r="N33" s="8">
        <f t="shared" si="12"/>
        <v>214</v>
      </c>
      <c r="O33" s="8">
        <v>6</v>
      </c>
      <c r="P33" s="8">
        <f t="shared" si="6"/>
        <v>9</v>
      </c>
      <c r="Q33" s="8">
        <f t="shared" si="7"/>
        <v>18</v>
      </c>
      <c r="R33" s="8">
        <f t="shared" si="13"/>
        <v>21</v>
      </c>
      <c r="S33" s="8">
        <v>1.1</v>
      </c>
      <c r="T33" s="8">
        <v>4</v>
      </c>
      <c r="U33" s="8">
        <v>248</v>
      </c>
      <c r="V33" s="8">
        <v>3.25</v>
      </c>
      <c r="W33" s="8">
        <v>178.75</v>
      </c>
      <c r="X33" s="8" t="s">
        <v>160</v>
      </c>
      <c r="Y33" s="8">
        <v>1.6</v>
      </c>
      <c r="Z33" s="8" t="s">
        <v>62</v>
      </c>
      <c r="AA33" s="8" t="s">
        <v>62</v>
      </c>
      <c r="AB33" s="8"/>
      <c r="AC33" s="8" t="s">
        <v>161</v>
      </c>
    </row>
    <row r="34" ht="38" customHeight="1" spans="1:29">
      <c r="A34" s="7" t="s">
        <v>162</v>
      </c>
      <c r="B34" s="7" t="s">
        <v>163</v>
      </c>
      <c r="C34" s="7" t="s">
        <v>145</v>
      </c>
      <c r="D34" s="7" t="s">
        <v>70</v>
      </c>
      <c r="E34" s="7">
        <v>2</v>
      </c>
      <c r="F34" s="7">
        <v>30</v>
      </c>
      <c r="G34" s="7">
        <v>1500</v>
      </c>
      <c r="H34" s="7">
        <f t="shared" si="0"/>
        <v>2250</v>
      </c>
      <c r="I34" s="7">
        <f t="shared" si="1"/>
        <v>4500</v>
      </c>
      <c r="J34" s="7">
        <f t="shared" si="11"/>
        <v>5175</v>
      </c>
      <c r="K34" s="7">
        <v>50</v>
      </c>
      <c r="L34" s="7">
        <f t="shared" si="9"/>
        <v>75</v>
      </c>
      <c r="M34" s="7">
        <f t="shared" si="10"/>
        <v>150</v>
      </c>
      <c r="N34" s="7">
        <f t="shared" si="12"/>
        <v>173</v>
      </c>
      <c r="O34" s="7">
        <v>21</v>
      </c>
      <c r="P34" s="7">
        <f t="shared" si="6"/>
        <v>32</v>
      </c>
      <c r="Q34" s="7">
        <f t="shared" si="7"/>
        <v>63</v>
      </c>
      <c r="R34" s="7">
        <f t="shared" si="13"/>
        <v>72</v>
      </c>
      <c r="S34" s="7">
        <v>0.9</v>
      </c>
      <c r="T34" s="7">
        <v>1</v>
      </c>
      <c r="U34" s="7">
        <v>32</v>
      </c>
      <c r="V34" s="7">
        <v>2.8</v>
      </c>
      <c r="W34" s="7">
        <v>154</v>
      </c>
      <c r="X34" s="7" t="s">
        <v>61</v>
      </c>
      <c r="Y34" s="7">
        <v>1.5</v>
      </c>
      <c r="Z34" s="7" t="s">
        <v>62</v>
      </c>
      <c r="AA34" s="7" t="s">
        <v>62</v>
      </c>
      <c r="AB34" s="7"/>
      <c r="AC34" s="7" t="s">
        <v>164</v>
      </c>
    </row>
    <row r="35" ht="38" customHeight="1" spans="1:29">
      <c r="A35" s="8" t="s">
        <v>165</v>
      </c>
      <c r="B35" s="8" t="s">
        <v>166</v>
      </c>
      <c r="C35" s="8" t="s">
        <v>145</v>
      </c>
      <c r="D35" s="8" t="s">
        <v>70</v>
      </c>
      <c r="E35" s="8">
        <v>3</v>
      </c>
      <c r="F35" s="8">
        <v>50</v>
      </c>
      <c r="G35" s="8">
        <v>1600</v>
      </c>
      <c r="H35" s="8">
        <f t="shared" si="0"/>
        <v>2400</v>
      </c>
      <c r="I35" s="8">
        <f t="shared" si="1"/>
        <v>4800</v>
      </c>
      <c r="J35" s="8">
        <f t="shared" si="11"/>
        <v>5520</v>
      </c>
      <c r="K35" s="8">
        <v>110</v>
      </c>
      <c r="L35" s="8">
        <f t="shared" si="9"/>
        <v>165</v>
      </c>
      <c r="M35" s="8">
        <f t="shared" si="10"/>
        <v>330</v>
      </c>
      <c r="N35" s="8">
        <f t="shared" si="12"/>
        <v>380</v>
      </c>
      <c r="O35" s="8">
        <v>18</v>
      </c>
      <c r="P35" s="8">
        <f t="shared" si="6"/>
        <v>27</v>
      </c>
      <c r="Q35" s="8">
        <f t="shared" si="7"/>
        <v>54</v>
      </c>
      <c r="R35" s="8">
        <f t="shared" si="13"/>
        <v>62</v>
      </c>
      <c r="S35" s="8">
        <v>0.82</v>
      </c>
      <c r="T35" s="8">
        <v>4</v>
      </c>
      <c r="U35" s="8">
        <v>248</v>
      </c>
      <c r="V35" s="8">
        <v>3</v>
      </c>
      <c r="W35" s="8">
        <v>165</v>
      </c>
      <c r="X35" s="8" t="s">
        <v>85</v>
      </c>
      <c r="Y35" s="8">
        <v>1.75</v>
      </c>
      <c r="Z35" s="8" t="s">
        <v>62</v>
      </c>
      <c r="AA35" s="8" t="s">
        <v>62</v>
      </c>
      <c r="AB35" s="8" t="s">
        <v>86</v>
      </c>
      <c r="AC35" s="8" t="s">
        <v>167</v>
      </c>
    </row>
    <row r="36" ht="38" customHeight="1" spans="1:29">
      <c r="A36" s="7" t="s">
        <v>168</v>
      </c>
      <c r="B36" s="7" t="s">
        <v>169</v>
      </c>
      <c r="C36" s="7" t="s">
        <v>170</v>
      </c>
      <c r="D36" s="7" t="s">
        <v>70</v>
      </c>
      <c r="E36" s="7">
        <v>1</v>
      </c>
      <c r="F36" s="7">
        <v>20</v>
      </c>
      <c r="G36" s="7">
        <v>650</v>
      </c>
      <c r="H36" s="7">
        <f t="shared" si="0"/>
        <v>975</v>
      </c>
      <c r="I36" s="7">
        <f t="shared" si="1"/>
        <v>1950</v>
      </c>
      <c r="J36" s="7">
        <f t="shared" si="11"/>
        <v>2243</v>
      </c>
      <c r="K36" s="7">
        <v>31</v>
      </c>
      <c r="L36" s="7">
        <f t="shared" si="9"/>
        <v>47</v>
      </c>
      <c r="M36" s="7">
        <f t="shared" si="10"/>
        <v>93</v>
      </c>
      <c r="N36" s="7">
        <f t="shared" si="12"/>
        <v>107</v>
      </c>
      <c r="O36" s="7">
        <v>7</v>
      </c>
      <c r="P36" s="7">
        <f t="shared" si="6"/>
        <v>11</v>
      </c>
      <c r="Q36" s="7">
        <f t="shared" si="7"/>
        <v>21</v>
      </c>
      <c r="R36" s="7">
        <f t="shared" si="13"/>
        <v>24</v>
      </c>
      <c r="S36" s="7">
        <v>0.9</v>
      </c>
      <c r="T36" s="7">
        <v>1</v>
      </c>
      <c r="U36" s="7">
        <v>32</v>
      </c>
      <c r="V36" s="7">
        <v>3.1</v>
      </c>
      <c r="W36" s="7">
        <v>170.5</v>
      </c>
      <c r="X36" s="7" t="s">
        <v>61</v>
      </c>
      <c r="Y36" s="7">
        <v>1.5</v>
      </c>
      <c r="Z36" s="7" t="s">
        <v>62</v>
      </c>
      <c r="AA36" s="7" t="s">
        <v>62</v>
      </c>
      <c r="AB36" s="7"/>
      <c r="AC36" s="7" t="s">
        <v>171</v>
      </c>
    </row>
    <row r="37" ht="38" customHeight="1" spans="1:29">
      <c r="A37" s="8" t="s">
        <v>172</v>
      </c>
      <c r="B37" s="8" t="s">
        <v>173</v>
      </c>
      <c r="C37" s="8" t="s">
        <v>170</v>
      </c>
      <c r="D37" s="8" t="s">
        <v>60</v>
      </c>
      <c r="E37" s="8">
        <v>1</v>
      </c>
      <c r="F37" s="8">
        <v>20</v>
      </c>
      <c r="G37" s="8">
        <v>540</v>
      </c>
      <c r="H37" s="8">
        <f t="shared" si="0"/>
        <v>810</v>
      </c>
      <c r="I37" s="8">
        <f t="shared" si="1"/>
        <v>1620</v>
      </c>
      <c r="J37" s="8">
        <f t="shared" si="11"/>
        <v>1863</v>
      </c>
      <c r="K37" s="8">
        <v>28</v>
      </c>
      <c r="L37" s="8">
        <f t="shared" si="9"/>
        <v>42</v>
      </c>
      <c r="M37" s="8">
        <f t="shared" si="10"/>
        <v>84</v>
      </c>
      <c r="N37" s="8">
        <f t="shared" si="12"/>
        <v>97</v>
      </c>
      <c r="O37" s="8">
        <v>3</v>
      </c>
      <c r="P37" s="8">
        <f t="shared" si="6"/>
        <v>5</v>
      </c>
      <c r="Q37" s="8">
        <f t="shared" si="7"/>
        <v>9</v>
      </c>
      <c r="R37" s="8">
        <f t="shared" si="13"/>
        <v>10</v>
      </c>
      <c r="S37" s="8">
        <v>0.95</v>
      </c>
      <c r="T37" s="8">
        <v>2</v>
      </c>
      <c r="U37" s="8">
        <v>104</v>
      </c>
      <c r="V37" s="8">
        <v>3.2</v>
      </c>
      <c r="W37" s="8">
        <v>176</v>
      </c>
      <c r="X37" s="8" t="s">
        <v>61</v>
      </c>
      <c r="Y37" s="8">
        <v>1.5</v>
      </c>
      <c r="Z37" s="8" t="s">
        <v>62</v>
      </c>
      <c r="AA37" s="8" t="s">
        <v>62</v>
      </c>
      <c r="AB37" s="8"/>
      <c r="AC37" s="8" t="s">
        <v>174</v>
      </c>
    </row>
    <row r="38" ht="38" customHeight="1" spans="1:29">
      <c r="A38" s="7" t="s">
        <v>175</v>
      </c>
      <c r="B38" s="7" t="s">
        <v>176</v>
      </c>
      <c r="C38" s="7" t="s">
        <v>170</v>
      </c>
      <c r="D38" s="7" t="s">
        <v>60</v>
      </c>
      <c r="E38" s="7">
        <v>2</v>
      </c>
      <c r="F38" s="7">
        <v>30</v>
      </c>
      <c r="G38" s="7">
        <v>980</v>
      </c>
      <c r="H38" s="7">
        <f t="shared" si="0"/>
        <v>1470</v>
      </c>
      <c r="I38" s="7">
        <f t="shared" si="1"/>
        <v>2940</v>
      </c>
      <c r="J38" s="7">
        <f t="shared" si="11"/>
        <v>3381</v>
      </c>
      <c r="K38" s="7">
        <v>52</v>
      </c>
      <c r="L38" s="7">
        <f t="shared" si="9"/>
        <v>78</v>
      </c>
      <c r="M38" s="7">
        <f t="shared" si="10"/>
        <v>156</v>
      </c>
      <c r="N38" s="7">
        <f t="shared" si="12"/>
        <v>179</v>
      </c>
      <c r="O38" s="7">
        <v>9</v>
      </c>
      <c r="P38" s="7">
        <f t="shared" si="6"/>
        <v>14</v>
      </c>
      <c r="Q38" s="7">
        <f t="shared" si="7"/>
        <v>27</v>
      </c>
      <c r="R38" s="7">
        <f t="shared" si="13"/>
        <v>31</v>
      </c>
      <c r="S38" s="7">
        <v>1</v>
      </c>
      <c r="T38" s="7">
        <v>1</v>
      </c>
      <c r="U38" s="7">
        <v>32</v>
      </c>
      <c r="V38" s="7">
        <v>3.15</v>
      </c>
      <c r="W38" s="7">
        <v>173.25</v>
      </c>
      <c r="X38" s="7" t="s">
        <v>71</v>
      </c>
      <c r="Y38" s="7">
        <v>1.6</v>
      </c>
      <c r="Z38" s="7" t="s">
        <v>62</v>
      </c>
      <c r="AA38" s="7" t="s">
        <v>62</v>
      </c>
      <c r="AB38" s="7"/>
      <c r="AC38" s="7" t="s">
        <v>177</v>
      </c>
    </row>
    <row r="39" ht="38" customHeight="1" spans="1:29">
      <c r="A39" s="8" t="s">
        <v>178</v>
      </c>
      <c r="B39" s="8" t="s">
        <v>179</v>
      </c>
      <c r="C39" s="8" t="s">
        <v>170</v>
      </c>
      <c r="D39" s="8" t="s">
        <v>66</v>
      </c>
      <c r="E39" s="8">
        <v>2</v>
      </c>
      <c r="F39" s="8">
        <v>30</v>
      </c>
      <c r="G39" s="8">
        <v>760</v>
      </c>
      <c r="H39" s="8">
        <f t="shared" si="0"/>
        <v>1140</v>
      </c>
      <c r="I39" s="8">
        <f t="shared" si="1"/>
        <v>2280</v>
      </c>
      <c r="J39" s="8">
        <f t="shared" si="11"/>
        <v>2622</v>
      </c>
      <c r="K39" s="8">
        <v>56</v>
      </c>
      <c r="L39" s="8">
        <f t="shared" si="9"/>
        <v>84</v>
      </c>
      <c r="M39" s="8">
        <f t="shared" si="10"/>
        <v>168</v>
      </c>
      <c r="N39" s="8">
        <f t="shared" si="12"/>
        <v>193</v>
      </c>
      <c r="O39" s="8">
        <v>4</v>
      </c>
      <c r="P39" s="8">
        <f t="shared" si="6"/>
        <v>6</v>
      </c>
      <c r="Q39" s="8">
        <f t="shared" si="7"/>
        <v>12</v>
      </c>
      <c r="R39" s="8">
        <f t="shared" si="13"/>
        <v>14</v>
      </c>
      <c r="S39" s="8">
        <v>0.8</v>
      </c>
      <c r="T39" s="8">
        <v>4</v>
      </c>
      <c r="U39" s="8">
        <v>248</v>
      </c>
      <c r="V39" s="8">
        <v>3.25</v>
      </c>
      <c r="W39" s="8">
        <v>178.75</v>
      </c>
      <c r="X39" s="8" t="s">
        <v>71</v>
      </c>
      <c r="Y39" s="8">
        <v>1.6</v>
      </c>
      <c r="Z39" s="8" t="s">
        <v>62</v>
      </c>
      <c r="AA39" s="8" t="s">
        <v>62</v>
      </c>
      <c r="AB39" s="8"/>
      <c r="AC39" s="8" t="s">
        <v>180</v>
      </c>
    </row>
    <row r="40" ht="38" customHeight="1" spans="1:29">
      <c r="A40" s="7" t="s">
        <v>181</v>
      </c>
      <c r="B40" s="7" t="s">
        <v>182</v>
      </c>
      <c r="C40" s="7" t="s">
        <v>170</v>
      </c>
      <c r="D40" s="7" t="s">
        <v>70</v>
      </c>
      <c r="E40" s="7">
        <v>2</v>
      </c>
      <c r="F40" s="7">
        <v>30</v>
      </c>
      <c r="G40" s="7">
        <v>1180</v>
      </c>
      <c r="H40" s="7">
        <f t="shared" si="0"/>
        <v>1770</v>
      </c>
      <c r="I40" s="7">
        <f t="shared" si="1"/>
        <v>3540</v>
      </c>
      <c r="J40" s="7">
        <f t="shared" si="11"/>
        <v>4071</v>
      </c>
      <c r="K40" s="7">
        <v>54</v>
      </c>
      <c r="L40" s="7">
        <f t="shared" si="9"/>
        <v>81</v>
      </c>
      <c r="M40" s="7">
        <f t="shared" si="10"/>
        <v>162</v>
      </c>
      <c r="N40" s="7">
        <f t="shared" si="12"/>
        <v>186</v>
      </c>
      <c r="O40" s="7">
        <v>12</v>
      </c>
      <c r="P40" s="7">
        <f t="shared" si="6"/>
        <v>18</v>
      </c>
      <c r="Q40" s="7">
        <f t="shared" si="7"/>
        <v>36</v>
      </c>
      <c r="R40" s="7">
        <f t="shared" si="13"/>
        <v>41</v>
      </c>
      <c r="S40" s="7">
        <v>0.9</v>
      </c>
      <c r="T40" s="7">
        <v>1</v>
      </c>
      <c r="U40" s="7">
        <v>32</v>
      </c>
      <c r="V40" s="7">
        <v>3.05</v>
      </c>
      <c r="W40" s="7">
        <v>167.75</v>
      </c>
      <c r="X40" s="7" t="s">
        <v>71</v>
      </c>
      <c r="Y40" s="7">
        <v>1.6</v>
      </c>
      <c r="Z40" s="7" t="s">
        <v>62</v>
      </c>
      <c r="AA40" s="7" t="s">
        <v>62</v>
      </c>
      <c r="AB40" s="7"/>
      <c r="AC40" s="7" t="s">
        <v>183</v>
      </c>
    </row>
    <row r="41" ht="38" customHeight="1" spans="1:29">
      <c r="A41" s="8" t="s">
        <v>184</v>
      </c>
      <c r="B41" s="8" t="s">
        <v>185</v>
      </c>
      <c r="C41" s="8" t="s">
        <v>170</v>
      </c>
      <c r="D41" s="8" t="s">
        <v>66</v>
      </c>
      <c r="E41" s="8">
        <v>2</v>
      </c>
      <c r="F41" s="8">
        <v>30</v>
      </c>
      <c r="G41" s="8">
        <v>780</v>
      </c>
      <c r="H41" s="8">
        <f t="shared" si="0"/>
        <v>1170</v>
      </c>
      <c r="I41" s="8">
        <f t="shared" si="1"/>
        <v>2340</v>
      </c>
      <c r="J41" s="8">
        <f t="shared" si="11"/>
        <v>2691</v>
      </c>
      <c r="K41" s="8">
        <v>68</v>
      </c>
      <c r="L41" s="8">
        <f t="shared" si="9"/>
        <v>102</v>
      </c>
      <c r="M41" s="8">
        <f t="shared" si="10"/>
        <v>204</v>
      </c>
      <c r="N41" s="8">
        <f t="shared" si="12"/>
        <v>235</v>
      </c>
      <c r="O41" s="8">
        <v>4</v>
      </c>
      <c r="P41" s="8">
        <f t="shared" si="6"/>
        <v>6</v>
      </c>
      <c r="Q41" s="8">
        <f t="shared" si="7"/>
        <v>12</v>
      </c>
      <c r="R41" s="8">
        <f t="shared" si="13"/>
        <v>14</v>
      </c>
      <c r="S41" s="8">
        <v>0.85</v>
      </c>
      <c r="T41" s="8">
        <v>4</v>
      </c>
      <c r="U41" s="8">
        <v>248</v>
      </c>
      <c r="V41" s="8">
        <v>3.2</v>
      </c>
      <c r="W41" s="8">
        <v>176</v>
      </c>
      <c r="X41" s="8" t="s">
        <v>71</v>
      </c>
      <c r="Y41" s="8">
        <v>1.6</v>
      </c>
      <c r="Z41" s="8" t="s">
        <v>62</v>
      </c>
      <c r="AA41" s="8" t="s">
        <v>62</v>
      </c>
      <c r="AB41" s="8"/>
      <c r="AC41" s="8" t="s">
        <v>186</v>
      </c>
    </row>
    <row r="42" ht="38" customHeight="1" spans="1:29">
      <c r="A42" s="7" t="s">
        <v>187</v>
      </c>
      <c r="B42" s="7" t="s">
        <v>188</v>
      </c>
      <c r="C42" s="7" t="s">
        <v>170</v>
      </c>
      <c r="D42" s="7" t="s">
        <v>66</v>
      </c>
      <c r="E42" s="7">
        <v>3</v>
      </c>
      <c r="F42" s="7">
        <v>50</v>
      </c>
      <c r="G42" s="7">
        <v>1500</v>
      </c>
      <c r="H42" s="7">
        <f t="shared" si="0"/>
        <v>2250</v>
      </c>
      <c r="I42" s="7">
        <f t="shared" si="1"/>
        <v>4500</v>
      </c>
      <c r="J42" s="7">
        <f t="shared" si="11"/>
        <v>5175</v>
      </c>
      <c r="K42" s="7">
        <v>104</v>
      </c>
      <c r="L42" s="7">
        <f t="shared" si="9"/>
        <v>156</v>
      </c>
      <c r="M42" s="7">
        <f t="shared" si="10"/>
        <v>312</v>
      </c>
      <c r="N42" s="7">
        <f t="shared" si="12"/>
        <v>359</v>
      </c>
      <c r="O42" s="7">
        <v>10</v>
      </c>
      <c r="P42" s="7">
        <f t="shared" si="6"/>
        <v>15</v>
      </c>
      <c r="Q42" s="7">
        <f t="shared" si="7"/>
        <v>30</v>
      </c>
      <c r="R42" s="7">
        <f t="shared" si="13"/>
        <v>35</v>
      </c>
      <c r="S42" s="7">
        <v>0.86</v>
      </c>
      <c r="T42" s="7">
        <v>2</v>
      </c>
      <c r="U42" s="7">
        <v>104</v>
      </c>
      <c r="V42" s="7">
        <v>3.1</v>
      </c>
      <c r="W42" s="7">
        <v>170.5</v>
      </c>
      <c r="X42" s="7" t="s">
        <v>85</v>
      </c>
      <c r="Y42" s="7">
        <v>1.75</v>
      </c>
      <c r="Z42" s="7" t="s">
        <v>62</v>
      </c>
      <c r="AA42" s="7" t="s">
        <v>62</v>
      </c>
      <c r="AB42" s="7"/>
      <c r="AC42" s="7" t="s">
        <v>189</v>
      </c>
    </row>
    <row r="43" ht="38" customHeight="1" spans="1:29">
      <c r="A43" s="8" t="s">
        <v>190</v>
      </c>
      <c r="B43" s="8" t="s">
        <v>191</v>
      </c>
      <c r="C43" s="8" t="s">
        <v>170</v>
      </c>
      <c r="D43" s="8" t="s">
        <v>70</v>
      </c>
      <c r="E43" s="8">
        <v>3</v>
      </c>
      <c r="F43" s="8">
        <v>50</v>
      </c>
      <c r="G43" s="8">
        <v>1720</v>
      </c>
      <c r="H43" s="8">
        <f t="shared" si="0"/>
        <v>2580</v>
      </c>
      <c r="I43" s="8">
        <f t="shared" si="1"/>
        <v>5160</v>
      </c>
      <c r="J43" s="8">
        <f t="shared" si="11"/>
        <v>5934</v>
      </c>
      <c r="K43" s="8">
        <v>82</v>
      </c>
      <c r="L43" s="8">
        <f t="shared" si="9"/>
        <v>123</v>
      </c>
      <c r="M43" s="8">
        <f t="shared" si="10"/>
        <v>246</v>
      </c>
      <c r="N43" s="8">
        <f t="shared" si="12"/>
        <v>283</v>
      </c>
      <c r="O43" s="8">
        <v>16</v>
      </c>
      <c r="P43" s="8">
        <f t="shared" si="6"/>
        <v>24</v>
      </c>
      <c r="Q43" s="8">
        <f t="shared" si="7"/>
        <v>48</v>
      </c>
      <c r="R43" s="8">
        <f t="shared" si="13"/>
        <v>55</v>
      </c>
      <c r="S43" s="8">
        <v>0.78</v>
      </c>
      <c r="T43" s="8">
        <v>2</v>
      </c>
      <c r="U43" s="8">
        <v>104</v>
      </c>
      <c r="V43" s="8">
        <v>3</v>
      </c>
      <c r="W43" s="8">
        <v>165</v>
      </c>
      <c r="X43" s="8" t="s">
        <v>85</v>
      </c>
      <c r="Y43" s="8">
        <v>1.75</v>
      </c>
      <c r="Z43" s="8" t="s">
        <v>62</v>
      </c>
      <c r="AA43" s="8" t="s">
        <v>62</v>
      </c>
      <c r="AB43" s="8" t="s">
        <v>86</v>
      </c>
      <c r="AC43" s="8" t="s">
        <v>192</v>
      </c>
    </row>
  </sheetData>
  <mergeCells count="2">
    <mergeCell ref="A1:AC1"/>
    <mergeCell ref="A2:AC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3"/>
  <sheetViews>
    <sheetView showGridLines="0" workbookViewId="0">
      <pane ySplit="3" topLeftCell="A4" activePane="bottomLeft" state="frozen"/>
      <selection/>
      <selection pane="bottomLeft" activeCell="A1" sqref="A1:N1"/>
    </sheetView>
  </sheetViews>
  <sheetFormatPr defaultColWidth="9" defaultRowHeight="14.25"/>
  <cols>
    <col min="1" max="1" width="19" customWidth="1"/>
    <col min="2" max="2" width="16" customWidth="1"/>
    <col min="3" max="3" width="19" customWidth="1"/>
    <col min="4" max="4" width="24" customWidth="1"/>
    <col min="5" max="5" width="22" customWidth="1"/>
    <col min="6" max="6" width="17" customWidth="1"/>
    <col min="7" max="7" width="95" customWidth="1"/>
    <col min="8" max="9" width="55" customWidth="1"/>
    <col min="10" max="10" width="18" customWidth="1"/>
    <col min="11" max="11" width="27" customWidth="1"/>
    <col min="12" max="12" width="80" customWidth="1"/>
    <col min="13" max="13" width="95" customWidth="1"/>
    <col min="14" max="14" width="20" customWidth="1"/>
  </cols>
  <sheetData>
    <row r="1" ht="34" customHeight="1" spans="1:14">
      <c r="A1" s="1" t="s">
        <v>193</v>
      </c>
      <c r="B1" s="1"/>
      <c r="C1" s="1"/>
      <c r="D1" s="1"/>
      <c r="E1" s="1"/>
      <c r="F1" s="1"/>
      <c r="G1" s="1"/>
      <c r="H1" s="1"/>
      <c r="I1" s="1"/>
      <c r="J1" s="1"/>
      <c r="K1" s="1"/>
      <c r="L1" s="1"/>
      <c r="M1" s="1"/>
      <c r="N1" s="1"/>
    </row>
    <row r="2" ht="32" customHeight="1" spans="1:14">
      <c r="A2" s="2" t="s">
        <v>194</v>
      </c>
      <c r="B2" s="2"/>
      <c r="C2" s="2"/>
      <c r="D2" s="2"/>
      <c r="E2" s="2"/>
      <c r="F2" s="2"/>
      <c r="G2" s="2"/>
      <c r="H2" s="2"/>
      <c r="I2" s="2"/>
      <c r="J2" s="2"/>
      <c r="K2" s="2"/>
      <c r="L2" s="2"/>
      <c r="M2" s="2"/>
      <c r="N2" s="2"/>
    </row>
    <row r="3" ht="28" customHeight="1" spans="1:14">
      <c r="A3" s="5" t="s">
        <v>28</v>
      </c>
      <c r="B3" s="5" t="s">
        <v>29</v>
      </c>
      <c r="C3" s="5" t="s">
        <v>195</v>
      </c>
      <c r="D3" s="5" t="s">
        <v>56</v>
      </c>
      <c r="E3" s="5" t="s">
        <v>196</v>
      </c>
      <c r="F3" s="5" t="s">
        <v>197</v>
      </c>
      <c r="G3" s="5" t="s">
        <v>198</v>
      </c>
      <c r="H3" s="5" t="s">
        <v>199</v>
      </c>
      <c r="I3" s="5" t="s">
        <v>200</v>
      </c>
      <c r="J3" s="5" t="s">
        <v>201</v>
      </c>
      <c r="K3" s="5" t="s">
        <v>202</v>
      </c>
      <c r="L3" s="5" t="s">
        <v>203</v>
      </c>
      <c r="M3" s="5" t="s">
        <v>204</v>
      </c>
      <c r="N3" s="5" t="s">
        <v>205</v>
      </c>
    </row>
    <row r="4" ht="62" customHeight="1" spans="1:14">
      <c r="A4" s="7" t="s">
        <v>57</v>
      </c>
      <c r="B4" s="7" t="s">
        <v>58</v>
      </c>
      <c r="C4" s="7" t="s">
        <v>206</v>
      </c>
      <c r="D4" s="7" t="s">
        <v>63</v>
      </c>
      <c r="E4" s="7" t="s">
        <v>207</v>
      </c>
      <c r="F4" s="7" t="s">
        <v>62</v>
      </c>
      <c r="G4" s="7" t="s">
        <v>208</v>
      </c>
      <c r="H4" s="7" t="s">
        <v>209</v>
      </c>
      <c r="I4" s="7" t="s">
        <v>210</v>
      </c>
      <c r="J4" s="7" t="s">
        <v>211</v>
      </c>
      <c r="K4" s="7" t="s">
        <v>212</v>
      </c>
      <c r="L4" s="7" t="s">
        <v>213</v>
      </c>
      <c r="M4" s="7" t="s">
        <v>214</v>
      </c>
      <c r="N4" s="7" t="s">
        <v>215</v>
      </c>
    </row>
    <row r="5" ht="38" customHeight="1" spans="1:14">
      <c r="A5" s="8" t="s">
        <v>64</v>
      </c>
      <c r="B5" s="8" t="s">
        <v>65</v>
      </c>
      <c r="C5" s="8" t="s">
        <v>216</v>
      </c>
      <c r="D5" s="8" t="s">
        <v>67</v>
      </c>
      <c r="E5" s="8" t="s">
        <v>217</v>
      </c>
      <c r="F5" s="8" t="s">
        <v>218</v>
      </c>
      <c r="G5" s="8" t="s">
        <v>219</v>
      </c>
      <c r="H5" s="8" t="s">
        <v>220</v>
      </c>
      <c r="I5" s="8" t="s">
        <v>221</v>
      </c>
      <c r="J5" s="8" t="s">
        <v>222</v>
      </c>
      <c r="K5" s="8" t="s">
        <v>223</v>
      </c>
      <c r="L5" s="8" t="s">
        <v>224</v>
      </c>
      <c r="M5" s="8" t="s">
        <v>225</v>
      </c>
      <c r="N5" s="8" t="s">
        <v>215</v>
      </c>
    </row>
    <row r="6" ht="38" customHeight="1" spans="1:14">
      <c r="A6" s="7" t="s">
        <v>68</v>
      </c>
      <c r="B6" s="7" t="s">
        <v>69</v>
      </c>
      <c r="C6" s="7" t="s">
        <v>226</v>
      </c>
      <c r="D6" s="7" t="s">
        <v>72</v>
      </c>
      <c r="E6" s="7" t="s">
        <v>217</v>
      </c>
      <c r="F6" s="7" t="s">
        <v>218</v>
      </c>
      <c r="G6" s="7" t="s">
        <v>227</v>
      </c>
      <c r="H6" s="7" t="s">
        <v>228</v>
      </c>
      <c r="I6" s="7" t="s">
        <v>229</v>
      </c>
      <c r="J6" s="7" t="s">
        <v>222</v>
      </c>
      <c r="K6" s="7" t="s">
        <v>230</v>
      </c>
      <c r="L6" s="7" t="s">
        <v>231</v>
      </c>
      <c r="M6" s="7" t="s">
        <v>232</v>
      </c>
      <c r="N6" s="7" t="s">
        <v>215</v>
      </c>
    </row>
    <row r="7" ht="38" customHeight="1" spans="1:14">
      <c r="A7" s="8" t="s">
        <v>73</v>
      </c>
      <c r="B7" s="8" t="s">
        <v>74</v>
      </c>
      <c r="C7" s="8" t="s">
        <v>233</v>
      </c>
      <c r="D7" s="8" t="s">
        <v>75</v>
      </c>
      <c r="E7" s="8" t="s">
        <v>207</v>
      </c>
      <c r="F7" s="8" t="s">
        <v>62</v>
      </c>
      <c r="G7" s="8" t="s">
        <v>234</v>
      </c>
      <c r="H7" s="8" t="s">
        <v>235</v>
      </c>
      <c r="I7" s="8" t="s">
        <v>236</v>
      </c>
      <c r="J7" s="8" t="s">
        <v>211</v>
      </c>
      <c r="K7" s="8" t="s">
        <v>237</v>
      </c>
      <c r="L7" s="8" t="s">
        <v>238</v>
      </c>
      <c r="M7" s="8" t="s">
        <v>239</v>
      </c>
      <c r="N7" s="8" t="s">
        <v>215</v>
      </c>
    </row>
    <row r="8" ht="38" customHeight="1" spans="1:14">
      <c r="A8" s="7" t="s">
        <v>76</v>
      </c>
      <c r="B8" s="7" t="s">
        <v>77</v>
      </c>
      <c r="C8" s="7" t="s">
        <v>240</v>
      </c>
      <c r="D8" s="7" t="s">
        <v>79</v>
      </c>
      <c r="E8" s="7" t="s">
        <v>217</v>
      </c>
      <c r="F8" s="7" t="s">
        <v>62</v>
      </c>
      <c r="G8" s="7" t="s">
        <v>241</v>
      </c>
      <c r="H8" s="7" t="s">
        <v>242</v>
      </c>
      <c r="I8" s="7" t="s">
        <v>243</v>
      </c>
      <c r="J8" s="7" t="s">
        <v>244</v>
      </c>
      <c r="K8" s="7" t="s">
        <v>245</v>
      </c>
      <c r="L8" s="7" t="s">
        <v>246</v>
      </c>
      <c r="M8" s="7" t="s">
        <v>247</v>
      </c>
      <c r="N8" s="7" t="s">
        <v>215</v>
      </c>
    </row>
    <row r="9" ht="38" customHeight="1" spans="1:14">
      <c r="A9" s="8" t="s">
        <v>80</v>
      </c>
      <c r="B9" s="8" t="s">
        <v>81</v>
      </c>
      <c r="C9" s="8" t="s">
        <v>248</v>
      </c>
      <c r="D9" s="8" t="s">
        <v>82</v>
      </c>
      <c r="E9" s="8" t="s">
        <v>217</v>
      </c>
      <c r="F9" s="8" t="s">
        <v>249</v>
      </c>
      <c r="G9" s="8" t="s">
        <v>250</v>
      </c>
      <c r="H9" s="8" t="s">
        <v>251</v>
      </c>
      <c r="I9" s="8" t="s">
        <v>252</v>
      </c>
      <c r="J9" s="8" t="s">
        <v>253</v>
      </c>
      <c r="K9" s="8" t="s">
        <v>254</v>
      </c>
      <c r="L9" s="8" t="s">
        <v>255</v>
      </c>
      <c r="M9" s="8" t="s">
        <v>256</v>
      </c>
      <c r="N9" s="8" t="s">
        <v>215</v>
      </c>
    </row>
    <row r="10" ht="62" customHeight="1" spans="1:14">
      <c r="A10" s="7" t="s">
        <v>83</v>
      </c>
      <c r="B10" s="7" t="s">
        <v>84</v>
      </c>
      <c r="C10" s="7" t="s">
        <v>257</v>
      </c>
      <c r="D10" s="7" t="s">
        <v>87</v>
      </c>
      <c r="E10" s="7" t="s">
        <v>258</v>
      </c>
      <c r="F10" s="7" t="s">
        <v>62</v>
      </c>
      <c r="G10" s="7" t="s">
        <v>259</v>
      </c>
      <c r="H10" s="7" t="s">
        <v>260</v>
      </c>
      <c r="I10" s="7" t="s">
        <v>261</v>
      </c>
      <c r="J10" s="7" t="s">
        <v>262</v>
      </c>
      <c r="K10" s="7" t="s">
        <v>263</v>
      </c>
      <c r="L10" s="7" t="s">
        <v>264</v>
      </c>
      <c r="M10" s="7" t="s">
        <v>265</v>
      </c>
      <c r="N10" s="7" t="s">
        <v>215</v>
      </c>
    </row>
    <row r="11" ht="38" customHeight="1" spans="1:14">
      <c r="A11" s="8" t="s">
        <v>88</v>
      </c>
      <c r="B11" s="8" t="s">
        <v>89</v>
      </c>
      <c r="C11" s="8" t="s">
        <v>266</v>
      </c>
      <c r="D11" s="8" t="s">
        <v>90</v>
      </c>
      <c r="E11" s="8" t="s">
        <v>217</v>
      </c>
      <c r="F11" s="8" t="s">
        <v>62</v>
      </c>
      <c r="G11" s="8" t="s">
        <v>267</v>
      </c>
      <c r="H11" s="8" t="s">
        <v>268</v>
      </c>
      <c r="I11" s="8" t="s">
        <v>269</v>
      </c>
      <c r="J11" s="8" t="s">
        <v>270</v>
      </c>
      <c r="K11" s="8" t="s">
        <v>271</v>
      </c>
      <c r="L11" s="8" t="s">
        <v>272</v>
      </c>
      <c r="M11" s="8" t="s">
        <v>273</v>
      </c>
      <c r="N11" s="8" t="s">
        <v>215</v>
      </c>
    </row>
    <row r="12" ht="38" customHeight="1" spans="1:14">
      <c r="A12" s="7" t="s">
        <v>91</v>
      </c>
      <c r="B12" s="7" t="s">
        <v>92</v>
      </c>
      <c r="C12" s="7" t="s">
        <v>274</v>
      </c>
      <c r="D12" s="7" t="s">
        <v>94</v>
      </c>
      <c r="E12" s="7" t="s">
        <v>217</v>
      </c>
      <c r="F12" s="7" t="s">
        <v>275</v>
      </c>
      <c r="G12" s="7" t="s">
        <v>276</v>
      </c>
      <c r="H12" s="7" t="s">
        <v>277</v>
      </c>
      <c r="I12" s="7" t="s">
        <v>278</v>
      </c>
      <c r="J12" s="7" t="s">
        <v>279</v>
      </c>
      <c r="K12" s="7" t="s">
        <v>280</v>
      </c>
      <c r="L12" s="7" t="s">
        <v>281</v>
      </c>
      <c r="M12" s="7" t="s">
        <v>282</v>
      </c>
      <c r="N12" s="7" t="s">
        <v>215</v>
      </c>
    </row>
    <row r="13" ht="38" customHeight="1" spans="1:14">
      <c r="A13" s="8" t="s">
        <v>95</v>
      </c>
      <c r="B13" s="8" t="s">
        <v>96</v>
      </c>
      <c r="C13" s="8" t="s">
        <v>283</v>
      </c>
      <c r="D13" s="8" t="s">
        <v>97</v>
      </c>
      <c r="E13" s="8" t="s">
        <v>217</v>
      </c>
      <c r="F13" s="8" t="s">
        <v>284</v>
      </c>
      <c r="G13" s="8" t="s">
        <v>285</v>
      </c>
      <c r="H13" s="8" t="s">
        <v>286</v>
      </c>
      <c r="I13" s="8" t="s">
        <v>287</v>
      </c>
      <c r="J13" s="8" t="s">
        <v>288</v>
      </c>
      <c r="K13" s="8" t="s">
        <v>289</v>
      </c>
      <c r="L13" s="8" t="s">
        <v>290</v>
      </c>
      <c r="M13" s="8" t="s">
        <v>291</v>
      </c>
      <c r="N13" s="8" t="s">
        <v>215</v>
      </c>
    </row>
    <row r="14" ht="38" customHeight="1" spans="1:14">
      <c r="A14" s="7" t="s">
        <v>98</v>
      </c>
      <c r="B14" s="7" t="s">
        <v>99</v>
      </c>
      <c r="C14" s="7" t="s">
        <v>292</v>
      </c>
      <c r="D14" s="7" t="s">
        <v>100</v>
      </c>
      <c r="E14" s="7" t="s">
        <v>217</v>
      </c>
      <c r="F14" s="7" t="s">
        <v>293</v>
      </c>
      <c r="G14" s="7" t="s">
        <v>294</v>
      </c>
      <c r="H14" s="7" t="s">
        <v>295</v>
      </c>
      <c r="I14" s="7" t="s">
        <v>296</v>
      </c>
      <c r="J14" s="7" t="s">
        <v>297</v>
      </c>
      <c r="K14" s="7" t="s">
        <v>298</v>
      </c>
      <c r="L14" s="7" t="s">
        <v>299</v>
      </c>
      <c r="M14" s="7" t="s">
        <v>300</v>
      </c>
      <c r="N14" s="7" t="s">
        <v>215</v>
      </c>
    </row>
    <row r="15" ht="38" customHeight="1" spans="1:14">
      <c r="A15" s="8" t="s">
        <v>101</v>
      </c>
      <c r="B15" s="8" t="s">
        <v>102</v>
      </c>
      <c r="C15" s="8" t="s">
        <v>301</v>
      </c>
      <c r="D15" s="8" t="s">
        <v>103</v>
      </c>
      <c r="E15" s="8" t="s">
        <v>217</v>
      </c>
      <c r="F15" s="8" t="s">
        <v>302</v>
      </c>
      <c r="G15" s="8" t="s">
        <v>303</v>
      </c>
      <c r="H15" s="8" t="s">
        <v>304</v>
      </c>
      <c r="I15" s="8" t="s">
        <v>305</v>
      </c>
      <c r="J15" s="8" t="s">
        <v>306</v>
      </c>
      <c r="K15" s="8" t="s">
        <v>307</v>
      </c>
      <c r="L15" s="8" t="s">
        <v>308</v>
      </c>
      <c r="M15" s="8" t="s">
        <v>309</v>
      </c>
      <c r="N15" s="8" t="s">
        <v>215</v>
      </c>
    </row>
    <row r="16" ht="38" customHeight="1" spans="1:14">
      <c r="A16" s="7" t="s">
        <v>104</v>
      </c>
      <c r="B16" s="7" t="s">
        <v>105</v>
      </c>
      <c r="C16" s="7" t="s">
        <v>310</v>
      </c>
      <c r="D16" s="7" t="s">
        <v>106</v>
      </c>
      <c r="E16" s="7" t="s">
        <v>207</v>
      </c>
      <c r="F16" s="7" t="s">
        <v>62</v>
      </c>
      <c r="G16" s="7" t="s">
        <v>311</v>
      </c>
      <c r="H16" s="7" t="s">
        <v>312</v>
      </c>
      <c r="I16" s="7" t="s">
        <v>313</v>
      </c>
      <c r="J16" s="7" t="s">
        <v>211</v>
      </c>
      <c r="K16" s="7" t="s">
        <v>314</v>
      </c>
      <c r="L16" s="7" t="s">
        <v>315</v>
      </c>
      <c r="M16" s="7" t="s">
        <v>316</v>
      </c>
      <c r="N16" s="7" t="s">
        <v>215</v>
      </c>
    </row>
    <row r="17" ht="38" customHeight="1" spans="1:14">
      <c r="A17" s="8" t="s">
        <v>107</v>
      </c>
      <c r="B17" s="8" t="s">
        <v>108</v>
      </c>
      <c r="C17" s="8" t="s">
        <v>317</v>
      </c>
      <c r="D17" s="8" t="s">
        <v>109</v>
      </c>
      <c r="E17" s="8" t="s">
        <v>318</v>
      </c>
      <c r="F17" s="8" t="s">
        <v>62</v>
      </c>
      <c r="G17" s="8" t="s">
        <v>319</v>
      </c>
      <c r="H17" s="8" t="s">
        <v>320</v>
      </c>
      <c r="I17" s="8" t="s">
        <v>321</v>
      </c>
      <c r="J17" s="8" t="s">
        <v>211</v>
      </c>
      <c r="K17" s="8" t="s">
        <v>322</v>
      </c>
      <c r="L17" s="8" t="s">
        <v>323</v>
      </c>
      <c r="M17" s="8" t="s">
        <v>324</v>
      </c>
      <c r="N17" s="8" t="s">
        <v>215</v>
      </c>
    </row>
    <row r="18" ht="38" customHeight="1" spans="1:14">
      <c r="A18" s="7" t="s">
        <v>110</v>
      </c>
      <c r="B18" s="7" t="s">
        <v>111</v>
      </c>
      <c r="C18" s="7" t="s">
        <v>325</v>
      </c>
      <c r="D18" s="7" t="s">
        <v>112</v>
      </c>
      <c r="E18" s="7" t="s">
        <v>217</v>
      </c>
      <c r="F18" s="7" t="s">
        <v>218</v>
      </c>
      <c r="G18" s="7" t="s">
        <v>326</v>
      </c>
      <c r="H18" s="7" t="s">
        <v>327</v>
      </c>
      <c r="I18" s="7" t="s">
        <v>328</v>
      </c>
      <c r="J18" s="7" t="s">
        <v>222</v>
      </c>
      <c r="K18" s="7" t="s">
        <v>329</v>
      </c>
      <c r="L18" s="7" t="s">
        <v>330</v>
      </c>
      <c r="M18" s="7" t="s">
        <v>331</v>
      </c>
      <c r="N18" s="7" t="s">
        <v>215</v>
      </c>
    </row>
    <row r="19" ht="62" customHeight="1" spans="1:14">
      <c r="A19" s="8" t="s">
        <v>113</v>
      </c>
      <c r="B19" s="8" t="s">
        <v>114</v>
      </c>
      <c r="C19" s="8" t="s">
        <v>332</v>
      </c>
      <c r="D19" s="8" t="s">
        <v>115</v>
      </c>
      <c r="E19" s="8" t="s">
        <v>217</v>
      </c>
      <c r="F19" s="8" t="s">
        <v>333</v>
      </c>
      <c r="G19" s="8" t="s">
        <v>334</v>
      </c>
      <c r="H19" s="8" t="s">
        <v>335</v>
      </c>
      <c r="I19" s="8" t="s">
        <v>336</v>
      </c>
      <c r="J19" s="8" t="s">
        <v>337</v>
      </c>
      <c r="K19" s="8" t="s">
        <v>338</v>
      </c>
      <c r="L19" s="8" t="s">
        <v>339</v>
      </c>
      <c r="M19" s="8" t="s">
        <v>340</v>
      </c>
      <c r="N19" s="8" t="s">
        <v>215</v>
      </c>
    </row>
    <row r="20" ht="38" customHeight="1" spans="1:14">
      <c r="A20" s="7" t="s">
        <v>116</v>
      </c>
      <c r="B20" s="7" t="s">
        <v>117</v>
      </c>
      <c r="C20" s="7" t="s">
        <v>341</v>
      </c>
      <c r="D20" s="7" t="s">
        <v>119</v>
      </c>
      <c r="E20" s="7" t="s">
        <v>342</v>
      </c>
      <c r="F20" s="7" t="s">
        <v>62</v>
      </c>
      <c r="G20" s="7" t="s">
        <v>343</v>
      </c>
      <c r="H20" s="7"/>
      <c r="I20" s="7" t="s">
        <v>344</v>
      </c>
      <c r="J20" s="7" t="s">
        <v>211</v>
      </c>
      <c r="K20" s="7" t="s">
        <v>345</v>
      </c>
      <c r="L20" s="7" t="s">
        <v>346</v>
      </c>
      <c r="M20" s="7" t="s">
        <v>343</v>
      </c>
      <c r="N20" s="7" t="s">
        <v>215</v>
      </c>
    </row>
    <row r="21" ht="38" customHeight="1" spans="1:14">
      <c r="A21" s="8" t="s">
        <v>120</v>
      </c>
      <c r="B21" s="8" t="s">
        <v>121</v>
      </c>
      <c r="C21" s="8" t="s">
        <v>347</v>
      </c>
      <c r="D21" s="8" t="s">
        <v>122</v>
      </c>
      <c r="E21" s="8" t="s">
        <v>348</v>
      </c>
      <c r="F21" s="8" t="s">
        <v>62</v>
      </c>
      <c r="G21" s="8" t="s">
        <v>349</v>
      </c>
      <c r="H21" s="8" t="s">
        <v>350</v>
      </c>
      <c r="I21" s="8" t="s">
        <v>351</v>
      </c>
      <c r="J21" s="8" t="s">
        <v>211</v>
      </c>
      <c r="K21" s="8" t="s">
        <v>352</v>
      </c>
      <c r="L21" s="8" t="s">
        <v>353</v>
      </c>
      <c r="M21" s="8" t="s">
        <v>354</v>
      </c>
      <c r="N21" s="8" t="s">
        <v>215</v>
      </c>
    </row>
    <row r="22" ht="38" customHeight="1" spans="1:14">
      <c r="A22" s="7" t="s">
        <v>123</v>
      </c>
      <c r="B22" s="7" t="s">
        <v>124</v>
      </c>
      <c r="C22" s="7" t="s">
        <v>355</v>
      </c>
      <c r="D22" s="7" t="s">
        <v>125</v>
      </c>
      <c r="E22" s="7" t="s">
        <v>356</v>
      </c>
      <c r="F22" s="7" t="s">
        <v>62</v>
      </c>
      <c r="G22" s="7" t="s">
        <v>357</v>
      </c>
      <c r="H22" s="7" t="s">
        <v>358</v>
      </c>
      <c r="I22" s="7" t="s">
        <v>359</v>
      </c>
      <c r="J22" s="7" t="s">
        <v>211</v>
      </c>
      <c r="K22" s="7" t="s">
        <v>360</v>
      </c>
      <c r="L22" s="7" t="s">
        <v>361</v>
      </c>
      <c r="M22" s="7" t="s">
        <v>362</v>
      </c>
      <c r="N22" s="7" t="s">
        <v>215</v>
      </c>
    </row>
    <row r="23" ht="38" customHeight="1" spans="1:14">
      <c r="A23" s="8" t="s">
        <v>126</v>
      </c>
      <c r="B23" s="8" t="s">
        <v>127</v>
      </c>
      <c r="C23" s="8" t="s">
        <v>363</v>
      </c>
      <c r="D23" s="8" t="s">
        <v>128</v>
      </c>
      <c r="E23" s="8" t="s">
        <v>356</v>
      </c>
      <c r="F23" s="8" t="s">
        <v>62</v>
      </c>
      <c r="G23" s="8" t="s">
        <v>364</v>
      </c>
      <c r="H23" s="8" t="s">
        <v>365</v>
      </c>
      <c r="I23" s="8" t="s">
        <v>366</v>
      </c>
      <c r="J23" s="8" t="s">
        <v>211</v>
      </c>
      <c r="K23" s="8" t="s">
        <v>367</v>
      </c>
      <c r="L23" s="8" t="s">
        <v>368</v>
      </c>
      <c r="M23" s="8" t="s">
        <v>369</v>
      </c>
      <c r="N23" s="8" t="s">
        <v>215</v>
      </c>
    </row>
    <row r="24" ht="62" customHeight="1" spans="1:14">
      <c r="A24" s="7" t="s">
        <v>129</v>
      </c>
      <c r="B24" s="7" t="s">
        <v>130</v>
      </c>
      <c r="C24" s="7" t="s">
        <v>370</v>
      </c>
      <c r="D24" s="7" t="s">
        <v>132</v>
      </c>
      <c r="E24" s="7" t="s">
        <v>371</v>
      </c>
      <c r="F24" s="7" t="s">
        <v>62</v>
      </c>
      <c r="G24" s="7" t="s">
        <v>372</v>
      </c>
      <c r="H24" s="7" t="s">
        <v>373</v>
      </c>
      <c r="I24" s="7" t="s">
        <v>374</v>
      </c>
      <c r="J24" s="7" t="s">
        <v>211</v>
      </c>
      <c r="K24" s="7" t="s">
        <v>375</v>
      </c>
      <c r="L24" s="7" t="s">
        <v>376</v>
      </c>
      <c r="M24" s="7" t="s">
        <v>377</v>
      </c>
      <c r="N24" s="7" t="s">
        <v>215</v>
      </c>
    </row>
    <row r="25" ht="38" customHeight="1" spans="1:14">
      <c r="A25" s="8" t="s">
        <v>133</v>
      </c>
      <c r="B25" s="8" t="s">
        <v>134</v>
      </c>
      <c r="C25" s="8" t="s">
        <v>378</v>
      </c>
      <c r="D25" s="8" t="s">
        <v>135</v>
      </c>
      <c r="E25" s="8" t="s">
        <v>217</v>
      </c>
      <c r="F25" s="8" t="s">
        <v>379</v>
      </c>
      <c r="G25" s="8" t="s">
        <v>380</v>
      </c>
      <c r="H25" s="8" t="s">
        <v>381</v>
      </c>
      <c r="I25" s="8" t="s">
        <v>382</v>
      </c>
      <c r="J25" s="8" t="s">
        <v>383</v>
      </c>
      <c r="K25" s="8" t="s">
        <v>384</v>
      </c>
      <c r="L25" s="8" t="s">
        <v>385</v>
      </c>
      <c r="M25" s="8" t="s">
        <v>386</v>
      </c>
      <c r="N25" s="8" t="s">
        <v>215</v>
      </c>
    </row>
    <row r="26" ht="38" customHeight="1" spans="1:14">
      <c r="A26" s="7" t="s">
        <v>136</v>
      </c>
      <c r="B26" s="7" t="s">
        <v>137</v>
      </c>
      <c r="C26" s="7" t="s">
        <v>387</v>
      </c>
      <c r="D26" s="7" t="s">
        <v>138</v>
      </c>
      <c r="E26" s="7" t="s">
        <v>217</v>
      </c>
      <c r="F26" s="7" t="s">
        <v>62</v>
      </c>
      <c r="G26" s="7" t="s">
        <v>388</v>
      </c>
      <c r="H26" s="7" t="s">
        <v>389</v>
      </c>
      <c r="I26" s="7" t="s">
        <v>390</v>
      </c>
      <c r="J26" s="7" t="s">
        <v>244</v>
      </c>
      <c r="K26" s="7" t="s">
        <v>391</v>
      </c>
      <c r="L26" s="7" t="s">
        <v>392</v>
      </c>
      <c r="M26" s="7" t="s">
        <v>393</v>
      </c>
      <c r="N26" s="7" t="s">
        <v>215</v>
      </c>
    </row>
    <row r="27" ht="62" customHeight="1" spans="1:14">
      <c r="A27" s="8" t="s">
        <v>139</v>
      </c>
      <c r="B27" s="8" t="s">
        <v>140</v>
      </c>
      <c r="C27" s="8" t="s">
        <v>394</v>
      </c>
      <c r="D27" s="8" t="s">
        <v>142</v>
      </c>
      <c r="E27" s="8" t="s">
        <v>395</v>
      </c>
      <c r="F27" s="8" t="s">
        <v>62</v>
      </c>
      <c r="G27" s="8" t="s">
        <v>396</v>
      </c>
      <c r="H27" s="8" t="s">
        <v>397</v>
      </c>
      <c r="I27" s="8" t="s">
        <v>398</v>
      </c>
      <c r="J27" s="8" t="s">
        <v>211</v>
      </c>
      <c r="K27" s="8" t="s">
        <v>399</v>
      </c>
      <c r="L27" s="8" t="s">
        <v>400</v>
      </c>
      <c r="M27" s="8" t="s">
        <v>401</v>
      </c>
      <c r="N27" s="8" t="s">
        <v>215</v>
      </c>
    </row>
    <row r="28" ht="38" customHeight="1" spans="1:14">
      <c r="A28" s="7" t="s">
        <v>143</v>
      </c>
      <c r="B28" s="7" t="s">
        <v>144</v>
      </c>
      <c r="C28" s="7" t="s">
        <v>402</v>
      </c>
      <c r="D28" s="7" t="s">
        <v>146</v>
      </c>
      <c r="E28" s="7" t="s">
        <v>207</v>
      </c>
      <c r="F28" s="7" t="s">
        <v>62</v>
      </c>
      <c r="G28" s="7" t="s">
        <v>403</v>
      </c>
      <c r="H28" s="7" t="s">
        <v>404</v>
      </c>
      <c r="I28" s="7" t="s">
        <v>405</v>
      </c>
      <c r="J28" s="7" t="s">
        <v>211</v>
      </c>
      <c r="K28" s="7" t="s">
        <v>406</v>
      </c>
      <c r="L28" s="7" t="s">
        <v>407</v>
      </c>
      <c r="M28" s="7" t="s">
        <v>408</v>
      </c>
      <c r="N28" s="7" t="s">
        <v>215</v>
      </c>
    </row>
    <row r="29" ht="38" customHeight="1" spans="1:14">
      <c r="A29" s="8" t="s">
        <v>147</v>
      </c>
      <c r="B29" s="8" t="s">
        <v>148</v>
      </c>
      <c r="C29" s="8" t="s">
        <v>344</v>
      </c>
      <c r="D29" s="8" t="s">
        <v>149</v>
      </c>
      <c r="E29" s="8" t="s">
        <v>344</v>
      </c>
      <c r="F29" s="8" t="s">
        <v>62</v>
      </c>
      <c r="G29" s="8" t="s">
        <v>409</v>
      </c>
      <c r="H29" s="8" t="s">
        <v>410</v>
      </c>
      <c r="I29" s="8" t="s">
        <v>344</v>
      </c>
      <c r="J29" s="8" t="s">
        <v>211</v>
      </c>
      <c r="K29" s="8" t="s">
        <v>411</v>
      </c>
      <c r="L29" s="8" t="s">
        <v>412</v>
      </c>
      <c r="M29" s="8" t="s">
        <v>409</v>
      </c>
      <c r="N29" s="8" t="s">
        <v>215</v>
      </c>
    </row>
    <row r="30" ht="38" customHeight="1" spans="1:14">
      <c r="A30" s="7" t="s">
        <v>150</v>
      </c>
      <c r="B30" s="7" t="s">
        <v>151</v>
      </c>
      <c r="C30" s="7" t="s">
        <v>413</v>
      </c>
      <c r="D30" s="7" t="s">
        <v>152</v>
      </c>
      <c r="E30" s="7" t="s">
        <v>414</v>
      </c>
      <c r="F30" s="7" t="s">
        <v>62</v>
      </c>
      <c r="G30" s="7" t="s">
        <v>415</v>
      </c>
      <c r="H30" s="7" t="s">
        <v>416</v>
      </c>
      <c r="I30" s="7" t="s">
        <v>417</v>
      </c>
      <c r="J30" s="7" t="s">
        <v>211</v>
      </c>
      <c r="K30" s="7" t="s">
        <v>418</v>
      </c>
      <c r="L30" s="7" t="s">
        <v>419</v>
      </c>
      <c r="M30" s="7" t="s">
        <v>420</v>
      </c>
      <c r="N30" s="7" t="s">
        <v>215</v>
      </c>
    </row>
    <row r="31" ht="38" customHeight="1" spans="1:14">
      <c r="A31" s="8" t="s">
        <v>153</v>
      </c>
      <c r="B31" s="8" t="s">
        <v>154</v>
      </c>
      <c r="C31" s="8" t="s">
        <v>402</v>
      </c>
      <c r="D31" s="8" t="s">
        <v>146</v>
      </c>
      <c r="E31" s="8" t="s">
        <v>207</v>
      </c>
      <c r="F31" s="8" t="s">
        <v>62</v>
      </c>
      <c r="G31" s="8" t="s">
        <v>403</v>
      </c>
      <c r="H31" s="8" t="s">
        <v>404</v>
      </c>
      <c r="I31" s="8" t="s">
        <v>421</v>
      </c>
      <c r="J31" s="8" t="s">
        <v>211</v>
      </c>
      <c r="K31" s="8" t="s">
        <v>422</v>
      </c>
      <c r="L31" s="8" t="s">
        <v>407</v>
      </c>
      <c r="M31" s="8" t="s">
        <v>408</v>
      </c>
      <c r="N31" s="8" t="s">
        <v>215</v>
      </c>
    </row>
    <row r="32" ht="38" customHeight="1" spans="1:14">
      <c r="A32" s="7" t="s">
        <v>155</v>
      </c>
      <c r="B32" s="7" t="s">
        <v>156</v>
      </c>
      <c r="C32" s="7" t="s">
        <v>423</v>
      </c>
      <c r="D32" s="7" t="s">
        <v>157</v>
      </c>
      <c r="E32" s="7" t="s">
        <v>424</v>
      </c>
      <c r="F32" s="7" t="s">
        <v>62</v>
      </c>
      <c r="G32" s="7" t="s">
        <v>425</v>
      </c>
      <c r="H32" s="7" t="s">
        <v>426</v>
      </c>
      <c r="I32" s="7" t="s">
        <v>427</v>
      </c>
      <c r="J32" s="7" t="s">
        <v>211</v>
      </c>
      <c r="K32" s="7" t="s">
        <v>428</v>
      </c>
      <c r="L32" s="7" t="s">
        <v>429</v>
      </c>
      <c r="M32" s="7" t="s">
        <v>430</v>
      </c>
      <c r="N32" s="7" t="s">
        <v>215</v>
      </c>
    </row>
    <row r="33" ht="38" customHeight="1" spans="1:14">
      <c r="A33" s="8" t="s">
        <v>158</v>
      </c>
      <c r="B33" s="8" t="s">
        <v>159</v>
      </c>
      <c r="C33" s="8" t="s">
        <v>431</v>
      </c>
      <c r="D33" s="8" t="s">
        <v>161</v>
      </c>
      <c r="E33" s="8" t="s">
        <v>207</v>
      </c>
      <c r="F33" s="8" t="s">
        <v>62</v>
      </c>
      <c r="G33" s="8" t="s">
        <v>432</v>
      </c>
      <c r="H33" s="8" t="s">
        <v>433</v>
      </c>
      <c r="I33" s="8" t="s">
        <v>434</v>
      </c>
      <c r="J33" s="8" t="s">
        <v>211</v>
      </c>
      <c r="K33" s="8" t="s">
        <v>435</v>
      </c>
      <c r="L33" s="8" t="s">
        <v>436</v>
      </c>
      <c r="M33" s="8" t="s">
        <v>437</v>
      </c>
      <c r="N33" s="8" t="s">
        <v>215</v>
      </c>
    </row>
    <row r="34" ht="62" customHeight="1" spans="1:14">
      <c r="A34" s="7" t="s">
        <v>162</v>
      </c>
      <c r="B34" s="7" t="s">
        <v>163</v>
      </c>
      <c r="C34" s="7" t="s">
        <v>438</v>
      </c>
      <c r="D34" s="7" t="s">
        <v>164</v>
      </c>
      <c r="E34" s="7" t="s">
        <v>439</v>
      </c>
      <c r="F34" s="7" t="s">
        <v>62</v>
      </c>
      <c r="G34" s="7" t="s">
        <v>440</v>
      </c>
      <c r="H34" s="7" t="s">
        <v>441</v>
      </c>
      <c r="I34" s="7" t="s">
        <v>442</v>
      </c>
      <c r="J34" s="7" t="s">
        <v>211</v>
      </c>
      <c r="K34" s="7" t="s">
        <v>443</v>
      </c>
      <c r="L34" s="7" t="s">
        <v>444</v>
      </c>
      <c r="M34" s="7" t="s">
        <v>445</v>
      </c>
      <c r="N34" s="7" t="s">
        <v>215</v>
      </c>
    </row>
    <row r="35" ht="62" customHeight="1" spans="1:14">
      <c r="A35" s="8" t="s">
        <v>165</v>
      </c>
      <c r="B35" s="8" t="s">
        <v>166</v>
      </c>
      <c r="C35" s="8" t="s">
        <v>446</v>
      </c>
      <c r="D35" s="8" t="s">
        <v>167</v>
      </c>
      <c r="E35" s="8" t="s">
        <v>447</v>
      </c>
      <c r="F35" s="8" t="s">
        <v>62</v>
      </c>
      <c r="G35" s="8" t="s">
        <v>448</v>
      </c>
      <c r="H35" s="8" t="s">
        <v>449</v>
      </c>
      <c r="I35" s="8" t="s">
        <v>450</v>
      </c>
      <c r="J35" s="8" t="s">
        <v>211</v>
      </c>
      <c r="K35" s="8" t="s">
        <v>451</v>
      </c>
      <c r="L35" s="8" t="s">
        <v>452</v>
      </c>
      <c r="M35" s="8" t="s">
        <v>453</v>
      </c>
      <c r="N35" s="8" t="s">
        <v>215</v>
      </c>
    </row>
    <row r="36" ht="38" customHeight="1" spans="1:14">
      <c r="A36" s="7" t="s">
        <v>168</v>
      </c>
      <c r="B36" s="7" t="s">
        <v>169</v>
      </c>
      <c r="C36" s="7" t="s">
        <v>454</v>
      </c>
      <c r="D36" s="7" t="s">
        <v>171</v>
      </c>
      <c r="E36" s="7" t="s">
        <v>455</v>
      </c>
      <c r="F36" s="7" t="s">
        <v>62</v>
      </c>
      <c r="G36" s="7" t="s">
        <v>456</v>
      </c>
      <c r="H36" s="7" t="s">
        <v>457</v>
      </c>
      <c r="I36" s="7" t="s">
        <v>458</v>
      </c>
      <c r="J36" s="7" t="s">
        <v>211</v>
      </c>
      <c r="K36" s="7" t="s">
        <v>459</v>
      </c>
      <c r="L36" s="7" t="s">
        <v>460</v>
      </c>
      <c r="M36" s="7" t="s">
        <v>461</v>
      </c>
      <c r="N36" s="7" t="s">
        <v>215</v>
      </c>
    </row>
    <row r="37" ht="62" customHeight="1" spans="1:14">
      <c r="A37" s="8" t="s">
        <v>172</v>
      </c>
      <c r="B37" s="8" t="s">
        <v>173</v>
      </c>
      <c r="C37" s="8" t="s">
        <v>462</v>
      </c>
      <c r="D37" s="8" t="s">
        <v>174</v>
      </c>
      <c r="E37" s="8" t="s">
        <v>217</v>
      </c>
      <c r="F37" s="8" t="s">
        <v>463</v>
      </c>
      <c r="G37" s="8" t="s">
        <v>464</v>
      </c>
      <c r="H37" s="8" t="s">
        <v>465</v>
      </c>
      <c r="I37" s="8" t="s">
        <v>466</v>
      </c>
      <c r="J37" s="8" t="s">
        <v>244</v>
      </c>
      <c r="K37" s="8" t="s">
        <v>467</v>
      </c>
      <c r="L37" s="8" t="s">
        <v>468</v>
      </c>
      <c r="M37" s="8" t="s">
        <v>469</v>
      </c>
      <c r="N37" s="8" t="s">
        <v>215</v>
      </c>
    </row>
    <row r="38" ht="62" customHeight="1" spans="1:14">
      <c r="A38" s="7" t="s">
        <v>175</v>
      </c>
      <c r="B38" s="7" t="s">
        <v>176</v>
      </c>
      <c r="C38" s="7" t="s">
        <v>470</v>
      </c>
      <c r="D38" s="7" t="s">
        <v>177</v>
      </c>
      <c r="E38" s="7" t="s">
        <v>471</v>
      </c>
      <c r="F38" s="7" t="s">
        <v>62</v>
      </c>
      <c r="G38" s="7" t="s">
        <v>472</v>
      </c>
      <c r="H38" s="7" t="s">
        <v>473</v>
      </c>
      <c r="I38" s="7" t="s">
        <v>474</v>
      </c>
      <c r="J38" s="7" t="s">
        <v>211</v>
      </c>
      <c r="K38" s="7" t="s">
        <v>475</v>
      </c>
      <c r="L38" s="7" t="s">
        <v>476</v>
      </c>
      <c r="M38" s="7" t="s">
        <v>477</v>
      </c>
      <c r="N38" s="7" t="s">
        <v>215</v>
      </c>
    </row>
    <row r="39" ht="38" customHeight="1" spans="1:14">
      <c r="A39" s="8" t="s">
        <v>178</v>
      </c>
      <c r="B39" s="8" t="s">
        <v>179</v>
      </c>
      <c r="C39" s="8" t="s">
        <v>478</v>
      </c>
      <c r="D39" s="8" t="s">
        <v>180</v>
      </c>
      <c r="E39" s="8" t="s">
        <v>471</v>
      </c>
      <c r="F39" s="8" t="s">
        <v>62</v>
      </c>
      <c r="G39" s="8" t="s">
        <v>479</v>
      </c>
      <c r="H39" s="8" t="s">
        <v>480</v>
      </c>
      <c r="I39" s="8" t="s">
        <v>481</v>
      </c>
      <c r="J39" s="8" t="s">
        <v>211</v>
      </c>
      <c r="K39" s="8" t="s">
        <v>482</v>
      </c>
      <c r="L39" s="8" t="s">
        <v>483</v>
      </c>
      <c r="M39" s="8" t="s">
        <v>484</v>
      </c>
      <c r="N39" s="8" t="s">
        <v>215</v>
      </c>
    </row>
    <row r="40" ht="38" customHeight="1" spans="1:14">
      <c r="A40" s="7" t="s">
        <v>181</v>
      </c>
      <c r="B40" s="7" t="s">
        <v>182</v>
      </c>
      <c r="C40" s="7" t="s">
        <v>485</v>
      </c>
      <c r="D40" s="7" t="s">
        <v>183</v>
      </c>
      <c r="E40" s="7" t="s">
        <v>471</v>
      </c>
      <c r="F40" s="7" t="s">
        <v>62</v>
      </c>
      <c r="G40" s="7" t="s">
        <v>486</v>
      </c>
      <c r="H40" s="7" t="s">
        <v>487</v>
      </c>
      <c r="I40" s="7" t="s">
        <v>488</v>
      </c>
      <c r="J40" s="7" t="s">
        <v>211</v>
      </c>
      <c r="K40" s="7" t="s">
        <v>489</v>
      </c>
      <c r="L40" s="7" t="s">
        <v>490</v>
      </c>
      <c r="M40" s="7" t="s">
        <v>491</v>
      </c>
      <c r="N40" s="7" t="s">
        <v>215</v>
      </c>
    </row>
    <row r="41" ht="62" customHeight="1" spans="1:14">
      <c r="A41" s="8" t="s">
        <v>184</v>
      </c>
      <c r="B41" s="8" t="s">
        <v>185</v>
      </c>
      <c r="C41" s="8" t="s">
        <v>492</v>
      </c>
      <c r="D41" s="8" t="s">
        <v>186</v>
      </c>
      <c r="E41" s="8" t="s">
        <v>217</v>
      </c>
      <c r="F41" s="8" t="s">
        <v>493</v>
      </c>
      <c r="G41" s="8" t="s">
        <v>494</v>
      </c>
      <c r="H41" s="8" t="s">
        <v>495</v>
      </c>
      <c r="I41" s="8" t="s">
        <v>496</v>
      </c>
      <c r="J41" s="8" t="s">
        <v>497</v>
      </c>
      <c r="K41" s="8" t="s">
        <v>498</v>
      </c>
      <c r="L41" s="8" t="s">
        <v>499</v>
      </c>
      <c r="M41" s="8" t="s">
        <v>500</v>
      </c>
      <c r="N41" s="8" t="s">
        <v>215</v>
      </c>
    </row>
    <row r="42" ht="38" customHeight="1" spans="1:14">
      <c r="A42" s="7" t="s">
        <v>187</v>
      </c>
      <c r="B42" s="7" t="s">
        <v>188</v>
      </c>
      <c r="C42" s="7" t="s">
        <v>501</v>
      </c>
      <c r="D42" s="7" t="s">
        <v>189</v>
      </c>
      <c r="E42" s="7" t="s">
        <v>471</v>
      </c>
      <c r="F42" s="7" t="s">
        <v>62</v>
      </c>
      <c r="G42" s="7" t="s">
        <v>502</v>
      </c>
      <c r="H42" s="7" t="s">
        <v>503</v>
      </c>
      <c r="I42" s="7" t="s">
        <v>504</v>
      </c>
      <c r="J42" s="7" t="s">
        <v>211</v>
      </c>
      <c r="K42" s="7" t="s">
        <v>505</v>
      </c>
      <c r="L42" s="7" t="s">
        <v>506</v>
      </c>
      <c r="M42" s="7" t="s">
        <v>507</v>
      </c>
      <c r="N42" s="7" t="s">
        <v>215</v>
      </c>
    </row>
    <row r="43" ht="62" customHeight="1" spans="1:14">
      <c r="A43" s="8" t="s">
        <v>190</v>
      </c>
      <c r="B43" s="8" t="s">
        <v>191</v>
      </c>
      <c r="C43" s="8" t="s">
        <v>508</v>
      </c>
      <c r="D43" s="8" t="s">
        <v>192</v>
      </c>
      <c r="E43" s="8" t="s">
        <v>217</v>
      </c>
      <c r="F43" s="8" t="s">
        <v>509</v>
      </c>
      <c r="G43" s="8" t="s">
        <v>510</v>
      </c>
      <c r="H43" s="8" t="s">
        <v>511</v>
      </c>
      <c r="I43" s="8" t="s">
        <v>512</v>
      </c>
      <c r="J43" s="8" t="s">
        <v>513</v>
      </c>
      <c r="K43" s="8" t="s">
        <v>514</v>
      </c>
      <c r="L43" s="8" t="s">
        <v>515</v>
      </c>
      <c r="M43" s="8" t="s">
        <v>516</v>
      </c>
      <c r="N43" s="8" t="s">
        <v>215</v>
      </c>
    </row>
  </sheetData>
  <mergeCells count="2">
    <mergeCell ref="A1:N1"/>
    <mergeCell ref="A2:N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showGridLines="0" workbookViewId="0">
      <pane ySplit="3" topLeftCell="A4" activePane="bottomLeft" state="frozen"/>
      <selection/>
      <selection pane="bottomLeft" activeCell="A1" sqref="A1:N1"/>
    </sheetView>
  </sheetViews>
  <sheetFormatPr defaultColWidth="9" defaultRowHeight="14.25" outlineLevelRow="7"/>
  <cols>
    <col min="1" max="1" width="20" customWidth="1"/>
    <col min="2" max="2" width="13" customWidth="1"/>
    <col min="3" max="3" width="17" customWidth="1"/>
    <col min="4" max="4" width="24" customWidth="1"/>
    <col min="5" max="5" width="11" customWidth="1"/>
    <col min="6" max="6" width="100" customWidth="1"/>
    <col min="7" max="7" width="48" customWidth="1"/>
    <col min="8" max="8" width="13" customWidth="1"/>
    <col min="9" max="9" width="35" customWidth="1"/>
    <col min="10" max="10" width="23" customWidth="1"/>
    <col min="11" max="12" width="15" customWidth="1"/>
    <col min="13" max="13" width="19" customWidth="1"/>
    <col min="14" max="14" width="62" customWidth="1"/>
  </cols>
  <sheetData>
    <row r="1" ht="34" customHeight="1" spans="1:14">
      <c r="A1" s="1" t="s">
        <v>517</v>
      </c>
      <c r="B1" s="1"/>
      <c r="C1" s="1"/>
      <c r="D1" s="1"/>
      <c r="E1" s="1"/>
      <c r="F1" s="1"/>
      <c r="G1" s="1"/>
      <c r="H1" s="1"/>
      <c r="I1" s="1"/>
      <c r="J1" s="1"/>
      <c r="K1" s="1"/>
      <c r="L1" s="1"/>
      <c r="M1" s="1"/>
      <c r="N1" s="1"/>
    </row>
    <row r="2" ht="32" customHeight="1" spans="1:14">
      <c r="A2" s="2" t="s">
        <v>518</v>
      </c>
      <c r="B2" s="2"/>
      <c r="C2" s="2"/>
      <c r="D2" s="2"/>
      <c r="E2" s="2"/>
      <c r="F2" s="2"/>
      <c r="G2" s="2"/>
      <c r="H2" s="2"/>
      <c r="I2" s="2"/>
      <c r="J2" s="2"/>
      <c r="K2" s="2"/>
      <c r="L2" s="2"/>
      <c r="M2" s="2"/>
      <c r="N2" s="2"/>
    </row>
    <row r="3" ht="28" customHeight="1" spans="1:14">
      <c r="A3" s="5" t="s">
        <v>519</v>
      </c>
      <c r="B3" s="5" t="s">
        <v>29</v>
      </c>
      <c r="C3" s="5" t="s">
        <v>520</v>
      </c>
      <c r="D3" s="5" t="s">
        <v>521</v>
      </c>
      <c r="E3" s="5" t="s">
        <v>522</v>
      </c>
      <c r="F3" s="5" t="s">
        <v>523</v>
      </c>
      <c r="G3" s="5" t="s">
        <v>524</v>
      </c>
      <c r="H3" s="5" t="s">
        <v>525</v>
      </c>
      <c r="I3" s="5" t="s">
        <v>526</v>
      </c>
      <c r="J3" s="5" t="s">
        <v>527</v>
      </c>
      <c r="K3" s="5" t="s">
        <v>528</v>
      </c>
      <c r="L3" s="5" t="s">
        <v>529</v>
      </c>
      <c r="M3" s="5" t="s">
        <v>530</v>
      </c>
      <c r="N3" s="5" t="s">
        <v>531</v>
      </c>
    </row>
    <row r="4" ht="38" customHeight="1" spans="1:14">
      <c r="A4" s="7" t="s">
        <v>532</v>
      </c>
      <c r="B4" s="7" t="s">
        <v>533</v>
      </c>
      <c r="C4" s="7" t="s">
        <v>534</v>
      </c>
      <c r="D4" s="7" t="s">
        <v>535</v>
      </c>
      <c r="E4" s="7" t="s">
        <v>85</v>
      </c>
      <c r="F4" s="7" t="s">
        <v>536</v>
      </c>
      <c r="G4" s="7" t="s">
        <v>537</v>
      </c>
      <c r="H4" s="7" t="s">
        <v>86</v>
      </c>
      <c r="I4" s="7" t="s">
        <v>538</v>
      </c>
      <c r="J4" s="7" t="s">
        <v>539</v>
      </c>
      <c r="K4" s="7" t="s">
        <v>540</v>
      </c>
      <c r="L4" s="7">
        <v>500</v>
      </c>
      <c r="M4" s="7" t="s">
        <v>86</v>
      </c>
      <c r="N4" s="7" t="s">
        <v>541</v>
      </c>
    </row>
    <row r="5" ht="38" customHeight="1" spans="1:14">
      <c r="A5" s="8" t="s">
        <v>542</v>
      </c>
      <c r="B5" s="8" t="s">
        <v>543</v>
      </c>
      <c r="C5" s="8" t="s">
        <v>544</v>
      </c>
      <c r="D5" s="8" t="s">
        <v>545</v>
      </c>
      <c r="E5" s="8" t="s">
        <v>61</v>
      </c>
      <c r="F5" s="8" t="s">
        <v>546</v>
      </c>
      <c r="G5" s="8" t="s">
        <v>547</v>
      </c>
      <c r="H5" s="8" t="s">
        <v>86</v>
      </c>
      <c r="I5" s="8" t="s">
        <v>538</v>
      </c>
      <c r="J5" s="8" t="s">
        <v>548</v>
      </c>
      <c r="K5" s="8" t="s">
        <v>540</v>
      </c>
      <c r="L5" s="8">
        <v>500</v>
      </c>
      <c r="M5" s="8" t="s">
        <v>86</v>
      </c>
      <c r="N5" s="8" t="s">
        <v>549</v>
      </c>
    </row>
    <row r="6" ht="38" customHeight="1" spans="1:14">
      <c r="A6" s="7" t="s">
        <v>550</v>
      </c>
      <c r="B6" s="7" t="s">
        <v>551</v>
      </c>
      <c r="C6" s="7" t="s">
        <v>552</v>
      </c>
      <c r="D6" s="7" t="s">
        <v>553</v>
      </c>
      <c r="E6" s="7" t="s">
        <v>85</v>
      </c>
      <c r="F6" s="7" t="s">
        <v>554</v>
      </c>
      <c r="G6" s="7" t="s">
        <v>537</v>
      </c>
      <c r="H6" s="7" t="s">
        <v>86</v>
      </c>
      <c r="I6" s="7" t="s">
        <v>538</v>
      </c>
      <c r="J6" s="7" t="s">
        <v>555</v>
      </c>
      <c r="K6" s="7" t="s">
        <v>540</v>
      </c>
      <c r="L6" s="7">
        <v>500</v>
      </c>
      <c r="M6" s="7" t="s">
        <v>86</v>
      </c>
      <c r="N6" s="7" t="s">
        <v>556</v>
      </c>
    </row>
    <row r="7" ht="38" customHeight="1" spans="1:14">
      <c r="A7" s="8" t="s">
        <v>557</v>
      </c>
      <c r="B7" s="8" t="s">
        <v>558</v>
      </c>
      <c r="C7" s="8" t="s">
        <v>559</v>
      </c>
      <c r="D7" s="8" t="s">
        <v>560</v>
      </c>
      <c r="E7" s="8" t="s">
        <v>561</v>
      </c>
      <c r="F7" s="8" t="s">
        <v>562</v>
      </c>
      <c r="G7" s="8" t="s">
        <v>563</v>
      </c>
      <c r="H7" s="8" t="s">
        <v>564</v>
      </c>
      <c r="I7" s="8" t="s">
        <v>538</v>
      </c>
      <c r="J7" s="8" t="s">
        <v>565</v>
      </c>
      <c r="K7" s="8" t="s">
        <v>566</v>
      </c>
      <c r="L7" s="8">
        <v>75</v>
      </c>
      <c r="M7" s="8" t="s">
        <v>564</v>
      </c>
      <c r="N7" s="8" t="s">
        <v>567</v>
      </c>
    </row>
    <row r="8" ht="38" customHeight="1" spans="1:14">
      <c r="A8" s="7" t="s">
        <v>568</v>
      </c>
      <c r="B8" s="7" t="s">
        <v>569</v>
      </c>
      <c r="C8" s="7" t="s">
        <v>570</v>
      </c>
      <c r="D8" s="7" t="s">
        <v>571</v>
      </c>
      <c r="E8" s="7" t="s">
        <v>61</v>
      </c>
      <c r="F8" s="7" t="s">
        <v>572</v>
      </c>
      <c r="G8" s="7" t="s">
        <v>573</v>
      </c>
      <c r="H8" s="7" t="s">
        <v>564</v>
      </c>
      <c r="I8" s="7" t="s">
        <v>538</v>
      </c>
      <c r="J8" s="7" t="s">
        <v>574</v>
      </c>
      <c r="K8" s="7" t="s">
        <v>566</v>
      </c>
      <c r="L8" s="7">
        <v>75</v>
      </c>
      <c r="M8" s="7" t="s">
        <v>564</v>
      </c>
      <c r="N8" s="7" t="s">
        <v>575</v>
      </c>
    </row>
  </sheetData>
  <mergeCells count="2">
    <mergeCell ref="A1:N1"/>
    <mergeCell ref="A2:N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
  <sheetViews>
    <sheetView showGridLines="0" workbookViewId="0">
      <pane ySplit="3" topLeftCell="A4" activePane="bottomLeft" state="frozen"/>
      <selection/>
      <selection pane="bottomLeft" activeCell="A1" sqref="A1:F1"/>
    </sheetView>
  </sheetViews>
  <sheetFormatPr defaultColWidth="9" defaultRowHeight="14.25" outlineLevelCol="5"/>
  <cols>
    <col min="1" max="1" width="18" customWidth="1"/>
    <col min="2" max="2" width="13" customWidth="1"/>
    <col min="3" max="3" width="30" customWidth="1"/>
    <col min="4" max="4" width="110" customWidth="1"/>
    <col min="5" max="5" width="34" customWidth="1"/>
    <col min="6" max="6" width="26" customWidth="1"/>
  </cols>
  <sheetData>
    <row r="1" ht="34" customHeight="1" spans="1:6">
      <c r="A1" s="1" t="s">
        <v>576</v>
      </c>
      <c r="B1" s="1"/>
      <c r="C1" s="1"/>
      <c r="D1" s="1"/>
      <c r="E1" s="1"/>
      <c r="F1" s="1"/>
    </row>
    <row r="2" ht="32" customHeight="1" spans="1:6">
      <c r="A2" s="2" t="s">
        <v>577</v>
      </c>
      <c r="B2" s="2"/>
      <c r="C2" s="2"/>
      <c r="D2" s="2"/>
      <c r="E2" s="2"/>
      <c r="F2" s="2"/>
    </row>
    <row r="3" ht="28" customHeight="1" spans="1:6">
      <c r="A3" s="5" t="s">
        <v>578</v>
      </c>
      <c r="B3" s="5" t="s">
        <v>579</v>
      </c>
      <c r="C3" s="5" t="s">
        <v>29</v>
      </c>
      <c r="D3" s="5" t="s">
        <v>580</v>
      </c>
      <c r="E3" s="5" t="s">
        <v>205</v>
      </c>
      <c r="F3" s="5" t="s">
        <v>581</v>
      </c>
    </row>
    <row r="4" ht="38" customHeight="1" spans="1:6">
      <c r="A4" s="7" t="s">
        <v>582</v>
      </c>
      <c r="B4" s="7">
        <v>1</v>
      </c>
      <c r="C4" s="7" t="s">
        <v>583</v>
      </c>
      <c r="D4" s="7" t="s">
        <v>584</v>
      </c>
      <c r="E4" s="7" t="s">
        <v>585</v>
      </c>
      <c r="F4" s="7" t="s">
        <v>586</v>
      </c>
    </row>
    <row r="5" ht="38" customHeight="1" spans="1:6">
      <c r="A5" s="8" t="s">
        <v>582</v>
      </c>
      <c r="B5" s="8">
        <v>3</v>
      </c>
      <c r="C5" s="8" t="s">
        <v>587</v>
      </c>
      <c r="D5" s="8" t="s">
        <v>588</v>
      </c>
      <c r="E5" s="8" t="s">
        <v>585</v>
      </c>
      <c r="F5" s="8" t="s">
        <v>589</v>
      </c>
    </row>
    <row r="6" ht="38" customHeight="1" spans="1:6">
      <c r="A6" s="7" t="s">
        <v>582</v>
      </c>
      <c r="B6" s="7">
        <v>7</v>
      </c>
      <c r="C6" s="7" t="s">
        <v>590</v>
      </c>
      <c r="D6" s="7" t="s">
        <v>591</v>
      </c>
      <c r="E6" s="7" t="s">
        <v>585</v>
      </c>
      <c r="F6" s="7" t="s">
        <v>592</v>
      </c>
    </row>
    <row r="7" ht="38" customHeight="1" spans="1:6">
      <c r="A7" s="8" t="s">
        <v>593</v>
      </c>
      <c r="B7" s="8">
        <v>1</v>
      </c>
      <c r="C7" s="8" t="s">
        <v>594</v>
      </c>
      <c r="D7" s="8" t="s">
        <v>595</v>
      </c>
      <c r="E7" s="8" t="s">
        <v>585</v>
      </c>
      <c r="F7" s="8" t="s">
        <v>596</v>
      </c>
    </row>
    <row r="8" ht="38" customHeight="1" spans="1:6">
      <c r="A8" s="7" t="s">
        <v>593</v>
      </c>
      <c r="B8" s="7">
        <v>2</v>
      </c>
      <c r="C8" s="7" t="s">
        <v>597</v>
      </c>
      <c r="D8" s="7" t="s">
        <v>598</v>
      </c>
      <c r="E8" s="7" t="s">
        <v>585</v>
      </c>
      <c r="F8" s="7" t="s">
        <v>599</v>
      </c>
    </row>
    <row r="9" ht="38" customHeight="1" spans="1:6">
      <c r="A9" s="8" t="s">
        <v>593</v>
      </c>
      <c r="B9" s="8">
        <v>5</v>
      </c>
      <c r="C9" s="8" t="s">
        <v>600</v>
      </c>
      <c r="D9" s="8" t="s">
        <v>601</v>
      </c>
      <c r="E9" s="8" t="s">
        <v>585</v>
      </c>
      <c r="F9" s="8" t="s">
        <v>602</v>
      </c>
    </row>
    <row r="10" ht="38" customHeight="1" spans="1:6">
      <c r="A10" s="7" t="s">
        <v>593</v>
      </c>
      <c r="B10" s="7">
        <v>7</v>
      </c>
      <c r="C10" s="7" t="s">
        <v>603</v>
      </c>
      <c r="D10" s="7" t="s">
        <v>604</v>
      </c>
      <c r="E10" s="7" t="s">
        <v>585</v>
      </c>
      <c r="F10" s="7" t="s">
        <v>605</v>
      </c>
    </row>
    <row r="11" ht="38" customHeight="1" spans="1:6">
      <c r="A11" s="8" t="s">
        <v>606</v>
      </c>
      <c r="B11" s="8">
        <v>1</v>
      </c>
      <c r="C11" s="8" t="s">
        <v>607</v>
      </c>
      <c r="D11" s="8" t="s">
        <v>608</v>
      </c>
      <c r="E11" s="8" t="s">
        <v>585</v>
      </c>
      <c r="F11" s="8" t="s">
        <v>609</v>
      </c>
    </row>
    <row r="12" ht="38" customHeight="1" spans="1:6">
      <c r="A12" s="7" t="s">
        <v>606</v>
      </c>
      <c r="B12" s="7">
        <v>2</v>
      </c>
      <c r="C12" s="7" t="s">
        <v>610</v>
      </c>
      <c r="D12" s="7" t="s">
        <v>611</v>
      </c>
      <c r="E12" s="7" t="s">
        <v>585</v>
      </c>
      <c r="F12" s="7" t="s">
        <v>612</v>
      </c>
    </row>
    <row r="13" ht="38" customHeight="1" spans="1:6">
      <c r="A13" s="8" t="s">
        <v>606</v>
      </c>
      <c r="B13" s="8">
        <v>4</v>
      </c>
      <c r="C13" s="8" t="s">
        <v>613</v>
      </c>
      <c r="D13" s="8" t="s">
        <v>614</v>
      </c>
      <c r="E13" s="8" t="s">
        <v>585</v>
      </c>
      <c r="F13" s="8" t="s">
        <v>612</v>
      </c>
    </row>
    <row r="14" ht="38" customHeight="1" spans="1:6">
      <c r="A14" s="7" t="s">
        <v>606</v>
      </c>
      <c r="B14" s="7">
        <v>7</v>
      </c>
      <c r="C14" s="7" t="s">
        <v>615</v>
      </c>
      <c r="D14" s="7" t="s">
        <v>616</v>
      </c>
      <c r="E14" s="7" t="s">
        <v>585</v>
      </c>
      <c r="F14" s="7" t="s">
        <v>617</v>
      </c>
    </row>
    <row r="15" ht="38" customHeight="1" spans="1:6">
      <c r="A15" s="8" t="s">
        <v>618</v>
      </c>
      <c r="B15" s="8">
        <v>1</v>
      </c>
      <c r="C15" s="8" t="s">
        <v>619</v>
      </c>
      <c r="D15" s="8" t="s">
        <v>620</v>
      </c>
      <c r="E15" s="8" t="s">
        <v>585</v>
      </c>
      <c r="F15" s="8" t="s">
        <v>621</v>
      </c>
    </row>
    <row r="16" ht="38" customHeight="1" spans="1:6">
      <c r="A16" s="7" t="s">
        <v>618</v>
      </c>
      <c r="B16" s="7">
        <v>2</v>
      </c>
      <c r="C16" s="7" t="s">
        <v>622</v>
      </c>
      <c r="D16" s="7" t="s">
        <v>623</v>
      </c>
      <c r="E16" s="7" t="s">
        <v>585</v>
      </c>
      <c r="F16" s="7" t="s">
        <v>624</v>
      </c>
    </row>
    <row r="17" ht="38" customHeight="1" spans="1:6">
      <c r="A17" s="8" t="s">
        <v>618</v>
      </c>
      <c r="B17" s="8">
        <v>7</v>
      </c>
      <c r="C17" s="8" t="s">
        <v>625</v>
      </c>
      <c r="D17" s="8" t="s">
        <v>626</v>
      </c>
      <c r="E17" s="8" t="s">
        <v>585</v>
      </c>
      <c r="F17" s="8" t="s">
        <v>627</v>
      </c>
    </row>
    <row r="18" ht="38" customHeight="1" spans="1:6">
      <c r="A18" s="7" t="s">
        <v>168</v>
      </c>
      <c r="B18" s="7">
        <v>1</v>
      </c>
      <c r="C18" s="7" t="s">
        <v>628</v>
      </c>
      <c r="D18" s="7" t="s">
        <v>629</v>
      </c>
      <c r="E18" s="7" t="s">
        <v>585</v>
      </c>
      <c r="F18" s="7" t="s">
        <v>630</v>
      </c>
    </row>
    <row r="19" ht="38" customHeight="1" spans="1:6">
      <c r="A19" s="8" t="s">
        <v>168</v>
      </c>
      <c r="B19" s="8">
        <v>2</v>
      </c>
      <c r="C19" s="8" t="s">
        <v>631</v>
      </c>
      <c r="D19" s="8" t="s">
        <v>632</v>
      </c>
      <c r="E19" s="8" t="s">
        <v>585</v>
      </c>
      <c r="F19" s="8" t="s">
        <v>633</v>
      </c>
    </row>
    <row r="20" ht="38" customHeight="1" spans="1:6">
      <c r="A20" s="7" t="s">
        <v>168</v>
      </c>
      <c r="B20" s="7">
        <v>4</v>
      </c>
      <c r="C20" s="7" t="s">
        <v>634</v>
      </c>
      <c r="D20" s="7" t="s">
        <v>635</v>
      </c>
      <c r="E20" s="7" t="s">
        <v>585</v>
      </c>
      <c r="F20" s="7" t="s">
        <v>636</v>
      </c>
    </row>
    <row r="21" ht="38" customHeight="1" spans="1:6">
      <c r="A21" s="8" t="s">
        <v>168</v>
      </c>
      <c r="B21" s="8">
        <v>7</v>
      </c>
      <c r="C21" s="8" t="s">
        <v>637</v>
      </c>
      <c r="D21" s="8" t="s">
        <v>638</v>
      </c>
      <c r="E21" s="8" t="s">
        <v>585</v>
      </c>
      <c r="F21" s="8" t="s">
        <v>639</v>
      </c>
    </row>
  </sheetData>
  <mergeCells count="2">
    <mergeCell ref="A1:F1"/>
    <mergeCell ref="A2:F2"/>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9"/>
  <sheetViews>
    <sheetView showGridLines="0" workbookViewId="0">
      <pane ySplit="3" topLeftCell="A4" activePane="bottomLeft" state="frozen"/>
      <selection/>
      <selection pane="bottomLeft" activeCell="A1" sqref="A1:T1"/>
    </sheetView>
  </sheetViews>
  <sheetFormatPr defaultColWidth="9" defaultRowHeight="14.25"/>
  <cols>
    <col min="1" max="1" width="23" customWidth="1"/>
    <col min="2" max="2" width="16" customWidth="1"/>
    <col min="3" max="3" width="12" customWidth="1"/>
    <col min="4" max="4" width="11" customWidth="1"/>
    <col min="5" max="9" width="12" customWidth="1"/>
    <col min="10" max="10" width="15" customWidth="1"/>
    <col min="11" max="11" width="13" customWidth="1"/>
    <col min="12" max="12" width="17" customWidth="1"/>
    <col min="13" max="13" width="13" customWidth="1"/>
    <col min="14" max="14" width="24" customWidth="1"/>
    <col min="15" max="15" width="19" customWidth="1"/>
    <col min="16" max="16" width="23" customWidth="1"/>
    <col min="17" max="17" width="25" customWidth="1"/>
    <col min="18" max="18" width="26" customWidth="1"/>
    <col min="19" max="19" width="15" customWidth="1"/>
    <col min="20" max="20" width="60" customWidth="1"/>
  </cols>
  <sheetData>
    <row r="1" ht="34" customHeight="1" spans="1:20">
      <c r="A1" s="1" t="s">
        <v>640</v>
      </c>
      <c r="B1" s="1"/>
      <c r="C1" s="1"/>
      <c r="D1" s="1"/>
      <c r="E1" s="1"/>
      <c r="F1" s="1"/>
      <c r="G1" s="1"/>
      <c r="H1" s="1"/>
      <c r="I1" s="1"/>
      <c r="J1" s="1"/>
      <c r="K1" s="1"/>
      <c r="L1" s="1"/>
      <c r="M1" s="1"/>
      <c r="N1" s="1"/>
      <c r="O1" s="1"/>
      <c r="P1" s="1"/>
      <c r="Q1" s="1"/>
      <c r="R1" s="1"/>
      <c r="S1" s="1"/>
      <c r="T1" s="1"/>
    </row>
    <row r="2" ht="32" customHeight="1" spans="1:20">
      <c r="A2" s="2" t="s">
        <v>641</v>
      </c>
      <c r="B2" s="2"/>
      <c r="C2" s="2"/>
      <c r="D2" s="2"/>
      <c r="E2" s="2"/>
      <c r="F2" s="2"/>
      <c r="G2" s="2"/>
      <c r="H2" s="2"/>
      <c r="I2" s="2"/>
      <c r="J2" s="2"/>
      <c r="K2" s="2"/>
      <c r="L2" s="2"/>
      <c r="M2" s="2"/>
      <c r="N2" s="2"/>
      <c r="O2" s="2"/>
      <c r="P2" s="2"/>
      <c r="Q2" s="2"/>
      <c r="R2" s="2"/>
      <c r="S2" s="2"/>
      <c r="T2" s="2"/>
    </row>
    <row r="3" ht="28" customHeight="1" spans="1:20">
      <c r="A3" s="5" t="s">
        <v>28</v>
      </c>
      <c r="B3" s="5" t="s">
        <v>29</v>
      </c>
      <c r="C3" s="5" t="s">
        <v>642</v>
      </c>
      <c r="D3" s="5" t="s">
        <v>31</v>
      </c>
      <c r="E3" s="5" t="s">
        <v>643</v>
      </c>
      <c r="F3" s="5" t="s">
        <v>644</v>
      </c>
      <c r="G3" s="5" t="s">
        <v>645</v>
      </c>
      <c r="H3" s="5" t="s">
        <v>46</v>
      </c>
      <c r="I3" s="5" t="s">
        <v>48</v>
      </c>
      <c r="J3" s="5" t="s">
        <v>50</v>
      </c>
      <c r="K3" s="5" t="s">
        <v>646</v>
      </c>
      <c r="L3" s="5" t="s">
        <v>647</v>
      </c>
      <c r="M3" s="5" t="s">
        <v>648</v>
      </c>
      <c r="N3" s="5" t="s">
        <v>649</v>
      </c>
      <c r="O3" s="5" t="s">
        <v>650</v>
      </c>
      <c r="P3" s="5" t="s">
        <v>651</v>
      </c>
      <c r="Q3" s="5" t="s">
        <v>652</v>
      </c>
      <c r="R3" s="5" t="s">
        <v>653</v>
      </c>
      <c r="S3" s="5" t="s">
        <v>654</v>
      </c>
      <c r="T3" s="5" t="s">
        <v>655</v>
      </c>
    </row>
    <row r="4" ht="38" customHeight="1" spans="1:20">
      <c r="A4" s="7" t="s">
        <v>656</v>
      </c>
      <c r="B4" s="7" t="s">
        <v>657</v>
      </c>
      <c r="C4" s="7" t="s">
        <v>658</v>
      </c>
      <c r="D4" s="7" t="s">
        <v>66</v>
      </c>
      <c r="E4" s="7">
        <v>660</v>
      </c>
      <c r="F4" s="7">
        <v>35</v>
      </c>
      <c r="G4" s="7">
        <v>3</v>
      </c>
      <c r="H4" s="7">
        <v>1.15</v>
      </c>
      <c r="I4" s="7">
        <v>32</v>
      </c>
      <c r="J4" s="7">
        <v>192.5</v>
      </c>
      <c r="K4" s="7">
        <v>40.3</v>
      </c>
      <c r="L4" s="7">
        <v>420</v>
      </c>
      <c r="M4" s="7">
        <v>680</v>
      </c>
      <c r="N4" s="7" t="s">
        <v>659</v>
      </c>
      <c r="O4" s="7" t="s">
        <v>660</v>
      </c>
      <c r="P4" s="7" t="s">
        <v>661</v>
      </c>
      <c r="Q4" s="7" t="s">
        <v>662</v>
      </c>
      <c r="R4" s="7" t="s">
        <v>663</v>
      </c>
      <c r="S4" s="7" t="s">
        <v>664</v>
      </c>
      <c r="T4" s="7" t="s">
        <v>412</v>
      </c>
    </row>
    <row r="5" ht="38" customHeight="1" spans="1:20">
      <c r="A5" s="8" t="s">
        <v>665</v>
      </c>
      <c r="B5" s="8" t="s">
        <v>666</v>
      </c>
      <c r="C5" s="8" t="s">
        <v>658</v>
      </c>
      <c r="D5" s="8" t="s">
        <v>66</v>
      </c>
      <c r="E5" s="8">
        <v>600</v>
      </c>
      <c r="F5" s="8">
        <v>26</v>
      </c>
      <c r="G5" s="8">
        <v>4</v>
      </c>
      <c r="H5" s="8">
        <v>1.05</v>
      </c>
      <c r="I5" s="8">
        <v>248</v>
      </c>
      <c r="J5" s="8">
        <v>176</v>
      </c>
      <c r="K5" s="8">
        <v>27.3</v>
      </c>
      <c r="L5" s="8">
        <v>260</v>
      </c>
      <c r="M5" s="8">
        <v>624</v>
      </c>
      <c r="N5" s="8" t="s">
        <v>667</v>
      </c>
      <c r="O5" s="8" t="s">
        <v>660</v>
      </c>
      <c r="P5" s="8" t="s">
        <v>661</v>
      </c>
      <c r="Q5" s="8" t="s">
        <v>662</v>
      </c>
      <c r="R5" s="8" t="s">
        <v>663</v>
      </c>
      <c r="S5" s="8" t="s">
        <v>664</v>
      </c>
      <c r="T5" s="8" t="s">
        <v>412</v>
      </c>
    </row>
    <row r="6" ht="38" customHeight="1" spans="1:20">
      <c r="A6" s="7" t="s">
        <v>668</v>
      </c>
      <c r="B6" s="7" t="s">
        <v>669</v>
      </c>
      <c r="C6" s="7" t="s">
        <v>658</v>
      </c>
      <c r="D6" s="7" t="s">
        <v>66</v>
      </c>
      <c r="E6" s="7">
        <v>520</v>
      </c>
      <c r="F6" s="7">
        <v>20</v>
      </c>
      <c r="G6" s="7">
        <v>6</v>
      </c>
      <c r="H6" s="7">
        <v>1</v>
      </c>
      <c r="I6" s="7">
        <v>248</v>
      </c>
      <c r="J6" s="7">
        <v>176</v>
      </c>
      <c r="K6" s="7">
        <v>20</v>
      </c>
      <c r="L6" s="7">
        <v>200</v>
      </c>
      <c r="M6" s="7">
        <v>551</v>
      </c>
      <c r="N6" s="7" t="s">
        <v>670</v>
      </c>
      <c r="O6" s="7" t="s">
        <v>660</v>
      </c>
      <c r="P6" s="7" t="s">
        <v>661</v>
      </c>
      <c r="Q6" s="7" t="s">
        <v>662</v>
      </c>
      <c r="R6" s="7" t="s">
        <v>663</v>
      </c>
      <c r="S6" s="7" t="s">
        <v>664</v>
      </c>
      <c r="T6" s="7" t="s">
        <v>412</v>
      </c>
    </row>
    <row r="7" ht="38" customHeight="1" spans="1:20">
      <c r="A7" s="8" t="s">
        <v>671</v>
      </c>
      <c r="B7" s="8" t="s">
        <v>672</v>
      </c>
      <c r="C7" s="8" t="s">
        <v>658</v>
      </c>
      <c r="D7" s="8" t="s">
        <v>66</v>
      </c>
      <c r="E7" s="8">
        <v>1040</v>
      </c>
      <c r="F7" s="8">
        <v>44</v>
      </c>
      <c r="G7" s="8">
        <v>10</v>
      </c>
      <c r="H7" s="8">
        <v>0.85</v>
      </c>
      <c r="I7" s="8">
        <v>32</v>
      </c>
      <c r="J7" s="8">
        <v>165</v>
      </c>
      <c r="K7" s="8">
        <v>37.4</v>
      </c>
      <c r="L7" s="8">
        <v>396</v>
      </c>
      <c r="M7" s="8">
        <v>1144</v>
      </c>
      <c r="N7" s="8" t="s">
        <v>673</v>
      </c>
      <c r="O7" s="8" t="s">
        <v>660</v>
      </c>
      <c r="P7" s="8" t="s">
        <v>661</v>
      </c>
      <c r="Q7" s="8" t="s">
        <v>662</v>
      </c>
      <c r="R7" s="8" t="s">
        <v>663</v>
      </c>
      <c r="S7" s="8" t="s">
        <v>664</v>
      </c>
      <c r="T7" s="8" t="s">
        <v>412</v>
      </c>
    </row>
    <row r="8" ht="38" customHeight="1" spans="1:20">
      <c r="A8" s="7" t="s">
        <v>674</v>
      </c>
      <c r="B8" s="7" t="s">
        <v>675</v>
      </c>
      <c r="C8" s="7" t="s">
        <v>658</v>
      </c>
      <c r="D8" s="7" t="s">
        <v>66</v>
      </c>
      <c r="E8" s="7">
        <v>660</v>
      </c>
      <c r="F8" s="7">
        <v>73</v>
      </c>
      <c r="G8" s="7">
        <v>4</v>
      </c>
      <c r="H8" s="7">
        <v>1.2</v>
      </c>
      <c r="I8" s="7">
        <v>248</v>
      </c>
      <c r="J8" s="7">
        <v>181.5</v>
      </c>
      <c r="K8" s="7">
        <v>87.6</v>
      </c>
      <c r="L8" s="7">
        <v>876</v>
      </c>
      <c r="M8" s="7">
        <v>686</v>
      </c>
      <c r="N8" s="7" t="s">
        <v>676</v>
      </c>
      <c r="O8" s="7" t="s">
        <v>660</v>
      </c>
      <c r="P8" s="7" t="s">
        <v>661</v>
      </c>
      <c r="Q8" s="7" t="s">
        <v>662</v>
      </c>
      <c r="R8" s="7" t="s">
        <v>663</v>
      </c>
      <c r="S8" s="7" t="s">
        <v>664</v>
      </c>
      <c r="T8" s="7" t="s">
        <v>412</v>
      </c>
    </row>
    <row r="9" ht="38" customHeight="1" spans="1:20">
      <c r="A9" s="8" t="s">
        <v>677</v>
      </c>
      <c r="B9" s="8" t="s">
        <v>678</v>
      </c>
      <c r="C9" s="8" t="s">
        <v>658</v>
      </c>
      <c r="D9" s="8" t="s">
        <v>66</v>
      </c>
      <c r="E9" s="8">
        <v>720</v>
      </c>
      <c r="F9" s="8">
        <v>26</v>
      </c>
      <c r="G9" s="8">
        <v>5</v>
      </c>
      <c r="H9" s="8">
        <v>1</v>
      </c>
      <c r="I9" s="8">
        <v>248</v>
      </c>
      <c r="J9" s="8">
        <v>176</v>
      </c>
      <c r="K9" s="8">
        <v>26</v>
      </c>
      <c r="L9" s="8">
        <v>260</v>
      </c>
      <c r="M9" s="8">
        <v>756</v>
      </c>
      <c r="N9" s="8" t="s">
        <v>679</v>
      </c>
      <c r="O9" s="8" t="s">
        <v>660</v>
      </c>
      <c r="P9" s="8" t="s">
        <v>661</v>
      </c>
      <c r="Q9" s="8" t="s">
        <v>662</v>
      </c>
      <c r="R9" s="8" t="s">
        <v>663</v>
      </c>
      <c r="S9" s="8" t="s">
        <v>664</v>
      </c>
      <c r="T9" s="8" t="s">
        <v>412</v>
      </c>
    </row>
    <row r="10" ht="38" customHeight="1" spans="1:20">
      <c r="A10" s="7" t="s">
        <v>680</v>
      </c>
      <c r="B10" s="7" t="s">
        <v>681</v>
      </c>
      <c r="C10" s="7" t="s">
        <v>682</v>
      </c>
      <c r="D10" s="7" t="s">
        <v>70</v>
      </c>
      <c r="E10" s="7">
        <v>840</v>
      </c>
      <c r="F10" s="7">
        <v>31</v>
      </c>
      <c r="G10" s="7">
        <v>16</v>
      </c>
      <c r="H10" s="7">
        <v>0.8</v>
      </c>
      <c r="I10" s="7">
        <v>32</v>
      </c>
      <c r="J10" s="7">
        <v>159.5</v>
      </c>
      <c r="K10" s="7">
        <v>24.8</v>
      </c>
      <c r="L10" s="7">
        <v>248</v>
      </c>
      <c r="M10" s="7">
        <v>974</v>
      </c>
      <c r="N10" s="7" t="s">
        <v>683</v>
      </c>
      <c r="O10" s="7" t="s">
        <v>660</v>
      </c>
      <c r="P10" s="7" t="s">
        <v>661</v>
      </c>
      <c r="Q10" s="7" t="s">
        <v>662</v>
      </c>
      <c r="R10" s="7" t="s">
        <v>663</v>
      </c>
      <c r="S10" s="7" t="s">
        <v>664</v>
      </c>
      <c r="T10" s="7" t="s">
        <v>412</v>
      </c>
    </row>
    <row r="11" ht="38" customHeight="1" spans="1:20">
      <c r="A11" s="8" t="s">
        <v>684</v>
      </c>
      <c r="B11" s="8" t="s">
        <v>685</v>
      </c>
      <c r="C11" s="8" t="s">
        <v>682</v>
      </c>
      <c r="D11" s="8" t="s">
        <v>70</v>
      </c>
      <c r="E11" s="8">
        <v>760</v>
      </c>
      <c r="F11" s="8">
        <v>33</v>
      </c>
      <c r="G11" s="8">
        <v>12</v>
      </c>
      <c r="H11" s="8">
        <v>0.85</v>
      </c>
      <c r="I11" s="8">
        <v>32</v>
      </c>
      <c r="J11" s="8">
        <v>154</v>
      </c>
      <c r="K11" s="8">
        <v>28.1</v>
      </c>
      <c r="L11" s="8">
        <v>297</v>
      </c>
      <c r="M11" s="8">
        <v>851</v>
      </c>
      <c r="N11" s="8" t="s">
        <v>686</v>
      </c>
      <c r="O11" s="8" t="s">
        <v>660</v>
      </c>
      <c r="P11" s="8" t="s">
        <v>661</v>
      </c>
      <c r="Q11" s="8" t="s">
        <v>662</v>
      </c>
      <c r="R11" s="8" t="s">
        <v>663</v>
      </c>
      <c r="S11" s="8" t="s">
        <v>664</v>
      </c>
      <c r="T11" s="8" t="s">
        <v>412</v>
      </c>
    </row>
    <row r="12" ht="38" customHeight="1" spans="1:20">
      <c r="A12" s="7" t="s">
        <v>687</v>
      </c>
      <c r="B12" s="7" t="s">
        <v>688</v>
      </c>
      <c r="C12" s="7" t="s">
        <v>682</v>
      </c>
      <c r="D12" s="7" t="s">
        <v>70</v>
      </c>
      <c r="E12" s="7">
        <v>680</v>
      </c>
      <c r="F12" s="7">
        <v>57</v>
      </c>
      <c r="G12" s="7">
        <v>8</v>
      </c>
      <c r="H12" s="7">
        <v>1</v>
      </c>
      <c r="I12" s="7">
        <v>32</v>
      </c>
      <c r="J12" s="7">
        <v>170.5</v>
      </c>
      <c r="K12" s="7">
        <v>57</v>
      </c>
      <c r="L12" s="7">
        <v>570</v>
      </c>
      <c r="M12" s="7">
        <v>734</v>
      </c>
      <c r="N12" s="7" t="s">
        <v>689</v>
      </c>
      <c r="O12" s="7" t="s">
        <v>660</v>
      </c>
      <c r="P12" s="7" t="s">
        <v>661</v>
      </c>
      <c r="Q12" s="7" t="s">
        <v>662</v>
      </c>
      <c r="R12" s="7" t="s">
        <v>663</v>
      </c>
      <c r="S12" s="7" t="s">
        <v>664</v>
      </c>
      <c r="T12" s="7" t="s">
        <v>412</v>
      </c>
    </row>
    <row r="13" ht="38" customHeight="1" spans="1:20">
      <c r="A13" s="8" t="s">
        <v>690</v>
      </c>
      <c r="B13" s="8" t="s">
        <v>691</v>
      </c>
      <c r="C13" s="8" t="s">
        <v>682</v>
      </c>
      <c r="D13" s="8" t="s">
        <v>70</v>
      </c>
      <c r="E13" s="8">
        <v>900</v>
      </c>
      <c r="F13" s="8">
        <v>31</v>
      </c>
      <c r="G13" s="8">
        <v>18</v>
      </c>
      <c r="H13" s="8">
        <v>0.75</v>
      </c>
      <c r="I13" s="8">
        <v>32</v>
      </c>
      <c r="J13" s="8">
        <v>148.5</v>
      </c>
      <c r="K13" s="8">
        <v>23.3</v>
      </c>
      <c r="L13" s="8">
        <v>248</v>
      </c>
      <c r="M13" s="8">
        <v>1062</v>
      </c>
      <c r="N13" s="8" t="s">
        <v>692</v>
      </c>
      <c r="O13" s="8" t="s">
        <v>660</v>
      </c>
      <c r="P13" s="8" t="s">
        <v>661</v>
      </c>
      <c r="Q13" s="8" t="s">
        <v>662</v>
      </c>
      <c r="R13" s="8" t="s">
        <v>663</v>
      </c>
      <c r="S13" s="8" t="s">
        <v>664</v>
      </c>
      <c r="T13" s="8" t="s">
        <v>412</v>
      </c>
    </row>
    <row r="14" ht="38" customHeight="1" spans="1:20">
      <c r="A14" s="7" t="s">
        <v>693</v>
      </c>
      <c r="B14" s="7" t="s">
        <v>694</v>
      </c>
      <c r="C14" s="7" t="s">
        <v>682</v>
      </c>
      <c r="D14" s="7" t="s">
        <v>70</v>
      </c>
      <c r="E14" s="7">
        <v>1120</v>
      </c>
      <c r="F14" s="7">
        <v>26</v>
      </c>
      <c r="G14" s="7">
        <v>16</v>
      </c>
      <c r="H14" s="7">
        <v>0.8</v>
      </c>
      <c r="I14" s="7">
        <v>248</v>
      </c>
      <c r="J14" s="7">
        <v>143</v>
      </c>
      <c r="K14" s="7">
        <v>20.8</v>
      </c>
      <c r="L14" s="7">
        <v>208</v>
      </c>
      <c r="M14" s="7">
        <v>1299</v>
      </c>
      <c r="N14" s="7" t="s">
        <v>695</v>
      </c>
      <c r="O14" s="7" t="s">
        <v>660</v>
      </c>
      <c r="P14" s="7" t="s">
        <v>661</v>
      </c>
      <c r="Q14" s="7" t="s">
        <v>662</v>
      </c>
      <c r="R14" s="7" t="s">
        <v>663</v>
      </c>
      <c r="S14" s="7" t="s">
        <v>664</v>
      </c>
      <c r="T14" s="7" t="s">
        <v>412</v>
      </c>
    </row>
    <row r="15" ht="38" customHeight="1" spans="1:20">
      <c r="A15" s="8" t="s">
        <v>696</v>
      </c>
      <c r="B15" s="8" t="s">
        <v>697</v>
      </c>
      <c r="C15" s="8" t="s">
        <v>682</v>
      </c>
      <c r="D15" s="8" t="s">
        <v>70</v>
      </c>
      <c r="E15" s="8">
        <v>1400</v>
      </c>
      <c r="F15" s="8">
        <v>44</v>
      </c>
      <c r="G15" s="8">
        <v>20</v>
      </c>
      <c r="H15" s="8">
        <v>0.7</v>
      </c>
      <c r="I15" s="8">
        <v>32</v>
      </c>
      <c r="J15" s="8">
        <v>137.5</v>
      </c>
      <c r="K15" s="8">
        <v>30.8</v>
      </c>
      <c r="L15" s="8">
        <v>308</v>
      </c>
      <c r="M15" s="8">
        <v>1680</v>
      </c>
      <c r="N15" s="8" t="s">
        <v>698</v>
      </c>
      <c r="O15" s="8" t="s">
        <v>660</v>
      </c>
      <c r="P15" s="8" t="s">
        <v>661</v>
      </c>
      <c r="Q15" s="8" t="s">
        <v>662</v>
      </c>
      <c r="R15" s="8" t="s">
        <v>663</v>
      </c>
      <c r="S15" s="8" t="s">
        <v>664</v>
      </c>
      <c r="T15" s="8" t="s">
        <v>412</v>
      </c>
    </row>
    <row r="16" ht="38" customHeight="1" spans="1:20">
      <c r="A16" s="7" t="s">
        <v>699</v>
      </c>
      <c r="B16" s="7" t="s">
        <v>700</v>
      </c>
      <c r="C16" s="7" t="s">
        <v>701</v>
      </c>
      <c r="D16" s="7" t="s">
        <v>60</v>
      </c>
      <c r="E16" s="7">
        <v>480</v>
      </c>
      <c r="F16" s="7">
        <v>37</v>
      </c>
      <c r="G16" s="7">
        <v>4</v>
      </c>
      <c r="H16" s="7">
        <v>1.2</v>
      </c>
      <c r="I16" s="7">
        <v>32</v>
      </c>
      <c r="J16" s="7">
        <v>198</v>
      </c>
      <c r="K16" s="7">
        <v>44.4</v>
      </c>
      <c r="L16" s="7">
        <v>444</v>
      </c>
      <c r="M16" s="7">
        <v>499</v>
      </c>
      <c r="N16" s="7" t="s">
        <v>702</v>
      </c>
      <c r="O16" s="7" t="s">
        <v>660</v>
      </c>
      <c r="P16" s="7" t="s">
        <v>661</v>
      </c>
      <c r="Q16" s="7" t="s">
        <v>662</v>
      </c>
      <c r="R16" s="7" t="s">
        <v>663</v>
      </c>
      <c r="S16" s="7" t="s">
        <v>664</v>
      </c>
      <c r="T16" s="7" t="s">
        <v>412</v>
      </c>
    </row>
    <row r="17" ht="38" customHeight="1" spans="1:20">
      <c r="A17" s="8" t="s">
        <v>703</v>
      </c>
      <c r="B17" s="8" t="s">
        <v>704</v>
      </c>
      <c r="C17" s="8" t="s">
        <v>701</v>
      </c>
      <c r="D17" s="8" t="s">
        <v>60</v>
      </c>
      <c r="E17" s="8">
        <v>560</v>
      </c>
      <c r="F17" s="8">
        <v>31</v>
      </c>
      <c r="G17" s="8">
        <v>5</v>
      </c>
      <c r="H17" s="8">
        <v>1</v>
      </c>
      <c r="I17" s="8">
        <v>248</v>
      </c>
      <c r="J17" s="8">
        <v>176</v>
      </c>
      <c r="K17" s="8">
        <v>31</v>
      </c>
      <c r="L17" s="8">
        <v>310</v>
      </c>
      <c r="M17" s="8">
        <v>588</v>
      </c>
      <c r="N17" s="8" t="s">
        <v>705</v>
      </c>
      <c r="O17" s="8" t="s">
        <v>660</v>
      </c>
      <c r="P17" s="8" t="s">
        <v>661</v>
      </c>
      <c r="Q17" s="8" t="s">
        <v>662</v>
      </c>
      <c r="R17" s="8" t="s">
        <v>663</v>
      </c>
      <c r="S17" s="8" t="s">
        <v>664</v>
      </c>
      <c r="T17" s="8" t="s">
        <v>412</v>
      </c>
    </row>
    <row r="18" ht="38" customHeight="1" spans="1:20">
      <c r="A18" s="7" t="s">
        <v>706</v>
      </c>
      <c r="B18" s="7" t="s">
        <v>707</v>
      </c>
      <c r="C18" s="7" t="s">
        <v>701</v>
      </c>
      <c r="D18" s="7" t="s">
        <v>60</v>
      </c>
      <c r="E18" s="7">
        <v>640</v>
      </c>
      <c r="F18" s="7">
        <v>35</v>
      </c>
      <c r="G18" s="7">
        <v>10</v>
      </c>
      <c r="H18" s="7">
        <v>0.95</v>
      </c>
      <c r="I18" s="7">
        <v>32</v>
      </c>
      <c r="J18" s="7">
        <v>170.5</v>
      </c>
      <c r="K18" s="7">
        <v>33.3</v>
      </c>
      <c r="L18" s="7">
        <v>350</v>
      </c>
      <c r="M18" s="7">
        <v>704</v>
      </c>
      <c r="N18" s="7" t="s">
        <v>708</v>
      </c>
      <c r="O18" s="7" t="s">
        <v>660</v>
      </c>
      <c r="P18" s="7" t="s">
        <v>661</v>
      </c>
      <c r="Q18" s="7" t="s">
        <v>662</v>
      </c>
      <c r="R18" s="7" t="s">
        <v>663</v>
      </c>
      <c r="S18" s="7" t="s">
        <v>664</v>
      </c>
      <c r="T18" s="7" t="s">
        <v>412</v>
      </c>
    </row>
    <row r="19" ht="38" customHeight="1" spans="1:20">
      <c r="A19" s="8" t="s">
        <v>709</v>
      </c>
      <c r="B19" s="8" t="s">
        <v>710</v>
      </c>
      <c r="C19" s="8" t="s">
        <v>701</v>
      </c>
      <c r="D19" s="8" t="s">
        <v>60</v>
      </c>
      <c r="E19" s="8">
        <v>780</v>
      </c>
      <c r="F19" s="8">
        <v>42</v>
      </c>
      <c r="G19" s="8">
        <v>6</v>
      </c>
      <c r="H19" s="8">
        <v>1</v>
      </c>
      <c r="I19" s="8">
        <v>248</v>
      </c>
      <c r="J19" s="8">
        <v>170.5</v>
      </c>
      <c r="K19" s="8">
        <v>42</v>
      </c>
      <c r="L19" s="8">
        <v>420</v>
      </c>
      <c r="M19" s="8">
        <v>827</v>
      </c>
      <c r="N19" s="8" t="s">
        <v>149</v>
      </c>
      <c r="O19" s="8" t="s">
        <v>660</v>
      </c>
      <c r="P19" s="8" t="s">
        <v>661</v>
      </c>
      <c r="Q19" s="8" t="s">
        <v>662</v>
      </c>
      <c r="R19" s="8" t="s">
        <v>663</v>
      </c>
      <c r="S19" s="8" t="s">
        <v>664</v>
      </c>
      <c r="T19" s="8" t="s">
        <v>412</v>
      </c>
    </row>
  </sheetData>
  <mergeCells count="2">
    <mergeCell ref="A1:T1"/>
    <mergeCell ref="A2:T2"/>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2"/>
  <sheetViews>
    <sheetView showGridLines="0" workbookViewId="0">
      <pane ySplit="3" topLeftCell="A4" activePane="bottomLeft" state="frozen"/>
      <selection/>
      <selection pane="bottomLeft" activeCell="A1" sqref="A1:AC1"/>
    </sheetView>
  </sheetViews>
  <sheetFormatPr defaultColWidth="9" defaultRowHeight="14.25"/>
  <cols>
    <col min="1" max="1" width="23" customWidth="1"/>
    <col min="2" max="2" width="17" customWidth="1"/>
    <col min="3" max="3" width="12" customWidth="1"/>
    <col min="4" max="19" width="13" customWidth="1"/>
    <col min="20" max="22" width="12" customWidth="1"/>
    <col min="23" max="23" width="16" customWidth="1"/>
    <col min="24" max="24" width="23" customWidth="1"/>
    <col min="25" max="25" width="24" customWidth="1"/>
    <col min="26" max="26" width="22" customWidth="1"/>
    <col min="27" max="28" width="15" customWidth="1"/>
    <col min="29" max="29" width="60" customWidth="1"/>
    <col min="30" max="30" width="95" customWidth="1"/>
  </cols>
  <sheetData>
    <row r="1" ht="34" customHeight="1" spans="1:29">
      <c r="A1" s="1" t="s">
        <v>711</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712</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31</v>
      </c>
      <c r="D3" s="5" t="s">
        <v>713</v>
      </c>
      <c r="E3" s="5" t="s">
        <v>714</v>
      </c>
      <c r="F3" s="5" t="s">
        <v>715</v>
      </c>
      <c r="G3" s="5" t="s">
        <v>716</v>
      </c>
      <c r="H3" s="5" t="s">
        <v>717</v>
      </c>
      <c r="I3" s="5" t="s">
        <v>718</v>
      </c>
      <c r="J3" s="5" t="s">
        <v>719</v>
      </c>
      <c r="K3" s="5" t="s">
        <v>720</v>
      </c>
      <c r="L3" s="5" t="s">
        <v>721</v>
      </c>
      <c r="M3" s="5" t="s">
        <v>722</v>
      </c>
      <c r="N3" s="5" t="s">
        <v>723</v>
      </c>
      <c r="O3" s="5" t="s">
        <v>724</v>
      </c>
      <c r="P3" s="5" t="s">
        <v>725</v>
      </c>
      <c r="Q3" s="5" t="s">
        <v>726</v>
      </c>
      <c r="R3" s="5" t="s">
        <v>727</v>
      </c>
      <c r="S3" s="5" t="s">
        <v>46</v>
      </c>
      <c r="T3" s="5" t="s">
        <v>48</v>
      </c>
      <c r="U3" s="5" t="s">
        <v>728</v>
      </c>
      <c r="V3" s="5" t="s">
        <v>647</v>
      </c>
      <c r="W3" s="5" t="s">
        <v>195</v>
      </c>
      <c r="X3" s="5" t="s">
        <v>56</v>
      </c>
      <c r="Y3" s="5" t="s">
        <v>196</v>
      </c>
      <c r="Z3" s="5" t="s">
        <v>729</v>
      </c>
      <c r="AA3" s="5" t="s">
        <v>730</v>
      </c>
      <c r="AB3" s="5" t="s">
        <v>731</v>
      </c>
      <c r="AC3" s="5" t="s">
        <v>198</v>
      </c>
    </row>
    <row r="4" ht="38" customHeight="1" spans="1:29">
      <c r="A4" s="7" t="s">
        <v>732</v>
      </c>
      <c r="B4" s="7" t="s">
        <v>733</v>
      </c>
      <c r="C4" s="7" t="s">
        <v>66</v>
      </c>
      <c r="D4" s="7">
        <v>3300</v>
      </c>
      <c r="E4" s="7">
        <v>113</v>
      </c>
      <c r="F4" s="7">
        <f t="shared" ref="F4:F12" si="0">O4</f>
        <v>15</v>
      </c>
      <c r="G4" s="7">
        <f t="shared" ref="G4:G12" si="1">D4</f>
        <v>3300</v>
      </c>
      <c r="H4" s="7">
        <f t="shared" ref="H4:H12" si="2">ROUND(ROUND(D4/1.5,0)*1.5*1.45,0)</f>
        <v>4785</v>
      </c>
      <c r="I4" s="7">
        <f t="shared" ref="I4:I12" si="3">ROUND(ROUND(D4/1.5,0)*1.5*2.1025,0)</f>
        <v>6938</v>
      </c>
      <c r="J4" s="7">
        <f t="shared" ref="J4:J12" si="4">ROUND(ROUND(D4/1.5,0)*1.5*3.048625,0)</f>
        <v>10060</v>
      </c>
      <c r="K4" s="7">
        <f t="shared" ref="K4:K12" si="5">E4</f>
        <v>113</v>
      </c>
      <c r="L4" s="7">
        <f t="shared" ref="L4:L12" si="6">ROUND(ROUND(E4/1.5,0)*1.5*1.35,0)</f>
        <v>152</v>
      </c>
      <c r="M4" s="7">
        <f t="shared" ref="M4:M12" si="7">ROUND(ROUND(E4/1.5,0)*1.5*1.8225,0)</f>
        <v>205</v>
      </c>
      <c r="N4" s="7">
        <f t="shared" ref="N4:N12" si="8">ROUND(ROUND(E4/1.5,0)*1.5*2.460375,0)</f>
        <v>277</v>
      </c>
      <c r="O4" s="7">
        <v>15</v>
      </c>
      <c r="P4" s="7">
        <f t="shared" ref="P4:P12" si="9">ROUND(ROUND(O4/1.5,0)*1.5*1.3,0)</f>
        <v>20</v>
      </c>
      <c r="Q4" s="7">
        <f t="shared" ref="Q4:Q12" si="10">ROUND(ROUND(O4/1.5,0)*1.5*1.69,0)</f>
        <v>25</v>
      </c>
      <c r="R4" s="7">
        <f t="shared" ref="R4:R12" si="11">ROUND(ROUND(O4/1.5,0)*1.5*2.197,0)</f>
        <v>33</v>
      </c>
      <c r="S4" s="7">
        <v>0.85</v>
      </c>
      <c r="T4" s="7">
        <v>248</v>
      </c>
      <c r="U4" s="7">
        <v>2</v>
      </c>
      <c r="V4" s="7">
        <v>1794</v>
      </c>
      <c r="W4" s="7" t="s">
        <v>734</v>
      </c>
      <c r="X4" s="7" t="s">
        <v>735</v>
      </c>
      <c r="Y4" s="7" t="s">
        <v>217</v>
      </c>
      <c r="Z4" s="7" t="s">
        <v>736</v>
      </c>
      <c r="AA4" s="7">
        <v>10</v>
      </c>
      <c r="AB4" s="7" t="s">
        <v>737</v>
      </c>
      <c r="AC4" s="7" t="s">
        <v>738</v>
      </c>
    </row>
    <row r="5" ht="38" customHeight="1" spans="1:29">
      <c r="A5" s="8" t="s">
        <v>739</v>
      </c>
      <c r="B5" s="8" t="s">
        <v>740</v>
      </c>
      <c r="C5" s="8" t="s">
        <v>66</v>
      </c>
      <c r="D5" s="8">
        <v>3750</v>
      </c>
      <c r="E5" s="8">
        <v>92</v>
      </c>
      <c r="F5" s="8">
        <f t="shared" si="0"/>
        <v>23</v>
      </c>
      <c r="G5" s="8">
        <f t="shared" si="1"/>
        <v>3750</v>
      </c>
      <c r="H5" s="8">
        <f t="shared" si="2"/>
        <v>5438</v>
      </c>
      <c r="I5" s="8">
        <f t="shared" si="3"/>
        <v>7884</v>
      </c>
      <c r="J5" s="8">
        <f t="shared" si="4"/>
        <v>11432</v>
      </c>
      <c r="K5" s="8">
        <f t="shared" si="5"/>
        <v>92</v>
      </c>
      <c r="L5" s="8">
        <f t="shared" si="6"/>
        <v>124</v>
      </c>
      <c r="M5" s="8">
        <f t="shared" si="7"/>
        <v>167</v>
      </c>
      <c r="N5" s="8">
        <f t="shared" si="8"/>
        <v>225</v>
      </c>
      <c r="O5" s="8">
        <v>23</v>
      </c>
      <c r="P5" s="8">
        <f t="shared" si="9"/>
        <v>29</v>
      </c>
      <c r="Q5" s="8">
        <f t="shared" si="10"/>
        <v>38</v>
      </c>
      <c r="R5" s="8">
        <f t="shared" si="11"/>
        <v>49</v>
      </c>
      <c r="S5" s="8">
        <v>0.75</v>
      </c>
      <c r="T5" s="8">
        <v>248</v>
      </c>
      <c r="U5" s="8">
        <v>2</v>
      </c>
      <c r="V5" s="8">
        <v>736</v>
      </c>
      <c r="W5" s="8" t="s">
        <v>741</v>
      </c>
      <c r="X5" s="8" t="s">
        <v>742</v>
      </c>
      <c r="Y5" s="8" t="s">
        <v>743</v>
      </c>
      <c r="Z5" s="8" t="s">
        <v>736</v>
      </c>
      <c r="AA5" s="8">
        <v>0</v>
      </c>
      <c r="AB5" s="8" t="s">
        <v>744</v>
      </c>
      <c r="AC5" s="8" t="s">
        <v>745</v>
      </c>
    </row>
    <row r="6" ht="38" customHeight="1" spans="1:29">
      <c r="A6" s="7" t="s">
        <v>746</v>
      </c>
      <c r="B6" s="7" t="s">
        <v>747</v>
      </c>
      <c r="C6" s="7" t="s">
        <v>60</v>
      </c>
      <c r="D6" s="7">
        <v>2700</v>
      </c>
      <c r="E6" s="7">
        <v>116</v>
      </c>
      <c r="F6" s="7">
        <f t="shared" si="0"/>
        <v>12</v>
      </c>
      <c r="G6" s="7">
        <f t="shared" si="1"/>
        <v>2700</v>
      </c>
      <c r="H6" s="7">
        <f t="shared" si="2"/>
        <v>3915</v>
      </c>
      <c r="I6" s="7">
        <f t="shared" si="3"/>
        <v>5677</v>
      </c>
      <c r="J6" s="7">
        <f t="shared" si="4"/>
        <v>8231</v>
      </c>
      <c r="K6" s="7">
        <f t="shared" si="5"/>
        <v>116</v>
      </c>
      <c r="L6" s="7">
        <f t="shared" si="6"/>
        <v>156</v>
      </c>
      <c r="M6" s="7">
        <f t="shared" si="7"/>
        <v>210</v>
      </c>
      <c r="N6" s="7">
        <f t="shared" si="8"/>
        <v>284</v>
      </c>
      <c r="O6" s="7">
        <v>12</v>
      </c>
      <c r="P6" s="7">
        <f t="shared" si="9"/>
        <v>16</v>
      </c>
      <c r="Q6" s="7">
        <f t="shared" si="10"/>
        <v>20</v>
      </c>
      <c r="R6" s="7">
        <f t="shared" si="11"/>
        <v>26</v>
      </c>
      <c r="S6" s="7">
        <v>1.4</v>
      </c>
      <c r="T6" s="7">
        <v>32</v>
      </c>
      <c r="U6" s="7">
        <v>2</v>
      </c>
      <c r="V6" s="7">
        <v>1160</v>
      </c>
      <c r="W6" s="7" t="s">
        <v>748</v>
      </c>
      <c r="X6" s="7" t="s">
        <v>749</v>
      </c>
      <c r="Y6" s="7" t="s">
        <v>750</v>
      </c>
      <c r="Z6" s="7" t="s">
        <v>736</v>
      </c>
      <c r="AA6" s="7">
        <v>59</v>
      </c>
      <c r="AB6" s="7" t="s">
        <v>751</v>
      </c>
      <c r="AC6" s="7" t="s">
        <v>752</v>
      </c>
    </row>
    <row r="7" ht="38" customHeight="1" spans="1:29">
      <c r="A7" s="8" t="s">
        <v>753</v>
      </c>
      <c r="B7" s="8" t="s">
        <v>754</v>
      </c>
      <c r="C7" s="8" t="s">
        <v>60</v>
      </c>
      <c r="D7" s="8">
        <v>3000</v>
      </c>
      <c r="E7" s="8">
        <v>75</v>
      </c>
      <c r="F7" s="8">
        <f t="shared" si="0"/>
        <v>15</v>
      </c>
      <c r="G7" s="8">
        <f t="shared" si="1"/>
        <v>3000</v>
      </c>
      <c r="H7" s="8">
        <f t="shared" si="2"/>
        <v>4350</v>
      </c>
      <c r="I7" s="8">
        <f t="shared" si="3"/>
        <v>6308</v>
      </c>
      <c r="J7" s="8">
        <f t="shared" si="4"/>
        <v>9146</v>
      </c>
      <c r="K7" s="8">
        <f t="shared" si="5"/>
        <v>75</v>
      </c>
      <c r="L7" s="8">
        <f t="shared" si="6"/>
        <v>101</v>
      </c>
      <c r="M7" s="8">
        <f t="shared" si="7"/>
        <v>137</v>
      </c>
      <c r="N7" s="8">
        <f t="shared" si="8"/>
        <v>185</v>
      </c>
      <c r="O7" s="8">
        <v>15</v>
      </c>
      <c r="P7" s="8">
        <f t="shared" si="9"/>
        <v>20</v>
      </c>
      <c r="Q7" s="8">
        <f t="shared" si="10"/>
        <v>25</v>
      </c>
      <c r="R7" s="8">
        <f t="shared" si="11"/>
        <v>33</v>
      </c>
      <c r="S7" s="8">
        <v>0.8</v>
      </c>
      <c r="T7" s="8">
        <v>248</v>
      </c>
      <c r="U7" s="8">
        <v>2</v>
      </c>
      <c r="V7" s="8">
        <v>600</v>
      </c>
      <c r="W7" s="8" t="s">
        <v>755</v>
      </c>
      <c r="X7" s="8" t="s">
        <v>756</v>
      </c>
      <c r="Y7" s="8" t="s">
        <v>217</v>
      </c>
      <c r="Z7" s="8" t="s">
        <v>736</v>
      </c>
      <c r="AA7" s="8">
        <v>8</v>
      </c>
      <c r="AB7" s="8" t="s">
        <v>757</v>
      </c>
      <c r="AC7" s="8" t="s">
        <v>758</v>
      </c>
    </row>
    <row r="8" ht="38" customHeight="1" spans="1:29">
      <c r="A8" s="7" t="s">
        <v>759</v>
      </c>
      <c r="B8" s="7" t="s">
        <v>760</v>
      </c>
      <c r="C8" s="7" t="s">
        <v>70</v>
      </c>
      <c r="D8" s="7">
        <v>3450</v>
      </c>
      <c r="E8" s="7">
        <v>83</v>
      </c>
      <c r="F8" s="7">
        <f t="shared" si="0"/>
        <v>8</v>
      </c>
      <c r="G8" s="7">
        <f t="shared" si="1"/>
        <v>3450</v>
      </c>
      <c r="H8" s="7">
        <f t="shared" si="2"/>
        <v>5003</v>
      </c>
      <c r="I8" s="7">
        <f t="shared" si="3"/>
        <v>7254</v>
      </c>
      <c r="J8" s="7">
        <f t="shared" si="4"/>
        <v>10518</v>
      </c>
      <c r="K8" s="7">
        <f t="shared" si="5"/>
        <v>83</v>
      </c>
      <c r="L8" s="7">
        <f t="shared" si="6"/>
        <v>111</v>
      </c>
      <c r="M8" s="7">
        <f t="shared" si="7"/>
        <v>150</v>
      </c>
      <c r="N8" s="7">
        <f t="shared" si="8"/>
        <v>203</v>
      </c>
      <c r="O8" s="7">
        <v>8</v>
      </c>
      <c r="P8" s="7">
        <f t="shared" si="9"/>
        <v>10</v>
      </c>
      <c r="Q8" s="7">
        <f t="shared" si="10"/>
        <v>13</v>
      </c>
      <c r="R8" s="7">
        <f t="shared" si="11"/>
        <v>16</v>
      </c>
      <c r="S8" s="7">
        <v>1</v>
      </c>
      <c r="T8" s="7">
        <v>32</v>
      </c>
      <c r="U8" s="7">
        <v>2</v>
      </c>
      <c r="V8" s="7">
        <v>1183</v>
      </c>
      <c r="W8" s="7" t="s">
        <v>761</v>
      </c>
      <c r="X8" s="7" t="s">
        <v>762</v>
      </c>
      <c r="Y8" s="7" t="s">
        <v>763</v>
      </c>
      <c r="Z8" s="7" t="s">
        <v>736</v>
      </c>
      <c r="AA8" s="7">
        <v>0</v>
      </c>
      <c r="AB8" s="7" t="s">
        <v>764</v>
      </c>
      <c r="AC8" s="7" t="s">
        <v>765</v>
      </c>
    </row>
    <row r="9" ht="38" customHeight="1" spans="1:29">
      <c r="A9" s="8" t="s">
        <v>766</v>
      </c>
      <c r="B9" s="8" t="s">
        <v>767</v>
      </c>
      <c r="C9" s="8" t="s">
        <v>60</v>
      </c>
      <c r="D9" s="8">
        <v>3450</v>
      </c>
      <c r="E9" s="8">
        <v>92</v>
      </c>
      <c r="F9" s="8">
        <f t="shared" si="0"/>
        <v>18</v>
      </c>
      <c r="G9" s="8">
        <f t="shared" si="1"/>
        <v>3450</v>
      </c>
      <c r="H9" s="8">
        <f t="shared" si="2"/>
        <v>5003</v>
      </c>
      <c r="I9" s="8">
        <f t="shared" si="3"/>
        <v>7254</v>
      </c>
      <c r="J9" s="8">
        <f t="shared" si="4"/>
        <v>10518</v>
      </c>
      <c r="K9" s="8">
        <f t="shared" si="5"/>
        <v>92</v>
      </c>
      <c r="L9" s="8">
        <f t="shared" si="6"/>
        <v>124</v>
      </c>
      <c r="M9" s="8">
        <f t="shared" si="7"/>
        <v>167</v>
      </c>
      <c r="N9" s="8">
        <f t="shared" si="8"/>
        <v>225</v>
      </c>
      <c r="O9" s="8">
        <v>18</v>
      </c>
      <c r="P9" s="8">
        <f t="shared" si="9"/>
        <v>23</v>
      </c>
      <c r="Q9" s="8">
        <f t="shared" si="10"/>
        <v>30</v>
      </c>
      <c r="R9" s="8">
        <f t="shared" si="11"/>
        <v>40</v>
      </c>
      <c r="S9" s="8">
        <v>0.85</v>
      </c>
      <c r="T9" s="8">
        <v>32</v>
      </c>
      <c r="U9" s="8">
        <v>2</v>
      </c>
      <c r="V9" s="8">
        <v>828</v>
      </c>
      <c r="W9" s="8" t="s">
        <v>768</v>
      </c>
      <c r="X9" s="8" t="s">
        <v>769</v>
      </c>
      <c r="Y9" s="8" t="s">
        <v>770</v>
      </c>
      <c r="Z9" s="8" t="s">
        <v>736</v>
      </c>
      <c r="AA9" s="8">
        <v>0</v>
      </c>
      <c r="AB9" s="8" t="s">
        <v>771</v>
      </c>
      <c r="AC9" s="8" t="s">
        <v>772</v>
      </c>
    </row>
    <row r="10" ht="38" customHeight="1" spans="1:29">
      <c r="A10" s="7" t="s">
        <v>773</v>
      </c>
      <c r="B10" s="7" t="s">
        <v>774</v>
      </c>
      <c r="C10" s="7" t="s">
        <v>60</v>
      </c>
      <c r="D10" s="7">
        <v>3150</v>
      </c>
      <c r="E10" s="7">
        <v>119</v>
      </c>
      <c r="F10" s="7">
        <f t="shared" si="0"/>
        <v>15</v>
      </c>
      <c r="G10" s="7">
        <f t="shared" si="1"/>
        <v>3150</v>
      </c>
      <c r="H10" s="7">
        <f t="shared" si="2"/>
        <v>4568</v>
      </c>
      <c r="I10" s="7">
        <f t="shared" si="3"/>
        <v>6623</v>
      </c>
      <c r="J10" s="7">
        <f t="shared" si="4"/>
        <v>9603</v>
      </c>
      <c r="K10" s="7">
        <f t="shared" si="5"/>
        <v>119</v>
      </c>
      <c r="L10" s="7">
        <f t="shared" si="6"/>
        <v>160</v>
      </c>
      <c r="M10" s="7">
        <f t="shared" si="7"/>
        <v>216</v>
      </c>
      <c r="N10" s="7">
        <f t="shared" si="8"/>
        <v>292</v>
      </c>
      <c r="O10" s="7">
        <v>15</v>
      </c>
      <c r="P10" s="7">
        <f t="shared" si="9"/>
        <v>20</v>
      </c>
      <c r="Q10" s="7">
        <f t="shared" si="10"/>
        <v>25</v>
      </c>
      <c r="R10" s="7">
        <f t="shared" si="11"/>
        <v>33</v>
      </c>
      <c r="S10" s="7">
        <v>1.3</v>
      </c>
      <c r="T10" s="7">
        <v>32</v>
      </c>
      <c r="U10" s="7">
        <v>2</v>
      </c>
      <c r="V10" s="7">
        <v>1071</v>
      </c>
      <c r="W10" s="7" t="s">
        <v>775</v>
      </c>
      <c r="X10" s="7" t="s">
        <v>776</v>
      </c>
      <c r="Y10" s="7" t="s">
        <v>777</v>
      </c>
      <c r="Z10" s="7" t="s">
        <v>736</v>
      </c>
      <c r="AA10" s="7">
        <v>0</v>
      </c>
      <c r="AB10" s="7" t="s">
        <v>778</v>
      </c>
      <c r="AC10" s="7" t="s">
        <v>779</v>
      </c>
    </row>
    <row r="11" ht="38" customHeight="1" spans="1:29">
      <c r="A11" s="8" t="s">
        <v>780</v>
      </c>
      <c r="B11" s="8" t="s">
        <v>781</v>
      </c>
      <c r="C11" s="8" t="s">
        <v>70</v>
      </c>
      <c r="D11" s="8">
        <v>2700</v>
      </c>
      <c r="E11" s="8">
        <v>96</v>
      </c>
      <c r="F11" s="8">
        <f t="shared" si="0"/>
        <v>20</v>
      </c>
      <c r="G11" s="8">
        <f t="shared" si="1"/>
        <v>2700</v>
      </c>
      <c r="H11" s="8">
        <f t="shared" si="2"/>
        <v>3915</v>
      </c>
      <c r="I11" s="8">
        <f t="shared" si="3"/>
        <v>5677</v>
      </c>
      <c r="J11" s="8">
        <f t="shared" si="4"/>
        <v>8231</v>
      </c>
      <c r="K11" s="8">
        <f t="shared" si="5"/>
        <v>96</v>
      </c>
      <c r="L11" s="8">
        <f t="shared" si="6"/>
        <v>130</v>
      </c>
      <c r="M11" s="8">
        <f t="shared" si="7"/>
        <v>175</v>
      </c>
      <c r="N11" s="8">
        <f t="shared" si="8"/>
        <v>236</v>
      </c>
      <c r="O11" s="8">
        <v>20</v>
      </c>
      <c r="P11" s="8">
        <f t="shared" si="9"/>
        <v>25</v>
      </c>
      <c r="Q11" s="8">
        <f t="shared" si="10"/>
        <v>33</v>
      </c>
      <c r="R11" s="8">
        <f t="shared" si="11"/>
        <v>43</v>
      </c>
      <c r="S11" s="8">
        <v>0.9</v>
      </c>
      <c r="T11" s="8">
        <v>32</v>
      </c>
      <c r="U11" s="8">
        <v>2</v>
      </c>
      <c r="V11" s="8">
        <v>864</v>
      </c>
      <c r="W11" s="8" t="s">
        <v>782</v>
      </c>
      <c r="X11" s="8" t="s">
        <v>783</v>
      </c>
      <c r="Y11" s="8" t="s">
        <v>784</v>
      </c>
      <c r="Z11" s="8" t="s">
        <v>736</v>
      </c>
      <c r="AA11" s="8">
        <v>0</v>
      </c>
      <c r="AB11" s="8" t="s">
        <v>785</v>
      </c>
      <c r="AC11" s="8" t="s">
        <v>786</v>
      </c>
    </row>
    <row r="12" ht="38" customHeight="1" spans="1:29">
      <c r="A12" s="7" t="s">
        <v>787</v>
      </c>
      <c r="B12" s="7" t="s">
        <v>788</v>
      </c>
      <c r="C12" s="7" t="s">
        <v>66</v>
      </c>
      <c r="D12" s="7">
        <v>4200</v>
      </c>
      <c r="E12" s="7">
        <v>99</v>
      </c>
      <c r="F12" s="7">
        <f t="shared" si="0"/>
        <v>21</v>
      </c>
      <c r="G12" s="7">
        <f t="shared" si="1"/>
        <v>4200</v>
      </c>
      <c r="H12" s="7">
        <f t="shared" si="2"/>
        <v>6090</v>
      </c>
      <c r="I12" s="7">
        <f t="shared" si="3"/>
        <v>8831</v>
      </c>
      <c r="J12" s="7">
        <f t="shared" si="4"/>
        <v>12804</v>
      </c>
      <c r="K12" s="7">
        <f t="shared" si="5"/>
        <v>99</v>
      </c>
      <c r="L12" s="7">
        <f t="shared" si="6"/>
        <v>134</v>
      </c>
      <c r="M12" s="7">
        <f t="shared" si="7"/>
        <v>180</v>
      </c>
      <c r="N12" s="7">
        <f t="shared" si="8"/>
        <v>244</v>
      </c>
      <c r="O12" s="7">
        <v>21</v>
      </c>
      <c r="P12" s="7">
        <f t="shared" si="9"/>
        <v>27</v>
      </c>
      <c r="Q12" s="7">
        <f t="shared" si="10"/>
        <v>35</v>
      </c>
      <c r="R12" s="7">
        <f t="shared" si="11"/>
        <v>46</v>
      </c>
      <c r="S12" s="7">
        <v>0.75</v>
      </c>
      <c r="T12" s="7">
        <v>248</v>
      </c>
      <c r="U12" s="7">
        <v>2</v>
      </c>
      <c r="V12" s="7">
        <v>1090</v>
      </c>
      <c r="W12" s="7" t="s">
        <v>789</v>
      </c>
      <c r="X12" s="7" t="s">
        <v>790</v>
      </c>
      <c r="Y12" s="7" t="s">
        <v>217</v>
      </c>
      <c r="Z12" s="7" t="s">
        <v>736</v>
      </c>
      <c r="AA12" s="7">
        <v>6</v>
      </c>
      <c r="AB12" s="7" t="s">
        <v>791</v>
      </c>
      <c r="AC12" s="7" t="s">
        <v>792</v>
      </c>
    </row>
  </sheetData>
  <mergeCells count="2">
    <mergeCell ref="A1:AC1"/>
    <mergeCell ref="A2:AC2"/>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5"/>
  <sheetViews>
    <sheetView showGridLines="0" topLeftCell="V1" workbookViewId="0">
      <pane ySplit="3" topLeftCell="A4" activePane="bottomLeft" state="frozen"/>
      <selection/>
      <selection pane="bottomLeft" activeCell="A1" sqref="A1:X1"/>
    </sheetView>
  </sheetViews>
  <sheetFormatPr defaultColWidth="9" defaultRowHeight="14.25"/>
  <cols>
    <col min="1" max="1" width="23" customWidth="1"/>
    <col min="2" max="2" width="17" customWidth="1"/>
    <col min="3" max="5" width="12" customWidth="1"/>
    <col min="6" max="16" width="13" customWidth="1"/>
    <col min="17" max="17" width="18" customWidth="1"/>
    <col min="18" max="18" width="24" customWidth="1"/>
    <col min="19" max="19" width="21" customWidth="1"/>
    <col min="20" max="20" width="17" customWidth="1"/>
    <col min="21" max="21" width="16" customWidth="1"/>
    <col min="22" max="22" width="70" customWidth="1"/>
    <col min="23" max="23" width="65" customWidth="1"/>
    <col min="24" max="24" width="90" customWidth="1"/>
  </cols>
  <sheetData>
    <row r="1" ht="34" customHeight="1" spans="1:24">
      <c r="A1" s="1" t="s">
        <v>793</v>
      </c>
      <c r="B1" s="1"/>
      <c r="C1" s="1"/>
      <c r="D1" s="1"/>
      <c r="E1" s="1"/>
      <c r="F1" s="1"/>
      <c r="G1" s="1"/>
      <c r="H1" s="1"/>
      <c r="I1" s="1"/>
      <c r="J1" s="1"/>
      <c r="K1" s="1"/>
      <c r="L1" s="1"/>
      <c r="M1" s="1"/>
      <c r="N1" s="1"/>
      <c r="O1" s="1"/>
      <c r="P1" s="1"/>
      <c r="Q1" s="1"/>
      <c r="R1" s="1"/>
      <c r="S1" s="1"/>
      <c r="T1" s="1"/>
      <c r="U1" s="1"/>
      <c r="V1" s="1"/>
      <c r="W1" s="1"/>
      <c r="X1" s="1"/>
    </row>
    <row r="2" ht="32" customHeight="1" spans="1:24">
      <c r="A2" s="2" t="s">
        <v>794</v>
      </c>
      <c r="B2" s="2"/>
      <c r="C2" s="2"/>
      <c r="D2" s="2"/>
      <c r="E2" s="2"/>
      <c r="F2" s="2"/>
      <c r="G2" s="2"/>
      <c r="H2" s="2"/>
      <c r="I2" s="2"/>
      <c r="J2" s="2"/>
      <c r="K2" s="2"/>
      <c r="L2" s="2"/>
      <c r="M2" s="2"/>
      <c r="N2" s="2"/>
      <c r="O2" s="2"/>
      <c r="P2" s="2"/>
      <c r="Q2" s="2"/>
      <c r="R2" s="2"/>
      <c r="S2" s="2"/>
      <c r="T2" s="2"/>
      <c r="U2" s="2"/>
      <c r="V2" s="2"/>
      <c r="W2" s="2"/>
      <c r="X2" s="2"/>
    </row>
    <row r="3" ht="28" customHeight="1" spans="1:24">
      <c r="A3" s="5" t="s">
        <v>28</v>
      </c>
      <c r="B3" s="5" t="s">
        <v>29</v>
      </c>
      <c r="C3" s="5" t="s">
        <v>795</v>
      </c>
      <c r="D3" s="5" t="s">
        <v>796</v>
      </c>
      <c r="E3" s="5" t="s">
        <v>797</v>
      </c>
      <c r="F3" s="5" t="s">
        <v>643</v>
      </c>
      <c r="G3" s="5" t="s">
        <v>644</v>
      </c>
      <c r="H3" s="5" t="s">
        <v>645</v>
      </c>
      <c r="I3" s="5" t="s">
        <v>46</v>
      </c>
      <c r="J3" s="5" t="s">
        <v>48</v>
      </c>
      <c r="K3" s="5" t="s">
        <v>50</v>
      </c>
      <c r="L3" s="5" t="s">
        <v>51</v>
      </c>
      <c r="M3" s="5" t="s">
        <v>52</v>
      </c>
      <c r="N3" s="5" t="s">
        <v>646</v>
      </c>
      <c r="O3" s="5" t="s">
        <v>647</v>
      </c>
      <c r="P3" s="5" t="s">
        <v>648</v>
      </c>
      <c r="Q3" s="5" t="s">
        <v>195</v>
      </c>
      <c r="R3" s="5" t="s">
        <v>56</v>
      </c>
      <c r="S3" s="5" t="s">
        <v>196</v>
      </c>
      <c r="T3" s="5" t="s">
        <v>729</v>
      </c>
      <c r="U3" s="5" t="s">
        <v>730</v>
      </c>
      <c r="V3" s="5" t="s">
        <v>798</v>
      </c>
      <c r="W3" s="5" t="s">
        <v>731</v>
      </c>
      <c r="X3" s="5" t="s">
        <v>198</v>
      </c>
    </row>
    <row r="4" ht="38" customHeight="1" spans="1:24">
      <c r="A4" s="7" t="s">
        <v>799</v>
      </c>
      <c r="B4" s="7" t="s">
        <v>800</v>
      </c>
      <c r="C4" s="7">
        <v>3</v>
      </c>
      <c r="D4" s="7">
        <v>50</v>
      </c>
      <c r="E4" s="7">
        <v>10</v>
      </c>
      <c r="F4" s="7">
        <v>560</v>
      </c>
      <c r="G4" s="7">
        <v>23</v>
      </c>
      <c r="H4" s="7">
        <v>3</v>
      </c>
      <c r="I4" s="7">
        <v>1</v>
      </c>
      <c r="J4" s="7">
        <v>248</v>
      </c>
      <c r="K4" s="7">
        <v>165</v>
      </c>
      <c r="L4" s="9">
        <v>0.05</v>
      </c>
      <c r="M4" s="7">
        <v>1.5</v>
      </c>
      <c r="N4" s="7">
        <f t="shared" ref="N4:N15" si="0">ROUND(G4*I4*(1+L4*(M4-1)),1)</f>
        <v>23.6</v>
      </c>
      <c r="O4" s="7">
        <v>522</v>
      </c>
      <c r="P4" s="7">
        <f t="shared" ref="P4:P15" si="1">ROUND(F4*(1+H4/100),0)</f>
        <v>577</v>
      </c>
      <c r="Q4" s="7" t="s">
        <v>801</v>
      </c>
      <c r="R4" s="7" t="s">
        <v>802</v>
      </c>
      <c r="S4" s="7" t="s">
        <v>217</v>
      </c>
      <c r="T4" s="7" t="s">
        <v>736</v>
      </c>
      <c r="U4" s="7">
        <v>10</v>
      </c>
      <c r="V4" s="7" t="s">
        <v>803</v>
      </c>
      <c r="W4" s="7" t="s">
        <v>804</v>
      </c>
      <c r="X4" s="7" t="s">
        <v>805</v>
      </c>
    </row>
    <row r="5" ht="38" customHeight="1" spans="1:24">
      <c r="A5" s="8" t="s">
        <v>806</v>
      </c>
      <c r="B5" s="8" t="s">
        <v>807</v>
      </c>
      <c r="C5" s="8">
        <v>6</v>
      </c>
      <c r="D5" s="8">
        <v>100</v>
      </c>
      <c r="E5" s="8">
        <v>20</v>
      </c>
      <c r="F5" s="8">
        <v>1200</v>
      </c>
      <c r="G5" s="8">
        <v>28</v>
      </c>
      <c r="H5" s="8">
        <v>10</v>
      </c>
      <c r="I5" s="8">
        <v>0.85</v>
      </c>
      <c r="J5" s="8">
        <v>32</v>
      </c>
      <c r="K5" s="8">
        <v>154</v>
      </c>
      <c r="L5" s="10">
        <v>0.05</v>
      </c>
      <c r="M5" s="8">
        <v>1.5</v>
      </c>
      <c r="N5" s="8">
        <f t="shared" si="0"/>
        <v>24.4</v>
      </c>
      <c r="O5" s="8">
        <v>252</v>
      </c>
      <c r="P5" s="8">
        <f t="shared" si="1"/>
        <v>1320</v>
      </c>
      <c r="Q5" s="8" t="s">
        <v>808</v>
      </c>
      <c r="R5" s="8" t="s">
        <v>809</v>
      </c>
      <c r="S5" s="8" t="s">
        <v>810</v>
      </c>
      <c r="T5" s="8" t="s">
        <v>736</v>
      </c>
      <c r="U5" s="8">
        <v>10</v>
      </c>
      <c r="V5" s="8"/>
      <c r="W5" s="8" t="s">
        <v>811</v>
      </c>
      <c r="X5" s="8" t="s">
        <v>812</v>
      </c>
    </row>
    <row r="6" ht="38" customHeight="1" spans="1:24">
      <c r="A6" s="7" t="s">
        <v>813</v>
      </c>
      <c r="B6" s="7" t="s">
        <v>814</v>
      </c>
      <c r="C6" s="7">
        <v>9</v>
      </c>
      <c r="D6" s="7">
        <v>150</v>
      </c>
      <c r="E6" s="7">
        <v>30</v>
      </c>
      <c r="F6" s="7">
        <v>960</v>
      </c>
      <c r="G6" s="7">
        <v>52</v>
      </c>
      <c r="H6" s="7">
        <v>7</v>
      </c>
      <c r="I6" s="7">
        <v>1</v>
      </c>
      <c r="J6" s="7">
        <v>32</v>
      </c>
      <c r="K6" s="7">
        <v>170.5</v>
      </c>
      <c r="L6" s="9">
        <v>0.05</v>
      </c>
      <c r="M6" s="7">
        <v>1.5</v>
      </c>
      <c r="N6" s="7">
        <f t="shared" si="0"/>
        <v>53.3</v>
      </c>
      <c r="O6" s="7">
        <v>730</v>
      </c>
      <c r="P6" s="7">
        <f t="shared" si="1"/>
        <v>1027</v>
      </c>
      <c r="Q6" s="7" t="s">
        <v>815</v>
      </c>
      <c r="R6" s="7" t="s">
        <v>816</v>
      </c>
      <c r="S6" s="7" t="s">
        <v>207</v>
      </c>
      <c r="T6" s="7" t="s">
        <v>736</v>
      </c>
      <c r="U6" s="7">
        <v>0</v>
      </c>
      <c r="V6" s="7"/>
      <c r="W6" s="7" t="s">
        <v>817</v>
      </c>
      <c r="X6" s="7" t="s">
        <v>818</v>
      </c>
    </row>
    <row r="7" ht="38" customHeight="1" spans="1:24">
      <c r="A7" s="8" t="s">
        <v>819</v>
      </c>
      <c r="B7" s="8" t="s">
        <v>820</v>
      </c>
      <c r="C7" s="8">
        <v>12</v>
      </c>
      <c r="D7" s="8">
        <v>200</v>
      </c>
      <c r="E7" s="8">
        <v>40</v>
      </c>
      <c r="F7" s="8">
        <v>1600</v>
      </c>
      <c r="G7" s="8">
        <v>57</v>
      </c>
      <c r="H7" s="8">
        <v>8</v>
      </c>
      <c r="I7" s="8">
        <v>0.9</v>
      </c>
      <c r="J7" s="8">
        <v>32</v>
      </c>
      <c r="K7" s="8">
        <v>187</v>
      </c>
      <c r="L7" s="10">
        <v>0.05</v>
      </c>
      <c r="M7" s="8">
        <v>1.5</v>
      </c>
      <c r="N7" s="8">
        <f t="shared" si="0"/>
        <v>52.6</v>
      </c>
      <c r="O7" s="8">
        <v>1022</v>
      </c>
      <c r="P7" s="8">
        <f t="shared" si="1"/>
        <v>1728</v>
      </c>
      <c r="Q7" s="8" t="s">
        <v>821</v>
      </c>
      <c r="R7" s="8" t="s">
        <v>822</v>
      </c>
      <c r="S7" s="8" t="s">
        <v>823</v>
      </c>
      <c r="T7" s="8" t="s">
        <v>736</v>
      </c>
      <c r="U7" s="8">
        <v>9</v>
      </c>
      <c r="V7" s="8" t="s">
        <v>824</v>
      </c>
      <c r="W7" s="8" t="s">
        <v>825</v>
      </c>
      <c r="X7" s="8" t="s">
        <v>826</v>
      </c>
    </row>
    <row r="8" ht="38" customHeight="1" spans="1:24">
      <c r="A8" s="7" t="s">
        <v>827</v>
      </c>
      <c r="B8" s="7" t="s">
        <v>828</v>
      </c>
      <c r="C8" s="7">
        <v>15</v>
      </c>
      <c r="D8" s="7">
        <v>250</v>
      </c>
      <c r="E8" s="7">
        <v>50</v>
      </c>
      <c r="F8" s="7">
        <v>1040</v>
      </c>
      <c r="G8" s="7">
        <v>33</v>
      </c>
      <c r="H8" s="7">
        <v>7</v>
      </c>
      <c r="I8" s="7">
        <v>0.9</v>
      </c>
      <c r="J8" s="7">
        <v>248</v>
      </c>
      <c r="K8" s="7">
        <v>165</v>
      </c>
      <c r="L8" s="9">
        <v>0.05</v>
      </c>
      <c r="M8" s="7">
        <v>1.5</v>
      </c>
      <c r="N8" s="7">
        <f t="shared" si="0"/>
        <v>30.4</v>
      </c>
      <c r="O8" s="7">
        <v>297</v>
      </c>
      <c r="P8" s="7">
        <f t="shared" si="1"/>
        <v>1113</v>
      </c>
      <c r="Q8" s="7" t="s">
        <v>829</v>
      </c>
      <c r="R8" s="7" t="s">
        <v>830</v>
      </c>
      <c r="S8" s="7" t="s">
        <v>217</v>
      </c>
      <c r="T8" s="7" t="s">
        <v>736</v>
      </c>
      <c r="U8" s="7">
        <v>6</v>
      </c>
      <c r="V8" s="7"/>
      <c r="W8" s="7" t="s">
        <v>831</v>
      </c>
      <c r="X8" s="7" t="s">
        <v>832</v>
      </c>
    </row>
    <row r="9" ht="38" customHeight="1" spans="1:24">
      <c r="A9" s="8" t="s">
        <v>833</v>
      </c>
      <c r="B9" s="8" t="s">
        <v>834</v>
      </c>
      <c r="C9" s="8">
        <v>18</v>
      </c>
      <c r="D9" s="8">
        <v>300</v>
      </c>
      <c r="E9" s="8">
        <v>60</v>
      </c>
      <c r="F9" s="8">
        <v>1614</v>
      </c>
      <c r="G9" s="8">
        <v>97</v>
      </c>
      <c r="H9" s="8">
        <v>6</v>
      </c>
      <c r="I9" s="8">
        <v>1.35</v>
      </c>
      <c r="J9" s="8">
        <v>32</v>
      </c>
      <c r="K9" s="8">
        <v>198</v>
      </c>
      <c r="L9" s="10">
        <v>0.05</v>
      </c>
      <c r="M9" s="8">
        <v>1.5</v>
      </c>
      <c r="N9" s="8">
        <f t="shared" si="0"/>
        <v>134.2</v>
      </c>
      <c r="O9" s="8">
        <v>1404</v>
      </c>
      <c r="P9" s="8">
        <f t="shared" si="1"/>
        <v>1711</v>
      </c>
      <c r="Q9" s="8" t="s">
        <v>835</v>
      </c>
      <c r="R9" s="8" t="s">
        <v>836</v>
      </c>
      <c r="S9" s="8" t="s">
        <v>217</v>
      </c>
      <c r="T9" s="8" t="s">
        <v>736</v>
      </c>
      <c r="U9" s="8">
        <v>6</v>
      </c>
      <c r="V9" s="8"/>
      <c r="W9" s="8" t="s">
        <v>837</v>
      </c>
      <c r="X9" s="8" t="s">
        <v>838</v>
      </c>
    </row>
    <row r="10" ht="38" customHeight="1" spans="1:24">
      <c r="A10" s="7" t="s">
        <v>839</v>
      </c>
      <c r="B10" s="7" t="s">
        <v>840</v>
      </c>
      <c r="C10" s="7">
        <v>21</v>
      </c>
      <c r="D10" s="7">
        <v>350</v>
      </c>
      <c r="E10" s="7">
        <v>70</v>
      </c>
      <c r="F10" s="7">
        <v>1734</v>
      </c>
      <c r="G10" s="7">
        <v>74</v>
      </c>
      <c r="H10" s="7">
        <v>11</v>
      </c>
      <c r="I10" s="7">
        <v>0.95</v>
      </c>
      <c r="J10" s="7">
        <v>32</v>
      </c>
      <c r="K10" s="7">
        <v>165</v>
      </c>
      <c r="L10" s="9">
        <v>0.05</v>
      </c>
      <c r="M10" s="7">
        <v>1.5</v>
      </c>
      <c r="N10" s="7">
        <f t="shared" si="0"/>
        <v>72.1</v>
      </c>
      <c r="O10" s="7">
        <v>1036</v>
      </c>
      <c r="P10" s="7">
        <f t="shared" si="1"/>
        <v>1925</v>
      </c>
      <c r="Q10" s="7" t="s">
        <v>841</v>
      </c>
      <c r="R10" s="7" t="s">
        <v>842</v>
      </c>
      <c r="S10" s="7" t="s">
        <v>843</v>
      </c>
      <c r="T10" s="7" t="s">
        <v>736</v>
      </c>
      <c r="U10" s="7">
        <v>30</v>
      </c>
      <c r="V10" s="7"/>
      <c r="W10" s="7" t="s">
        <v>844</v>
      </c>
      <c r="X10" s="7" t="s">
        <v>845</v>
      </c>
    </row>
    <row r="11" ht="38" customHeight="1" spans="1:24">
      <c r="A11" s="8" t="s">
        <v>846</v>
      </c>
      <c r="B11" s="8" t="s">
        <v>847</v>
      </c>
      <c r="C11" s="8">
        <v>24</v>
      </c>
      <c r="D11" s="8">
        <v>400</v>
      </c>
      <c r="E11" s="8">
        <v>80</v>
      </c>
      <c r="F11" s="8">
        <v>1666</v>
      </c>
      <c r="G11" s="8">
        <v>108</v>
      </c>
      <c r="H11" s="8">
        <v>7</v>
      </c>
      <c r="I11" s="8">
        <v>1.25</v>
      </c>
      <c r="J11" s="8">
        <v>248</v>
      </c>
      <c r="K11" s="8">
        <v>176</v>
      </c>
      <c r="L11" s="10">
        <v>0.25</v>
      </c>
      <c r="M11" s="8">
        <v>1.5</v>
      </c>
      <c r="N11" s="8">
        <f t="shared" si="0"/>
        <v>151.9</v>
      </c>
      <c r="O11" s="8">
        <v>1470</v>
      </c>
      <c r="P11" s="8">
        <f t="shared" si="1"/>
        <v>1783</v>
      </c>
      <c r="Q11" s="8" t="s">
        <v>848</v>
      </c>
      <c r="R11" s="8" t="s">
        <v>849</v>
      </c>
      <c r="S11" s="8" t="s">
        <v>217</v>
      </c>
      <c r="T11" s="8" t="s">
        <v>736</v>
      </c>
      <c r="U11" s="8">
        <v>10</v>
      </c>
      <c r="V11" s="8" t="s">
        <v>850</v>
      </c>
      <c r="W11" s="8" t="s">
        <v>851</v>
      </c>
      <c r="X11" s="8" t="s">
        <v>852</v>
      </c>
    </row>
    <row r="12" ht="38" customHeight="1" spans="1:24">
      <c r="A12" s="7" t="s">
        <v>853</v>
      </c>
      <c r="B12" s="7" t="s">
        <v>854</v>
      </c>
      <c r="C12" s="7">
        <v>27</v>
      </c>
      <c r="D12" s="7">
        <v>450</v>
      </c>
      <c r="E12" s="7">
        <v>90</v>
      </c>
      <c r="F12" s="7">
        <v>2566</v>
      </c>
      <c r="G12" s="7">
        <v>95</v>
      </c>
      <c r="H12" s="7">
        <v>12</v>
      </c>
      <c r="I12" s="7">
        <v>1</v>
      </c>
      <c r="J12" s="7">
        <v>32</v>
      </c>
      <c r="K12" s="7">
        <v>176</v>
      </c>
      <c r="L12" s="9">
        <v>0.05</v>
      </c>
      <c r="M12" s="7">
        <v>1.5</v>
      </c>
      <c r="N12" s="7">
        <f t="shared" si="0"/>
        <v>97.4</v>
      </c>
      <c r="O12" s="7">
        <v>850</v>
      </c>
      <c r="P12" s="7">
        <f t="shared" si="1"/>
        <v>2874</v>
      </c>
      <c r="Q12" s="7" t="s">
        <v>855</v>
      </c>
      <c r="R12" s="7" t="s">
        <v>856</v>
      </c>
      <c r="S12" s="7" t="s">
        <v>857</v>
      </c>
      <c r="T12" s="7" t="s">
        <v>736</v>
      </c>
      <c r="U12" s="7">
        <v>0</v>
      </c>
      <c r="V12" s="7"/>
      <c r="W12" s="7" t="s">
        <v>858</v>
      </c>
      <c r="X12" s="7" t="s">
        <v>859</v>
      </c>
    </row>
    <row r="13" ht="38" customHeight="1" spans="1:24">
      <c r="A13" s="8" t="s">
        <v>860</v>
      </c>
      <c r="B13" s="8" t="s">
        <v>861</v>
      </c>
      <c r="C13" s="8">
        <v>30</v>
      </c>
      <c r="D13" s="8">
        <v>500</v>
      </c>
      <c r="E13" s="8">
        <v>100</v>
      </c>
      <c r="F13" s="8">
        <v>2220</v>
      </c>
      <c r="G13" s="8">
        <v>77</v>
      </c>
      <c r="H13" s="8">
        <v>16</v>
      </c>
      <c r="I13" s="8">
        <v>0.9</v>
      </c>
      <c r="J13" s="8">
        <v>32</v>
      </c>
      <c r="K13" s="8">
        <v>159.5</v>
      </c>
      <c r="L13" s="10">
        <v>0.05</v>
      </c>
      <c r="M13" s="8">
        <v>1.5</v>
      </c>
      <c r="N13" s="8">
        <f t="shared" si="0"/>
        <v>71</v>
      </c>
      <c r="O13" s="8">
        <v>924</v>
      </c>
      <c r="P13" s="8">
        <f t="shared" si="1"/>
        <v>2575</v>
      </c>
      <c r="Q13" s="8" t="s">
        <v>862</v>
      </c>
      <c r="R13" s="8" t="s">
        <v>863</v>
      </c>
      <c r="S13" s="8" t="s">
        <v>217</v>
      </c>
      <c r="T13" s="8" t="s">
        <v>736</v>
      </c>
      <c r="U13" s="8">
        <v>8</v>
      </c>
      <c r="V13" s="8"/>
      <c r="W13" s="8" t="s">
        <v>864</v>
      </c>
      <c r="X13" s="8" t="s">
        <v>865</v>
      </c>
    </row>
    <row r="14" ht="38" customHeight="1" spans="1:24">
      <c r="A14" s="7" t="s">
        <v>866</v>
      </c>
      <c r="B14" s="7" t="s">
        <v>867</v>
      </c>
      <c r="C14" s="7">
        <v>33</v>
      </c>
      <c r="D14" s="7">
        <v>550</v>
      </c>
      <c r="E14" s="7">
        <v>110</v>
      </c>
      <c r="F14" s="7">
        <v>2300</v>
      </c>
      <c r="G14" s="7">
        <v>88</v>
      </c>
      <c r="H14" s="7">
        <v>12</v>
      </c>
      <c r="I14" s="7">
        <v>0.95</v>
      </c>
      <c r="J14" s="7">
        <v>248</v>
      </c>
      <c r="K14" s="7">
        <v>170.5</v>
      </c>
      <c r="L14" s="9">
        <v>0.05</v>
      </c>
      <c r="M14" s="7">
        <v>1.5</v>
      </c>
      <c r="N14" s="7">
        <f t="shared" si="0"/>
        <v>85.7</v>
      </c>
      <c r="O14" s="7">
        <v>880</v>
      </c>
      <c r="P14" s="7">
        <f t="shared" si="1"/>
        <v>2576</v>
      </c>
      <c r="Q14" s="7" t="s">
        <v>868</v>
      </c>
      <c r="R14" s="7" t="s">
        <v>869</v>
      </c>
      <c r="S14" s="7" t="s">
        <v>217</v>
      </c>
      <c r="T14" s="7" t="s">
        <v>736</v>
      </c>
      <c r="U14" s="7">
        <v>8</v>
      </c>
      <c r="V14" s="7" t="s">
        <v>870</v>
      </c>
      <c r="W14" s="7" t="s">
        <v>871</v>
      </c>
      <c r="X14" s="7" t="s">
        <v>872</v>
      </c>
    </row>
    <row r="15" ht="38" customHeight="1" spans="1:24">
      <c r="A15" s="8" t="s">
        <v>873</v>
      </c>
      <c r="B15" s="8" t="s">
        <v>874</v>
      </c>
      <c r="C15" s="8">
        <v>36</v>
      </c>
      <c r="D15" s="8">
        <v>600</v>
      </c>
      <c r="E15" s="8">
        <v>120</v>
      </c>
      <c r="F15" s="8">
        <v>2866</v>
      </c>
      <c r="G15" s="8">
        <v>164</v>
      </c>
      <c r="H15" s="8">
        <v>13</v>
      </c>
      <c r="I15" s="8">
        <v>1.5</v>
      </c>
      <c r="J15" s="8">
        <v>32</v>
      </c>
      <c r="K15" s="8">
        <v>181.5</v>
      </c>
      <c r="L15" s="10">
        <v>0.05</v>
      </c>
      <c r="M15" s="8">
        <v>1.5</v>
      </c>
      <c r="N15" s="8">
        <f t="shared" si="0"/>
        <v>252.2</v>
      </c>
      <c r="O15" s="8">
        <v>1240</v>
      </c>
      <c r="P15" s="8">
        <f t="shared" si="1"/>
        <v>3239</v>
      </c>
      <c r="Q15" s="8" t="s">
        <v>875</v>
      </c>
      <c r="R15" s="8" t="s">
        <v>876</v>
      </c>
      <c r="S15" s="8" t="s">
        <v>877</v>
      </c>
      <c r="T15" s="8" t="s">
        <v>736</v>
      </c>
      <c r="U15" s="8">
        <v>0</v>
      </c>
      <c r="V15" s="8"/>
      <c r="W15" s="8" t="s">
        <v>878</v>
      </c>
      <c r="X15" s="8" t="s">
        <v>879</v>
      </c>
    </row>
  </sheetData>
  <mergeCells count="2">
    <mergeCell ref="A1:X1"/>
    <mergeCell ref="A2:X2"/>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showGridLines="0" workbookViewId="0">
      <pane ySplit="3" topLeftCell="A4" activePane="bottomLeft" state="frozen"/>
      <selection/>
      <selection pane="bottomLeft" activeCell="A1" sqref="A1:AA1"/>
    </sheetView>
  </sheetViews>
  <sheetFormatPr defaultColWidth="9" defaultRowHeight="14.25" outlineLevelRow="7"/>
  <cols>
    <col min="1" max="1" width="23" customWidth="1"/>
    <col min="2" max="2" width="17" customWidth="1"/>
    <col min="3" max="3" width="18" customWidth="1"/>
    <col min="4" max="4" width="29" customWidth="1"/>
    <col min="5" max="16" width="13" customWidth="1"/>
    <col min="17" max="17" width="18" customWidth="1"/>
    <col min="18" max="18" width="22" customWidth="1"/>
    <col min="19" max="19" width="17" customWidth="1"/>
    <col min="20" max="21" width="14" customWidth="1"/>
    <col min="22" max="22" width="16" customWidth="1"/>
    <col min="23" max="23" width="15" customWidth="1"/>
    <col min="24" max="24" width="16" customWidth="1"/>
    <col min="25" max="25" width="28" customWidth="1"/>
    <col min="26" max="26" width="70" customWidth="1"/>
    <col min="27" max="27" width="95" customWidth="1"/>
  </cols>
  <sheetData>
    <row r="1" ht="34" customHeight="1" spans="1:27">
      <c r="A1" s="1" t="s">
        <v>880</v>
      </c>
      <c r="B1" s="1"/>
      <c r="C1" s="1"/>
      <c r="D1" s="1"/>
      <c r="E1" s="1"/>
      <c r="F1" s="1"/>
      <c r="G1" s="1"/>
      <c r="H1" s="1"/>
      <c r="I1" s="1"/>
      <c r="J1" s="1"/>
      <c r="K1" s="1"/>
      <c r="L1" s="1"/>
      <c r="M1" s="1"/>
      <c r="N1" s="1"/>
      <c r="O1" s="1"/>
      <c r="P1" s="1"/>
      <c r="Q1" s="1"/>
      <c r="R1" s="1"/>
      <c r="S1" s="1"/>
      <c r="T1" s="1"/>
      <c r="U1" s="1"/>
      <c r="V1" s="1"/>
      <c r="W1" s="1"/>
      <c r="X1" s="1"/>
      <c r="Y1" s="1"/>
      <c r="Z1" s="1"/>
      <c r="AA1" s="1"/>
    </row>
    <row r="2" ht="32" customHeight="1" spans="1:27">
      <c r="A2" s="2" t="s">
        <v>881</v>
      </c>
      <c r="B2" s="2"/>
      <c r="C2" s="2"/>
      <c r="D2" s="2"/>
      <c r="E2" s="2"/>
      <c r="F2" s="2"/>
      <c r="G2" s="2"/>
      <c r="H2" s="2"/>
      <c r="I2" s="2"/>
      <c r="J2" s="2"/>
      <c r="K2" s="2"/>
      <c r="L2" s="2"/>
      <c r="M2" s="2"/>
      <c r="N2" s="2"/>
      <c r="O2" s="2"/>
      <c r="P2" s="2"/>
      <c r="Q2" s="2"/>
      <c r="R2" s="2"/>
      <c r="S2" s="2"/>
      <c r="T2" s="2"/>
      <c r="U2" s="2"/>
      <c r="V2" s="2"/>
      <c r="W2" s="2"/>
      <c r="X2" s="2"/>
      <c r="Y2" s="2"/>
      <c r="Z2" s="2"/>
      <c r="AA2" s="2"/>
    </row>
    <row r="3" ht="28" customHeight="1" spans="1:27">
      <c r="A3" s="5" t="s">
        <v>28</v>
      </c>
      <c r="B3" s="5" t="s">
        <v>29</v>
      </c>
      <c r="C3" s="5" t="s">
        <v>882</v>
      </c>
      <c r="D3" s="5" t="s">
        <v>883</v>
      </c>
      <c r="E3" s="5" t="s">
        <v>643</v>
      </c>
      <c r="F3" s="5" t="s">
        <v>644</v>
      </c>
      <c r="G3" s="5" t="s">
        <v>645</v>
      </c>
      <c r="H3" s="5" t="s">
        <v>46</v>
      </c>
      <c r="I3" s="5" t="s">
        <v>48</v>
      </c>
      <c r="J3" s="5" t="s">
        <v>50</v>
      </c>
      <c r="K3" s="5" t="s">
        <v>646</v>
      </c>
      <c r="L3" s="5" t="s">
        <v>647</v>
      </c>
      <c r="M3" s="5" t="s">
        <v>648</v>
      </c>
      <c r="N3" s="5" t="s">
        <v>884</v>
      </c>
      <c r="O3" s="5" t="s">
        <v>885</v>
      </c>
      <c r="P3" s="5" t="s">
        <v>886</v>
      </c>
      <c r="Q3" s="5" t="s">
        <v>195</v>
      </c>
      <c r="R3" s="5" t="s">
        <v>56</v>
      </c>
      <c r="S3" s="5" t="s">
        <v>887</v>
      </c>
      <c r="T3" s="5" t="s">
        <v>888</v>
      </c>
      <c r="U3" s="5" t="s">
        <v>889</v>
      </c>
      <c r="V3" s="5" t="s">
        <v>729</v>
      </c>
      <c r="W3" s="5" t="s">
        <v>730</v>
      </c>
      <c r="X3" s="5" t="s">
        <v>890</v>
      </c>
      <c r="Y3" s="5" t="s">
        <v>798</v>
      </c>
      <c r="Z3" s="5" t="s">
        <v>731</v>
      </c>
      <c r="AA3" s="5" t="s">
        <v>198</v>
      </c>
    </row>
    <row r="4" ht="38" customHeight="1" spans="1:27">
      <c r="A4" s="7" t="s">
        <v>891</v>
      </c>
      <c r="B4" s="7" t="s">
        <v>892</v>
      </c>
      <c r="C4" s="7" t="s">
        <v>893</v>
      </c>
      <c r="D4" s="7" t="s">
        <v>894</v>
      </c>
      <c r="E4" s="7">
        <v>1400</v>
      </c>
      <c r="F4" s="7">
        <v>77</v>
      </c>
      <c r="G4" s="7">
        <v>10</v>
      </c>
      <c r="H4" s="7">
        <v>1.05</v>
      </c>
      <c r="I4" s="7">
        <v>32</v>
      </c>
      <c r="J4" s="7">
        <v>176</v>
      </c>
      <c r="K4" s="7">
        <v>80.9</v>
      </c>
      <c r="L4" s="7">
        <v>1140</v>
      </c>
      <c r="M4" s="7">
        <v>1540</v>
      </c>
      <c r="N4" s="7">
        <v>4</v>
      </c>
      <c r="O4" s="7">
        <v>0</v>
      </c>
      <c r="P4" s="7" t="s">
        <v>86</v>
      </c>
      <c r="Q4" s="7" t="s">
        <v>895</v>
      </c>
      <c r="R4" s="7" t="s">
        <v>896</v>
      </c>
      <c r="S4" s="7" t="s">
        <v>897</v>
      </c>
      <c r="T4" s="7">
        <v>0</v>
      </c>
      <c r="U4" s="7" t="s">
        <v>463</v>
      </c>
      <c r="V4" s="7" t="s">
        <v>736</v>
      </c>
      <c r="W4" s="7">
        <v>12</v>
      </c>
      <c r="X4" s="7" t="s">
        <v>898</v>
      </c>
      <c r="Y4" s="7" t="s">
        <v>899</v>
      </c>
      <c r="Z4" s="7" t="s">
        <v>900</v>
      </c>
      <c r="AA4" s="7" t="s">
        <v>901</v>
      </c>
    </row>
    <row r="5" ht="38" customHeight="1" spans="1:27">
      <c r="A5" s="8" t="s">
        <v>902</v>
      </c>
      <c r="B5" s="8" t="s">
        <v>903</v>
      </c>
      <c r="C5" s="8" t="s">
        <v>904</v>
      </c>
      <c r="D5" s="8" t="s">
        <v>905</v>
      </c>
      <c r="E5" s="8">
        <v>2400</v>
      </c>
      <c r="F5" s="8">
        <v>86</v>
      </c>
      <c r="G5" s="8">
        <v>14</v>
      </c>
      <c r="H5" s="8">
        <v>0.95</v>
      </c>
      <c r="I5" s="8">
        <v>248</v>
      </c>
      <c r="J5" s="8">
        <v>165</v>
      </c>
      <c r="K5" s="8">
        <v>81.7</v>
      </c>
      <c r="L5" s="8">
        <v>860</v>
      </c>
      <c r="M5" s="8">
        <v>2736</v>
      </c>
      <c r="N5" s="8">
        <v>4</v>
      </c>
      <c r="O5" s="8">
        <v>0</v>
      </c>
      <c r="P5" s="8" t="s">
        <v>86</v>
      </c>
      <c r="Q5" s="8" t="s">
        <v>906</v>
      </c>
      <c r="R5" s="8" t="s">
        <v>907</v>
      </c>
      <c r="S5" s="8" t="s">
        <v>908</v>
      </c>
      <c r="T5" s="8" t="s">
        <v>909</v>
      </c>
      <c r="U5" s="8" t="s">
        <v>910</v>
      </c>
      <c r="V5" s="8" t="s">
        <v>736</v>
      </c>
      <c r="W5" s="8">
        <v>7</v>
      </c>
      <c r="X5" s="8" t="s">
        <v>911</v>
      </c>
      <c r="Y5" s="8" t="s">
        <v>912</v>
      </c>
      <c r="Z5" s="8" t="s">
        <v>913</v>
      </c>
      <c r="AA5" s="8" t="s">
        <v>914</v>
      </c>
    </row>
    <row r="6" ht="38" customHeight="1" spans="1:27">
      <c r="A6" s="7" t="s">
        <v>915</v>
      </c>
      <c r="B6" s="7" t="s">
        <v>916</v>
      </c>
      <c r="C6" s="7" t="s">
        <v>917</v>
      </c>
      <c r="D6" s="7" t="s">
        <v>918</v>
      </c>
      <c r="E6" s="7">
        <v>3200</v>
      </c>
      <c r="F6" s="7">
        <v>105</v>
      </c>
      <c r="G6" s="7">
        <v>18</v>
      </c>
      <c r="H6" s="7">
        <v>0.9</v>
      </c>
      <c r="I6" s="7">
        <v>32</v>
      </c>
      <c r="J6" s="7">
        <v>165</v>
      </c>
      <c r="K6" s="7">
        <v>94.5</v>
      </c>
      <c r="L6" s="7">
        <v>945</v>
      </c>
      <c r="M6" s="7">
        <v>3776</v>
      </c>
      <c r="N6" s="7">
        <v>4</v>
      </c>
      <c r="O6" s="7">
        <v>0</v>
      </c>
      <c r="P6" s="7" t="s">
        <v>86</v>
      </c>
      <c r="Q6" s="7" t="s">
        <v>919</v>
      </c>
      <c r="R6" s="7" t="s">
        <v>920</v>
      </c>
      <c r="S6" s="7" t="s">
        <v>908</v>
      </c>
      <c r="T6" s="7" t="s">
        <v>921</v>
      </c>
      <c r="U6" s="7" t="s">
        <v>922</v>
      </c>
      <c r="V6" s="7" t="s">
        <v>736</v>
      </c>
      <c r="W6" s="7">
        <v>5</v>
      </c>
      <c r="X6" s="7" t="s">
        <v>923</v>
      </c>
      <c r="Y6" s="7" t="s">
        <v>924</v>
      </c>
      <c r="Z6" s="7" t="s">
        <v>925</v>
      </c>
      <c r="AA6" s="7" t="s">
        <v>926</v>
      </c>
    </row>
    <row r="7" ht="62" customHeight="1" spans="1:27">
      <c r="A7" s="8" t="s">
        <v>927</v>
      </c>
      <c r="B7" s="8" t="s">
        <v>928</v>
      </c>
      <c r="C7" s="8" t="s">
        <v>929</v>
      </c>
      <c r="D7" s="8" t="s">
        <v>930</v>
      </c>
      <c r="E7" s="8">
        <v>4000</v>
      </c>
      <c r="F7" s="8">
        <v>127</v>
      </c>
      <c r="G7" s="8">
        <v>24</v>
      </c>
      <c r="H7" s="8">
        <v>0.9</v>
      </c>
      <c r="I7" s="8">
        <v>320</v>
      </c>
      <c r="J7" s="8">
        <v>154</v>
      </c>
      <c r="K7" s="8">
        <v>114.3</v>
      </c>
      <c r="L7" s="8">
        <v>1643</v>
      </c>
      <c r="M7" s="8">
        <v>4960</v>
      </c>
      <c r="N7" s="8">
        <v>4</v>
      </c>
      <c r="O7" s="8">
        <v>0</v>
      </c>
      <c r="P7" s="8" t="s">
        <v>86</v>
      </c>
      <c r="Q7" s="8" t="s">
        <v>931</v>
      </c>
      <c r="R7" s="8" t="s">
        <v>932</v>
      </c>
      <c r="S7" s="8" t="s">
        <v>908</v>
      </c>
      <c r="T7" s="8" t="s">
        <v>921</v>
      </c>
      <c r="U7" s="8" t="s">
        <v>910</v>
      </c>
      <c r="V7" s="8" t="s">
        <v>736</v>
      </c>
      <c r="W7" s="8">
        <v>7</v>
      </c>
      <c r="X7" s="8" t="s">
        <v>923</v>
      </c>
      <c r="Y7" s="8" t="s">
        <v>933</v>
      </c>
      <c r="Z7" s="8" t="s">
        <v>934</v>
      </c>
      <c r="AA7" s="8" t="s">
        <v>935</v>
      </c>
    </row>
    <row r="8" ht="38" customHeight="1" spans="1:27">
      <c r="A8" s="7" t="s">
        <v>936</v>
      </c>
      <c r="B8" s="7" t="s">
        <v>937</v>
      </c>
      <c r="C8" s="7" t="s">
        <v>938</v>
      </c>
      <c r="D8" s="7" t="s">
        <v>939</v>
      </c>
      <c r="E8" s="7">
        <v>5200</v>
      </c>
      <c r="F8" s="7">
        <v>160</v>
      </c>
      <c r="G8" s="7">
        <v>30</v>
      </c>
      <c r="H8" s="7">
        <v>0.85</v>
      </c>
      <c r="I8" s="7">
        <v>32</v>
      </c>
      <c r="J8" s="7">
        <v>165</v>
      </c>
      <c r="K8" s="7">
        <v>136</v>
      </c>
      <c r="L8" s="7">
        <v>2320</v>
      </c>
      <c r="M8" s="7">
        <v>6760</v>
      </c>
      <c r="N8" s="7">
        <v>4</v>
      </c>
      <c r="O8" s="7">
        <v>0</v>
      </c>
      <c r="P8" s="7" t="s">
        <v>86</v>
      </c>
      <c r="Q8" s="7" t="s">
        <v>940</v>
      </c>
      <c r="R8" s="7" t="s">
        <v>941</v>
      </c>
      <c r="S8" s="7" t="s">
        <v>908</v>
      </c>
      <c r="T8" s="7" t="s">
        <v>942</v>
      </c>
      <c r="U8" s="7" t="s">
        <v>922</v>
      </c>
      <c r="V8" s="7" t="s">
        <v>736</v>
      </c>
      <c r="W8" s="7">
        <v>5</v>
      </c>
      <c r="X8" s="7" t="s">
        <v>943</v>
      </c>
      <c r="Y8" s="7" t="s">
        <v>944</v>
      </c>
      <c r="Z8" s="7" t="s">
        <v>945</v>
      </c>
      <c r="AA8" s="7" t="s">
        <v>946</v>
      </c>
    </row>
  </sheetData>
  <mergeCells count="2">
    <mergeCell ref="A1:AA1"/>
    <mergeCell ref="A2:AA2"/>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showGridLines="0" tabSelected="1" workbookViewId="0">
      <pane ySplit="3" topLeftCell="A16" activePane="bottomLeft" state="frozen"/>
      <selection/>
      <selection pane="bottomLeft" activeCell="E24" sqref="E24"/>
    </sheetView>
  </sheetViews>
  <sheetFormatPr defaultColWidth="9" defaultRowHeight="14.25" outlineLevelCol="7"/>
  <cols>
    <col min="1" max="1" width="24" customWidth="1"/>
    <col min="2" max="2" width="19" customWidth="1"/>
    <col min="3" max="3" width="16" customWidth="1"/>
    <col min="4" max="4" width="18" customWidth="1"/>
    <col min="5" max="5" width="105" customWidth="1"/>
    <col min="6" max="6" width="48" customWidth="1"/>
    <col min="7" max="7" width="65" customWidth="1"/>
    <col min="8" max="8" width="19" customWidth="1"/>
  </cols>
  <sheetData>
    <row r="1" ht="34" customHeight="1" spans="1:8">
      <c r="A1" s="1" t="s">
        <v>947</v>
      </c>
      <c r="B1" s="1"/>
      <c r="C1" s="1"/>
      <c r="D1" s="1"/>
      <c r="E1" s="1"/>
      <c r="F1" s="1"/>
      <c r="G1" s="1"/>
      <c r="H1" s="1"/>
    </row>
    <row r="2" ht="32" customHeight="1" spans="1:8">
      <c r="A2" s="2" t="s">
        <v>948</v>
      </c>
      <c r="B2" s="2"/>
      <c r="C2" s="2"/>
      <c r="D2" s="2"/>
      <c r="E2" s="2"/>
      <c r="F2" s="2"/>
      <c r="G2" s="2"/>
      <c r="H2" s="2"/>
    </row>
    <row r="3" ht="28" customHeight="1" spans="1:8">
      <c r="A3" s="5" t="s">
        <v>28</v>
      </c>
      <c r="B3" s="5" t="s">
        <v>29</v>
      </c>
      <c r="C3" s="5" t="s">
        <v>949</v>
      </c>
      <c r="D3" s="5" t="s">
        <v>950</v>
      </c>
      <c r="E3" s="5" t="s">
        <v>951</v>
      </c>
      <c r="F3" s="5" t="s">
        <v>952</v>
      </c>
      <c r="G3" s="5" t="s">
        <v>953</v>
      </c>
      <c r="H3" s="5" t="s">
        <v>205</v>
      </c>
    </row>
    <row r="4" ht="38" customHeight="1" spans="1:8">
      <c r="A4" s="7" t="s">
        <v>954</v>
      </c>
      <c r="B4" s="7" t="s">
        <v>955</v>
      </c>
      <c r="C4" s="7" t="s">
        <v>645</v>
      </c>
      <c r="D4" s="7" t="s">
        <v>956</v>
      </c>
      <c r="E4" s="7" t="s">
        <v>957</v>
      </c>
      <c r="F4" s="7" t="s">
        <v>958</v>
      </c>
      <c r="G4" s="7" t="s">
        <v>959</v>
      </c>
      <c r="H4" s="7" t="s">
        <v>585</v>
      </c>
    </row>
    <row r="5" ht="38" customHeight="1" spans="1:8">
      <c r="A5" s="8" t="s">
        <v>960</v>
      </c>
      <c r="B5" s="8" t="s">
        <v>961</v>
      </c>
      <c r="C5" s="8" t="s">
        <v>645</v>
      </c>
      <c r="D5" s="8" t="s">
        <v>956</v>
      </c>
      <c r="E5" s="8" t="s">
        <v>962</v>
      </c>
      <c r="F5" s="8" t="s">
        <v>963</v>
      </c>
      <c r="G5" s="8" t="s">
        <v>964</v>
      </c>
      <c r="H5" s="8" t="s">
        <v>585</v>
      </c>
    </row>
    <row r="6" ht="38" customHeight="1" spans="1:8">
      <c r="A6" s="7" t="s">
        <v>965</v>
      </c>
      <c r="B6" s="7" t="s">
        <v>966</v>
      </c>
      <c r="C6" s="7" t="s">
        <v>645</v>
      </c>
      <c r="D6" s="7" t="s">
        <v>342</v>
      </c>
      <c r="E6" s="7" t="s">
        <v>967</v>
      </c>
      <c r="F6" s="7" t="s">
        <v>968</v>
      </c>
      <c r="G6" s="7" t="s">
        <v>969</v>
      </c>
      <c r="H6" s="7" t="s">
        <v>585</v>
      </c>
    </row>
    <row r="7" ht="38" customHeight="1" spans="1:8">
      <c r="A7" s="8" t="s">
        <v>970</v>
      </c>
      <c r="B7" s="8" t="s">
        <v>971</v>
      </c>
      <c r="C7" s="8" t="s">
        <v>645</v>
      </c>
      <c r="D7" s="8" t="s">
        <v>972</v>
      </c>
      <c r="E7" s="8" t="s">
        <v>973</v>
      </c>
      <c r="F7" s="8" t="s">
        <v>62</v>
      </c>
      <c r="G7" s="8" t="s">
        <v>969</v>
      </c>
      <c r="H7" s="8" t="s">
        <v>585</v>
      </c>
    </row>
    <row r="8" ht="38" customHeight="1" spans="1:8">
      <c r="A8" s="7" t="s">
        <v>974</v>
      </c>
      <c r="B8" s="7" t="s">
        <v>975</v>
      </c>
      <c r="C8" s="7" t="s">
        <v>645</v>
      </c>
      <c r="D8" s="7" t="s">
        <v>976</v>
      </c>
      <c r="E8" s="7" t="s">
        <v>977</v>
      </c>
      <c r="F8" s="7" t="s">
        <v>62</v>
      </c>
      <c r="G8" s="7" t="s">
        <v>969</v>
      </c>
      <c r="H8" s="7" t="s">
        <v>585</v>
      </c>
    </row>
    <row r="9" ht="38" customHeight="1" spans="1:8">
      <c r="A9" s="8" t="s">
        <v>978</v>
      </c>
      <c r="B9" s="8" t="s">
        <v>979</v>
      </c>
      <c r="C9" s="8" t="s">
        <v>645</v>
      </c>
      <c r="D9" s="8" t="s">
        <v>956</v>
      </c>
      <c r="E9" s="8" t="s">
        <v>980</v>
      </c>
      <c r="F9" s="8" t="s">
        <v>62</v>
      </c>
      <c r="G9" s="8" t="s">
        <v>981</v>
      </c>
      <c r="H9" s="8" t="s">
        <v>585</v>
      </c>
    </row>
    <row r="10" ht="38" customHeight="1" spans="1:8">
      <c r="A10" s="7" t="s">
        <v>982</v>
      </c>
      <c r="B10" s="7" t="s">
        <v>983</v>
      </c>
      <c r="C10" s="7" t="s">
        <v>984</v>
      </c>
      <c r="D10" s="7" t="s">
        <v>985</v>
      </c>
      <c r="E10" s="7" t="s">
        <v>986</v>
      </c>
      <c r="F10" s="7" t="s">
        <v>987</v>
      </c>
      <c r="G10" s="7" t="s">
        <v>969</v>
      </c>
      <c r="H10" s="7" t="s">
        <v>585</v>
      </c>
    </row>
    <row r="11" ht="38" customHeight="1" spans="1:8">
      <c r="A11" s="8" t="s">
        <v>988</v>
      </c>
      <c r="B11" s="8" t="s">
        <v>989</v>
      </c>
      <c r="C11" s="8" t="s">
        <v>984</v>
      </c>
      <c r="D11" s="8" t="s">
        <v>990</v>
      </c>
      <c r="E11" s="8" t="s">
        <v>991</v>
      </c>
      <c r="F11" s="8" t="s">
        <v>62</v>
      </c>
      <c r="G11" s="8" t="s">
        <v>969</v>
      </c>
      <c r="H11" s="8" t="s">
        <v>585</v>
      </c>
    </row>
    <row r="12" ht="38" customHeight="1" spans="1:8">
      <c r="A12" s="7" t="s">
        <v>992</v>
      </c>
      <c r="B12" s="7" t="s">
        <v>993</v>
      </c>
      <c r="C12" s="7" t="s">
        <v>984</v>
      </c>
      <c r="D12" s="7" t="s">
        <v>994</v>
      </c>
      <c r="E12" s="7" t="s">
        <v>995</v>
      </c>
      <c r="F12" s="7" t="s">
        <v>62</v>
      </c>
      <c r="G12" s="7" t="s">
        <v>969</v>
      </c>
      <c r="H12" s="7" t="s">
        <v>585</v>
      </c>
    </row>
    <row r="13" ht="38" customHeight="1" spans="1:8">
      <c r="A13" s="8" t="s">
        <v>996</v>
      </c>
      <c r="B13" s="8" t="s">
        <v>997</v>
      </c>
      <c r="C13" s="8" t="s">
        <v>984</v>
      </c>
      <c r="D13" s="8" t="s">
        <v>998</v>
      </c>
      <c r="E13" s="8" t="s">
        <v>999</v>
      </c>
      <c r="F13" s="8" t="s">
        <v>62</v>
      </c>
      <c r="G13" s="8" t="s">
        <v>1000</v>
      </c>
      <c r="H13" s="8" t="s">
        <v>585</v>
      </c>
    </row>
    <row r="14" ht="38" customHeight="1" spans="1:8">
      <c r="A14" s="7" t="s">
        <v>1001</v>
      </c>
      <c r="B14" s="7" t="s">
        <v>1002</v>
      </c>
      <c r="C14" s="7" t="s">
        <v>984</v>
      </c>
      <c r="D14" s="7" t="s">
        <v>985</v>
      </c>
      <c r="E14" s="7" t="s">
        <v>1003</v>
      </c>
      <c r="F14" s="7" t="s">
        <v>62</v>
      </c>
      <c r="G14" s="7" t="s">
        <v>969</v>
      </c>
      <c r="H14" s="7" t="s">
        <v>585</v>
      </c>
    </row>
    <row r="15" ht="38" customHeight="1" spans="1:8">
      <c r="A15" s="8" t="s">
        <v>1004</v>
      </c>
      <c r="B15" s="8" t="s">
        <v>1005</v>
      </c>
      <c r="C15" s="8" t="s">
        <v>644</v>
      </c>
      <c r="D15" s="8" t="s">
        <v>956</v>
      </c>
      <c r="E15" s="8" t="s">
        <v>1006</v>
      </c>
      <c r="F15" s="8" t="s">
        <v>1007</v>
      </c>
      <c r="G15" s="8" t="s">
        <v>1008</v>
      </c>
      <c r="H15" s="8" t="s">
        <v>585</v>
      </c>
    </row>
    <row r="16" ht="38" customHeight="1" spans="1:8">
      <c r="A16" s="7" t="s">
        <v>1009</v>
      </c>
      <c r="B16" s="7" t="s">
        <v>1010</v>
      </c>
      <c r="C16" s="7" t="s">
        <v>644</v>
      </c>
      <c r="D16" s="7" t="s">
        <v>1011</v>
      </c>
      <c r="E16" s="7" t="s">
        <v>1012</v>
      </c>
      <c r="F16" s="7" t="s">
        <v>1013</v>
      </c>
      <c r="G16" s="7" t="s">
        <v>969</v>
      </c>
      <c r="H16" s="7" t="s">
        <v>585</v>
      </c>
    </row>
    <row r="17" ht="38" customHeight="1" spans="1:8">
      <c r="A17" s="8" t="s">
        <v>1014</v>
      </c>
      <c r="B17" s="8" t="s">
        <v>1015</v>
      </c>
      <c r="C17" s="8" t="s">
        <v>644</v>
      </c>
      <c r="D17" s="8" t="s">
        <v>956</v>
      </c>
      <c r="E17" s="8" t="s">
        <v>1016</v>
      </c>
      <c r="F17" s="8" t="s">
        <v>62</v>
      </c>
      <c r="G17" s="8" t="s">
        <v>1017</v>
      </c>
      <c r="H17" s="8" t="s">
        <v>585</v>
      </c>
    </row>
    <row r="18" ht="38" customHeight="1" spans="1:8">
      <c r="A18" s="7" t="s">
        <v>1018</v>
      </c>
      <c r="B18" s="7" t="s">
        <v>1019</v>
      </c>
      <c r="C18" s="7" t="s">
        <v>644</v>
      </c>
      <c r="D18" s="7" t="s">
        <v>1020</v>
      </c>
      <c r="E18" s="7" t="s">
        <v>1021</v>
      </c>
      <c r="F18" s="7" t="s">
        <v>62</v>
      </c>
      <c r="G18" s="7" t="s">
        <v>969</v>
      </c>
      <c r="H18" s="7" t="s">
        <v>585</v>
      </c>
    </row>
    <row r="19" ht="38" customHeight="1" spans="1:8">
      <c r="A19" s="8" t="s">
        <v>1022</v>
      </c>
      <c r="B19" s="8" t="s">
        <v>1023</v>
      </c>
      <c r="C19" s="8" t="s">
        <v>644</v>
      </c>
      <c r="D19" s="8" t="s">
        <v>1024</v>
      </c>
      <c r="E19" s="8" t="s">
        <v>1025</v>
      </c>
      <c r="F19" s="8" t="s">
        <v>62</v>
      </c>
      <c r="G19" s="8" t="s">
        <v>969</v>
      </c>
      <c r="H19" s="8" t="s">
        <v>585</v>
      </c>
    </row>
    <row r="20" ht="38" customHeight="1" spans="1:8">
      <c r="A20" s="7" t="s">
        <v>1026</v>
      </c>
      <c r="B20" s="7" t="s">
        <v>1027</v>
      </c>
      <c r="C20" s="7" t="s">
        <v>1028</v>
      </c>
      <c r="D20" s="7" t="s">
        <v>1029</v>
      </c>
      <c r="E20" s="7" t="s">
        <v>1030</v>
      </c>
      <c r="F20" s="7" t="s">
        <v>62</v>
      </c>
      <c r="G20" s="7" t="s">
        <v>969</v>
      </c>
      <c r="H20" s="7" t="s">
        <v>585</v>
      </c>
    </row>
    <row r="21" ht="38" customHeight="1" spans="1:8">
      <c r="A21" s="8" t="s">
        <v>1031</v>
      </c>
      <c r="B21" s="8" t="s">
        <v>1032</v>
      </c>
      <c r="C21" s="8" t="s">
        <v>1028</v>
      </c>
      <c r="D21" s="8" t="s">
        <v>1033</v>
      </c>
      <c r="E21" s="8" t="s">
        <v>1034</v>
      </c>
      <c r="F21" s="8" t="s">
        <v>62</v>
      </c>
      <c r="G21" s="8" t="s">
        <v>969</v>
      </c>
      <c r="H21" s="8" t="s">
        <v>585</v>
      </c>
    </row>
    <row r="22" ht="38" customHeight="1" spans="1:8">
      <c r="A22" s="7" t="s">
        <v>1035</v>
      </c>
      <c r="B22" s="7" t="s">
        <v>1036</v>
      </c>
      <c r="C22" s="7" t="s">
        <v>1028</v>
      </c>
      <c r="D22" s="7" t="s">
        <v>1037</v>
      </c>
      <c r="E22" s="7" t="s">
        <v>1038</v>
      </c>
      <c r="F22" s="7" t="s">
        <v>62</v>
      </c>
      <c r="G22" s="7" t="s">
        <v>969</v>
      </c>
      <c r="H22" s="7" t="s">
        <v>585</v>
      </c>
    </row>
    <row r="23" ht="38" customHeight="1" spans="1:8">
      <c r="A23" s="8" t="s">
        <v>1039</v>
      </c>
      <c r="B23" s="8" t="s">
        <v>1040</v>
      </c>
      <c r="C23" s="8" t="s">
        <v>1028</v>
      </c>
      <c r="D23" s="8" t="s">
        <v>1041</v>
      </c>
      <c r="E23" s="8" t="s">
        <v>1042</v>
      </c>
      <c r="F23" s="8" t="s">
        <v>1043</v>
      </c>
      <c r="G23" s="8" t="s">
        <v>969</v>
      </c>
      <c r="H23" s="8" t="s">
        <v>585</v>
      </c>
    </row>
    <row r="24" ht="38" customHeight="1" spans="1:8">
      <c r="A24" s="7" t="s">
        <v>1044</v>
      </c>
      <c r="B24" s="7" t="s">
        <v>1045</v>
      </c>
      <c r="C24" s="7" t="s">
        <v>1028</v>
      </c>
      <c r="D24" s="7" t="s">
        <v>342</v>
      </c>
      <c r="E24" s="7" t="s">
        <v>1046</v>
      </c>
      <c r="F24" s="7" t="s">
        <v>62</v>
      </c>
      <c r="G24" s="7" t="s">
        <v>969</v>
      </c>
      <c r="H24" s="7" t="s">
        <v>585</v>
      </c>
    </row>
    <row r="25" ht="38" customHeight="1" spans="1:8">
      <c r="A25" s="8" t="s">
        <v>1047</v>
      </c>
      <c r="B25" s="8" t="s">
        <v>1048</v>
      </c>
      <c r="C25" s="8" t="s">
        <v>31</v>
      </c>
      <c r="D25" s="8" t="s">
        <v>1049</v>
      </c>
      <c r="E25" s="8" t="s">
        <v>1050</v>
      </c>
      <c r="F25" s="8" t="s">
        <v>62</v>
      </c>
      <c r="G25" s="8" t="s">
        <v>969</v>
      </c>
      <c r="H25" s="8" t="s">
        <v>585</v>
      </c>
    </row>
    <row r="26" ht="38" customHeight="1" spans="1:8">
      <c r="A26" s="7" t="s">
        <v>1051</v>
      </c>
      <c r="B26" s="7" t="s">
        <v>1052</v>
      </c>
      <c r="C26" s="7" t="s">
        <v>31</v>
      </c>
      <c r="D26" s="7" t="s">
        <v>1049</v>
      </c>
      <c r="E26" s="7" t="s">
        <v>1053</v>
      </c>
      <c r="F26" s="7" t="s">
        <v>62</v>
      </c>
      <c r="G26" s="7" t="s">
        <v>969</v>
      </c>
      <c r="H26" s="7" t="s">
        <v>585</v>
      </c>
    </row>
    <row r="27" ht="38" customHeight="1" spans="1:8">
      <c r="A27" s="8" t="s">
        <v>1054</v>
      </c>
      <c r="B27" s="8" t="s">
        <v>1055</v>
      </c>
      <c r="C27" s="8" t="s">
        <v>31</v>
      </c>
      <c r="D27" s="8" t="s">
        <v>1049</v>
      </c>
      <c r="E27" s="8" t="s">
        <v>1056</v>
      </c>
      <c r="F27" s="8" t="s">
        <v>62</v>
      </c>
      <c r="G27" s="8" t="s">
        <v>969</v>
      </c>
      <c r="H27" s="8" t="s">
        <v>585</v>
      </c>
    </row>
    <row r="28" ht="38" customHeight="1" spans="1:8">
      <c r="A28" s="7" t="s">
        <v>1057</v>
      </c>
      <c r="B28" s="7" t="s">
        <v>1058</v>
      </c>
      <c r="C28" s="7" t="s">
        <v>31</v>
      </c>
      <c r="D28" s="7" t="s">
        <v>1049</v>
      </c>
      <c r="E28" s="7" t="s">
        <v>1059</v>
      </c>
      <c r="F28" s="7" t="s">
        <v>62</v>
      </c>
      <c r="G28" s="7" t="s">
        <v>969</v>
      </c>
      <c r="H28" s="7" t="s">
        <v>585</v>
      </c>
    </row>
    <row r="29" ht="38" customHeight="1" spans="1:8">
      <c r="A29" s="8"/>
      <c r="B29" s="8"/>
      <c r="C29" s="8"/>
      <c r="D29" s="8"/>
      <c r="E29" s="8"/>
      <c r="F29" s="8"/>
      <c r="G29" s="8"/>
      <c r="H29" s="8" t="s">
        <v>1060</v>
      </c>
    </row>
    <row r="30" ht="38" customHeight="1" spans="1:8">
      <c r="A30" s="7" t="s">
        <v>1061</v>
      </c>
      <c r="B30" s="7"/>
      <c r="C30" s="7"/>
      <c r="D30" s="7"/>
      <c r="E30" s="7"/>
      <c r="F30" s="7"/>
      <c r="G30" s="7"/>
      <c r="H30" s="7" t="s">
        <v>1060</v>
      </c>
    </row>
    <row r="31" ht="38" customHeight="1" spans="1:8">
      <c r="A31" s="8" t="s">
        <v>1062</v>
      </c>
      <c r="B31" s="8" t="s">
        <v>1063</v>
      </c>
      <c r="C31" s="8" t="s">
        <v>1064</v>
      </c>
      <c r="D31" s="8" t="s">
        <v>1065</v>
      </c>
      <c r="E31" s="8" t="s">
        <v>1066</v>
      </c>
      <c r="F31" s="8"/>
      <c r="G31" s="8" t="s">
        <v>1067</v>
      </c>
      <c r="H31" s="8" t="s">
        <v>1060</v>
      </c>
    </row>
    <row r="32" ht="38" customHeight="1" spans="1:8">
      <c r="A32" s="7" t="s">
        <v>1068</v>
      </c>
      <c r="B32" s="7" t="s">
        <v>1069</v>
      </c>
      <c r="C32" s="7" t="s">
        <v>1070</v>
      </c>
      <c r="D32" s="7" t="s">
        <v>1065</v>
      </c>
      <c r="E32" s="7" t="s">
        <v>1071</v>
      </c>
      <c r="F32" s="7"/>
      <c r="G32" s="7" t="s">
        <v>1072</v>
      </c>
      <c r="H32" s="7" t="s">
        <v>1060</v>
      </c>
    </row>
    <row r="33" ht="38" customHeight="1" spans="1:8">
      <c r="A33" s="8" t="s">
        <v>1073</v>
      </c>
      <c r="B33" s="8" t="s">
        <v>1069</v>
      </c>
      <c r="C33" s="8" t="s">
        <v>1074</v>
      </c>
      <c r="D33" s="8" t="s">
        <v>1065</v>
      </c>
      <c r="E33" s="8" t="s">
        <v>1075</v>
      </c>
      <c r="F33" s="8"/>
      <c r="G33" s="8" t="s">
        <v>1076</v>
      </c>
      <c r="H33" s="8" t="s">
        <v>1060</v>
      </c>
    </row>
    <row r="34" ht="38" customHeight="1" spans="1:8">
      <c r="A34" s="7" t="s">
        <v>1077</v>
      </c>
      <c r="B34" s="7" t="s">
        <v>1069</v>
      </c>
      <c r="C34" s="7" t="s">
        <v>1078</v>
      </c>
      <c r="D34" s="7" t="s">
        <v>1065</v>
      </c>
      <c r="E34" s="7" t="s">
        <v>1079</v>
      </c>
      <c r="F34" s="7"/>
      <c r="G34" s="7" t="s">
        <v>1080</v>
      </c>
      <c r="H34" s="7" t="s">
        <v>1060</v>
      </c>
    </row>
    <row r="35" ht="38" customHeight="1" spans="1:8">
      <c r="A35" s="8" t="s">
        <v>1081</v>
      </c>
      <c r="B35" s="8" t="s">
        <v>1082</v>
      </c>
      <c r="C35" s="8" t="s">
        <v>1083</v>
      </c>
      <c r="D35" s="8" t="s">
        <v>1065</v>
      </c>
      <c r="E35" s="8" t="s">
        <v>1084</v>
      </c>
      <c r="F35" s="8"/>
      <c r="G35" s="8" t="s">
        <v>1085</v>
      </c>
      <c r="H35" s="8" t="s">
        <v>1060</v>
      </c>
    </row>
  </sheetData>
  <mergeCells count="2">
    <mergeCell ref="A1:H1"/>
    <mergeCell ref="A2:H2"/>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showGridLines="0" workbookViewId="0">
      <pane ySplit="3" topLeftCell="A4" activePane="bottomLeft" state="frozen"/>
      <selection/>
      <selection pane="bottomLeft" activeCell="A1" sqref="A1:I1"/>
    </sheetView>
  </sheetViews>
  <sheetFormatPr defaultColWidth="9" defaultRowHeight="14.25"/>
  <cols>
    <col min="1" max="1" width="25" customWidth="1"/>
    <col min="2" max="2" width="20" customWidth="1"/>
    <col min="3" max="3" width="50" customWidth="1"/>
    <col min="4" max="4" width="11" customWidth="1"/>
    <col min="5" max="5" width="118" customWidth="1"/>
    <col min="6" max="6" width="17" customWidth="1"/>
    <col min="7" max="7" width="23" customWidth="1"/>
    <col min="8" max="8" width="34" customWidth="1"/>
    <col min="9" max="9" width="28" customWidth="1"/>
  </cols>
  <sheetData>
    <row r="1" ht="34" customHeight="1" spans="1:9">
      <c r="A1" s="1" t="s">
        <v>1086</v>
      </c>
      <c r="B1" s="1"/>
      <c r="C1" s="1"/>
      <c r="D1" s="1"/>
      <c r="E1" s="1"/>
      <c r="F1" s="1"/>
      <c r="G1" s="1"/>
      <c r="H1" s="1"/>
      <c r="I1" s="1"/>
    </row>
    <row r="2" ht="32" customHeight="1" spans="1:9">
      <c r="A2" s="2" t="s">
        <v>1087</v>
      </c>
      <c r="B2" s="2"/>
      <c r="C2" s="2"/>
      <c r="D2" s="2"/>
      <c r="E2" s="2"/>
      <c r="F2" s="2"/>
      <c r="G2" s="2"/>
      <c r="H2" s="2"/>
      <c r="I2" s="2"/>
    </row>
    <row r="3" ht="28" customHeight="1" spans="1:9">
      <c r="A3" s="5" t="s">
        <v>1088</v>
      </c>
      <c r="B3" s="5" t="s">
        <v>29</v>
      </c>
      <c r="C3" s="5" t="s">
        <v>1089</v>
      </c>
      <c r="D3" s="5" t="s">
        <v>1090</v>
      </c>
      <c r="E3" s="5" t="s">
        <v>951</v>
      </c>
      <c r="F3" s="5" t="s">
        <v>1091</v>
      </c>
      <c r="G3" s="5" t="s">
        <v>1092</v>
      </c>
      <c r="H3" s="5" t="s">
        <v>1093</v>
      </c>
      <c r="I3" s="5" t="s">
        <v>205</v>
      </c>
    </row>
    <row r="4" ht="38" customHeight="1" spans="1:9">
      <c r="A4" s="7" t="s">
        <v>1094</v>
      </c>
      <c r="B4" s="7" t="s">
        <v>1095</v>
      </c>
      <c r="C4" s="7" t="s">
        <v>1096</v>
      </c>
      <c r="D4" s="7">
        <v>2</v>
      </c>
      <c r="E4" s="7" t="s">
        <v>1097</v>
      </c>
      <c r="F4" s="7" t="s">
        <v>1098</v>
      </c>
      <c r="G4" s="7" t="s">
        <v>1099</v>
      </c>
      <c r="H4" s="7" t="s">
        <v>1100</v>
      </c>
      <c r="I4" s="7" t="s">
        <v>585</v>
      </c>
    </row>
    <row r="5" ht="38" customHeight="1" spans="1:9">
      <c r="A5" s="8" t="s">
        <v>1101</v>
      </c>
      <c r="B5" s="8" t="s">
        <v>1102</v>
      </c>
      <c r="C5" s="8" t="s">
        <v>1103</v>
      </c>
      <c r="D5" s="8">
        <v>2</v>
      </c>
      <c r="E5" s="8" t="s">
        <v>1104</v>
      </c>
      <c r="F5" s="8" t="s">
        <v>1098</v>
      </c>
      <c r="G5" s="8" t="s">
        <v>1099</v>
      </c>
      <c r="H5" s="8" t="s">
        <v>1105</v>
      </c>
      <c r="I5" s="8" t="s">
        <v>585</v>
      </c>
    </row>
    <row r="6" ht="38" customHeight="1" spans="1:9">
      <c r="A6" s="7" t="s">
        <v>1106</v>
      </c>
      <c r="B6" s="7" t="s">
        <v>1107</v>
      </c>
      <c r="C6" s="7" t="s">
        <v>1108</v>
      </c>
      <c r="D6" s="7">
        <v>2</v>
      </c>
      <c r="E6" s="7" t="s">
        <v>1109</v>
      </c>
      <c r="F6" s="7" t="s">
        <v>1098</v>
      </c>
      <c r="G6" s="7" t="s">
        <v>1099</v>
      </c>
      <c r="H6" s="7" t="s">
        <v>1110</v>
      </c>
      <c r="I6" s="7" t="s">
        <v>585</v>
      </c>
    </row>
    <row r="7" ht="38" customHeight="1" spans="1:9">
      <c r="A7" s="8" t="s">
        <v>1111</v>
      </c>
      <c r="B7" s="8" t="s">
        <v>1112</v>
      </c>
      <c r="C7" s="8" t="s">
        <v>1113</v>
      </c>
      <c r="D7" s="8">
        <v>2</v>
      </c>
      <c r="E7" s="8" t="s">
        <v>1114</v>
      </c>
      <c r="F7" s="8" t="s">
        <v>1098</v>
      </c>
      <c r="G7" s="8" t="s">
        <v>1099</v>
      </c>
      <c r="H7" s="8" t="s">
        <v>1115</v>
      </c>
      <c r="I7" s="8" t="s">
        <v>585</v>
      </c>
    </row>
    <row r="8" ht="38" customHeight="1" spans="1:9">
      <c r="A8" s="7" t="s">
        <v>1116</v>
      </c>
      <c r="B8" s="7" t="s">
        <v>1117</v>
      </c>
      <c r="C8" s="7" t="s">
        <v>1118</v>
      </c>
      <c r="D8" s="7">
        <v>2</v>
      </c>
      <c r="E8" s="7" t="s">
        <v>1119</v>
      </c>
      <c r="F8" s="7" t="s">
        <v>1098</v>
      </c>
      <c r="G8" s="7" t="s">
        <v>1099</v>
      </c>
      <c r="H8" s="7" t="s">
        <v>1120</v>
      </c>
      <c r="I8" s="7" t="s">
        <v>585</v>
      </c>
    </row>
    <row r="9" ht="38" customHeight="1" spans="1:9">
      <c r="A9" s="8" t="s">
        <v>1121</v>
      </c>
      <c r="B9" s="8" t="s">
        <v>1122</v>
      </c>
      <c r="C9" s="8" t="s">
        <v>1123</v>
      </c>
      <c r="D9" s="8">
        <v>2</v>
      </c>
      <c r="E9" s="8" t="s">
        <v>1124</v>
      </c>
      <c r="F9" s="8" t="s">
        <v>1098</v>
      </c>
      <c r="G9" s="8" t="s">
        <v>1099</v>
      </c>
      <c r="H9" s="8" t="s">
        <v>1125</v>
      </c>
      <c r="I9" s="8" t="s">
        <v>585</v>
      </c>
    </row>
    <row r="10" ht="38" customHeight="1" spans="1:9">
      <c r="A10" s="7" t="s">
        <v>1126</v>
      </c>
      <c r="B10" s="7" t="s">
        <v>1127</v>
      </c>
      <c r="C10" s="7" t="s">
        <v>1128</v>
      </c>
      <c r="D10" s="7">
        <v>2</v>
      </c>
      <c r="E10" s="7" t="s">
        <v>1129</v>
      </c>
      <c r="F10" s="7" t="s">
        <v>1098</v>
      </c>
      <c r="G10" s="7" t="s">
        <v>1099</v>
      </c>
      <c r="H10" s="7" t="s">
        <v>1120</v>
      </c>
      <c r="I10" s="7" t="s">
        <v>585</v>
      </c>
    </row>
    <row r="11" ht="38" customHeight="1" spans="1:9">
      <c r="A11" s="8" t="s">
        <v>1130</v>
      </c>
      <c r="B11" s="8" t="s">
        <v>1131</v>
      </c>
      <c r="C11" s="8" t="s">
        <v>1132</v>
      </c>
      <c r="D11" s="8">
        <v>2</v>
      </c>
      <c r="E11" s="8" t="s">
        <v>1133</v>
      </c>
      <c r="F11" s="8" t="s">
        <v>1098</v>
      </c>
      <c r="G11" s="8" t="s">
        <v>1099</v>
      </c>
      <c r="H11" s="8" t="s">
        <v>1134</v>
      </c>
      <c r="I11" s="8" t="s">
        <v>585</v>
      </c>
    </row>
    <row r="12" ht="38" customHeight="1" spans="1:9">
      <c r="A12" s="7" t="s">
        <v>1135</v>
      </c>
      <c r="B12" s="7" t="s">
        <v>1136</v>
      </c>
      <c r="C12" s="7" t="s">
        <v>1137</v>
      </c>
      <c r="D12" s="7">
        <v>2</v>
      </c>
      <c r="E12" s="7" t="s">
        <v>1138</v>
      </c>
      <c r="F12" s="7" t="s">
        <v>1098</v>
      </c>
      <c r="G12" s="7" t="s">
        <v>1099</v>
      </c>
      <c r="H12" s="7" t="s">
        <v>1139</v>
      </c>
      <c r="I12" s="7" t="s">
        <v>585</v>
      </c>
    </row>
    <row r="13" ht="38" customHeight="1" spans="1:9">
      <c r="A13" s="8" t="s">
        <v>1140</v>
      </c>
      <c r="B13" s="8" t="s">
        <v>1141</v>
      </c>
      <c r="C13" s="8" t="s">
        <v>1142</v>
      </c>
      <c r="D13" s="8">
        <v>2</v>
      </c>
      <c r="E13" s="8" t="s">
        <v>1143</v>
      </c>
      <c r="F13" s="8" t="s">
        <v>1098</v>
      </c>
      <c r="G13" s="8" t="s">
        <v>1099</v>
      </c>
      <c r="H13" s="8" t="s">
        <v>1144</v>
      </c>
      <c r="I13" s="8" t="s">
        <v>585</v>
      </c>
    </row>
    <row r="14" ht="62" customHeight="1" spans="1:9">
      <c r="A14" s="7" t="s">
        <v>1145</v>
      </c>
      <c r="B14" s="7" t="s">
        <v>1146</v>
      </c>
      <c r="C14" s="7" t="s">
        <v>1147</v>
      </c>
      <c r="D14" s="7">
        <v>5</v>
      </c>
      <c r="E14" s="7" t="s">
        <v>1148</v>
      </c>
      <c r="F14" s="7" t="s">
        <v>1098</v>
      </c>
      <c r="G14" s="7" t="s">
        <v>1099</v>
      </c>
      <c r="H14" s="7" t="s">
        <v>1149</v>
      </c>
      <c r="I14" s="7" t="s">
        <v>585</v>
      </c>
    </row>
  </sheetData>
  <mergeCells count="2">
    <mergeCell ref="A1:I1"/>
    <mergeCell ref="A2:I2"/>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0"/>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8" customWidth="1"/>
    <col min="2" max="2" width="135" customWidth="1"/>
    <col min="3" max="3" width="55" customWidth="1"/>
  </cols>
  <sheetData>
    <row r="1" ht="34" customHeight="1" spans="1:3">
      <c r="A1" s="1" t="s">
        <v>1150</v>
      </c>
      <c r="B1" s="1"/>
      <c r="C1" s="1"/>
    </row>
    <row r="2" ht="32" customHeight="1" spans="1:3">
      <c r="A2" s="2" t="s">
        <v>1151</v>
      </c>
      <c r="B2" s="2"/>
      <c r="C2" s="2"/>
    </row>
    <row r="3" ht="28" customHeight="1" spans="1:3">
      <c r="A3" s="5" t="s">
        <v>1152</v>
      </c>
      <c r="B3" s="5" t="s">
        <v>1153</v>
      </c>
      <c r="C3" s="5" t="s">
        <v>526</v>
      </c>
    </row>
    <row r="4" ht="38" customHeight="1" spans="1:3">
      <c r="A4" s="7" t="s">
        <v>1154</v>
      </c>
      <c r="B4" s="7" t="s">
        <v>1155</v>
      </c>
      <c r="C4" s="7" t="s">
        <v>1156</v>
      </c>
    </row>
    <row r="5" ht="38" customHeight="1" spans="1:3">
      <c r="A5" s="8" t="s">
        <v>1157</v>
      </c>
      <c r="B5" s="8" t="s">
        <v>1158</v>
      </c>
      <c r="C5" s="8" t="s">
        <v>1159</v>
      </c>
    </row>
    <row r="6" ht="38" customHeight="1" spans="1:3">
      <c r="A6" s="7"/>
      <c r="B6" s="7"/>
      <c r="C6" s="7"/>
    </row>
    <row r="7" ht="38" customHeight="1" spans="1:3">
      <c r="A7" s="8" t="s">
        <v>1160</v>
      </c>
      <c r="B7" s="8"/>
      <c r="C7" s="8"/>
    </row>
    <row r="8" ht="38" customHeight="1" spans="1:3">
      <c r="A8" s="7" t="s">
        <v>1161</v>
      </c>
      <c r="B8" s="7" t="s">
        <v>1162</v>
      </c>
      <c r="C8" s="7" t="s">
        <v>1163</v>
      </c>
    </row>
    <row r="9" ht="38" customHeight="1" spans="1:3">
      <c r="A9" s="8" t="s">
        <v>1164</v>
      </c>
      <c r="B9" s="8" t="s">
        <v>1165</v>
      </c>
      <c r="C9" s="8" t="s">
        <v>1166</v>
      </c>
    </row>
    <row r="10" ht="38" customHeight="1" spans="1:3">
      <c r="A10" s="7" t="s">
        <v>1167</v>
      </c>
      <c r="B10" s="7" t="s">
        <v>1168</v>
      </c>
      <c r="C10" s="7" t="s">
        <v>1169</v>
      </c>
    </row>
    <row r="11" ht="38" customHeight="1" spans="1:3">
      <c r="A11" s="8" t="s">
        <v>1170</v>
      </c>
      <c r="B11" s="8" t="s">
        <v>1171</v>
      </c>
      <c r="C11" s="8" t="s">
        <v>1172</v>
      </c>
    </row>
    <row r="12" ht="38" customHeight="1" spans="1:3">
      <c r="A12" s="7" t="s">
        <v>1173</v>
      </c>
      <c r="B12" s="7" t="s">
        <v>1174</v>
      </c>
      <c r="C12" s="7" t="s">
        <v>1175</v>
      </c>
    </row>
    <row r="13" ht="38" customHeight="1" spans="1:3">
      <c r="A13" s="8" t="s">
        <v>1176</v>
      </c>
      <c r="B13" s="8" t="s">
        <v>1177</v>
      </c>
      <c r="C13" s="8" t="s">
        <v>1178</v>
      </c>
    </row>
    <row r="14" ht="38" customHeight="1" spans="1:3">
      <c r="A14" s="7" t="s">
        <v>1179</v>
      </c>
      <c r="B14" s="7" t="s">
        <v>1180</v>
      </c>
      <c r="C14" s="7" t="s">
        <v>1181</v>
      </c>
    </row>
    <row r="15" ht="38" customHeight="1" spans="1:3">
      <c r="A15" s="8" t="s">
        <v>1182</v>
      </c>
      <c r="B15" s="8" t="s">
        <v>1183</v>
      </c>
      <c r="C15" s="8" t="s">
        <v>1184</v>
      </c>
    </row>
    <row r="16" ht="38" customHeight="1" spans="1:3">
      <c r="A16" s="7" t="s">
        <v>1185</v>
      </c>
      <c r="B16" s="7" t="s">
        <v>1186</v>
      </c>
      <c r="C16" s="7" t="s">
        <v>1187</v>
      </c>
    </row>
    <row r="17" ht="38" customHeight="1" spans="1:3">
      <c r="A17" s="8" t="s">
        <v>1188</v>
      </c>
      <c r="B17" s="8" t="s">
        <v>1189</v>
      </c>
      <c r="C17" s="8" t="s">
        <v>1190</v>
      </c>
    </row>
    <row r="18" ht="38" customHeight="1" spans="1:3">
      <c r="A18" s="7" t="s">
        <v>1191</v>
      </c>
      <c r="B18" s="7" t="s">
        <v>1192</v>
      </c>
      <c r="C18" s="7" t="s">
        <v>1193</v>
      </c>
    </row>
    <row r="19" ht="38" customHeight="1" spans="1:3">
      <c r="A19" s="8"/>
      <c r="B19" s="8"/>
      <c r="C19" s="8"/>
    </row>
    <row r="20" ht="38" customHeight="1" spans="1:3">
      <c r="A20" s="7" t="s">
        <v>1194</v>
      </c>
      <c r="B20" s="7"/>
      <c r="C20" s="7"/>
    </row>
    <row r="21" ht="38" customHeight="1" spans="1:3">
      <c r="A21" s="8" t="s">
        <v>1195</v>
      </c>
      <c r="B21" s="8" t="s">
        <v>1196</v>
      </c>
      <c r="C21" s="8" t="s">
        <v>1197</v>
      </c>
    </row>
    <row r="22" ht="38" customHeight="1" spans="1:3">
      <c r="A22" s="7" t="s">
        <v>1198</v>
      </c>
      <c r="B22" s="7" t="s">
        <v>1199</v>
      </c>
      <c r="C22" s="7" t="s">
        <v>1200</v>
      </c>
    </row>
    <row r="23" ht="38" customHeight="1" spans="1:3">
      <c r="A23" s="8" t="s">
        <v>1201</v>
      </c>
      <c r="B23" s="8" t="s">
        <v>1202</v>
      </c>
      <c r="C23" s="8" t="s">
        <v>1203</v>
      </c>
    </row>
    <row r="24" ht="62" customHeight="1" spans="1:3">
      <c r="A24" s="7" t="s">
        <v>1204</v>
      </c>
      <c r="B24" s="7" t="s">
        <v>1205</v>
      </c>
      <c r="C24" s="7" t="s">
        <v>1206</v>
      </c>
    </row>
    <row r="25" ht="38" customHeight="1" spans="1:3">
      <c r="A25" s="8" t="s">
        <v>1207</v>
      </c>
      <c r="B25" s="8" t="s">
        <v>1164</v>
      </c>
      <c r="C25" s="8" t="s">
        <v>1208</v>
      </c>
    </row>
    <row r="26" ht="38" customHeight="1" spans="1:3">
      <c r="A26" s="7" t="s">
        <v>1209</v>
      </c>
      <c r="B26" s="7" t="s">
        <v>1210</v>
      </c>
      <c r="C26" s="7" t="s">
        <v>1211</v>
      </c>
    </row>
    <row r="27" ht="38" customHeight="1" spans="1:3">
      <c r="A27" s="8" t="s">
        <v>1212</v>
      </c>
      <c r="B27" s="8" t="s">
        <v>1213</v>
      </c>
      <c r="C27" s="8" t="s">
        <v>1214</v>
      </c>
    </row>
    <row r="28" ht="38" customHeight="1" spans="1:3">
      <c r="A28" s="7" t="s">
        <v>1215</v>
      </c>
      <c r="B28" s="7" t="s">
        <v>1216</v>
      </c>
      <c r="C28" s="7" t="s">
        <v>1217</v>
      </c>
    </row>
    <row r="29" ht="38" customHeight="1" spans="1:3">
      <c r="A29" s="8" t="s">
        <v>1218</v>
      </c>
      <c r="B29" s="8" t="s">
        <v>1219</v>
      </c>
      <c r="C29" s="8" t="s">
        <v>1220</v>
      </c>
    </row>
    <row r="30" ht="38" customHeight="1" spans="1:3">
      <c r="A30" s="7" t="s">
        <v>1221</v>
      </c>
      <c r="B30" s="7" t="s">
        <v>1222</v>
      </c>
      <c r="C30" s="7" t="s">
        <v>1223</v>
      </c>
    </row>
    <row r="31" ht="38" customHeight="1" spans="1:3">
      <c r="A31" s="8" t="s">
        <v>1224</v>
      </c>
      <c r="B31" s="8" t="s">
        <v>1225</v>
      </c>
      <c r="C31" s="8" t="s">
        <v>1226</v>
      </c>
    </row>
    <row r="32" ht="38" customHeight="1" spans="1:3">
      <c r="A32" s="7" t="s">
        <v>1227</v>
      </c>
      <c r="B32" s="7" t="s">
        <v>1228</v>
      </c>
      <c r="C32" s="7" t="s">
        <v>1197</v>
      </c>
    </row>
    <row r="33" ht="38" customHeight="1" spans="1:3">
      <c r="A33" s="8" t="s">
        <v>1229</v>
      </c>
      <c r="B33" s="8" t="s">
        <v>1230</v>
      </c>
      <c r="C33" s="8" t="s">
        <v>1231</v>
      </c>
    </row>
    <row r="34" ht="38" customHeight="1" spans="1:3">
      <c r="A34" s="7" t="s">
        <v>1232</v>
      </c>
      <c r="B34" s="7" t="s">
        <v>1233</v>
      </c>
      <c r="C34" s="7" t="s">
        <v>1234</v>
      </c>
    </row>
    <row r="35" ht="38" customHeight="1" spans="1:3">
      <c r="A35" s="8"/>
      <c r="B35" s="8"/>
      <c r="C35" s="8"/>
    </row>
    <row r="36" ht="38" customHeight="1" spans="1:3">
      <c r="A36" s="7" t="s">
        <v>1235</v>
      </c>
      <c r="B36" s="7"/>
      <c r="C36" s="7"/>
    </row>
    <row r="37" ht="38" customHeight="1" spans="1:3">
      <c r="A37" s="8" t="s">
        <v>1236</v>
      </c>
      <c r="B37" s="8" t="s">
        <v>1237</v>
      </c>
      <c r="C37" s="8" t="s">
        <v>1238</v>
      </c>
    </row>
    <row r="38" ht="38" customHeight="1" spans="1:3">
      <c r="A38" s="7" t="s">
        <v>1239</v>
      </c>
      <c r="B38" s="7" t="s">
        <v>1240</v>
      </c>
      <c r="C38" s="7" t="s">
        <v>1238</v>
      </c>
    </row>
    <row r="39" ht="38" customHeight="1" spans="1:3">
      <c r="A39" s="8" t="s">
        <v>1241</v>
      </c>
      <c r="B39" s="8" t="s">
        <v>1242</v>
      </c>
      <c r="C39" s="8" t="s">
        <v>1238</v>
      </c>
    </row>
    <row r="40" ht="38" customHeight="1" spans="1:3">
      <c r="A40" s="7" t="s">
        <v>1243</v>
      </c>
      <c r="B40" s="7" t="s">
        <v>1244</v>
      </c>
      <c r="C40" s="7" t="s">
        <v>1238</v>
      </c>
    </row>
    <row r="41" ht="38" customHeight="1" spans="1:3">
      <c r="A41" s="8" t="s">
        <v>1245</v>
      </c>
      <c r="B41" s="8" t="s">
        <v>1246</v>
      </c>
      <c r="C41" s="8" t="s">
        <v>1238</v>
      </c>
    </row>
    <row r="42" ht="38" customHeight="1" spans="1:3">
      <c r="A42" s="7" t="s">
        <v>1247</v>
      </c>
      <c r="B42" s="7" t="s">
        <v>1248</v>
      </c>
      <c r="C42" s="7" t="s">
        <v>1238</v>
      </c>
    </row>
    <row r="43" ht="38" customHeight="1" spans="1:3">
      <c r="A43" s="8" t="s">
        <v>1249</v>
      </c>
      <c r="B43" s="8" t="s">
        <v>1250</v>
      </c>
      <c r="C43" s="8" t="s">
        <v>1238</v>
      </c>
    </row>
    <row r="44" ht="38" customHeight="1" spans="1:3">
      <c r="A44" s="7"/>
      <c r="B44" s="7"/>
      <c r="C44" s="7"/>
    </row>
    <row r="45" ht="38" customHeight="1" spans="1:3">
      <c r="A45" s="8" t="s">
        <v>1251</v>
      </c>
      <c r="B45" s="8"/>
      <c r="C45" s="8"/>
    </row>
    <row r="46" ht="38" customHeight="1" spans="1:3">
      <c r="A46" s="7" t="s">
        <v>1252</v>
      </c>
      <c r="B46" s="7" t="s">
        <v>1253</v>
      </c>
      <c r="C46" s="7" t="s">
        <v>1254</v>
      </c>
    </row>
    <row r="47" ht="38" customHeight="1" spans="1:3">
      <c r="A47" s="8" t="s">
        <v>1255</v>
      </c>
      <c r="B47" s="8" t="s">
        <v>1256</v>
      </c>
      <c r="C47" s="8" t="s">
        <v>1254</v>
      </c>
    </row>
    <row r="48" ht="38" customHeight="1" spans="1:3">
      <c r="A48" s="7" t="s">
        <v>1257</v>
      </c>
      <c r="B48" s="7" t="s">
        <v>1258</v>
      </c>
      <c r="C48" s="7" t="s">
        <v>1254</v>
      </c>
    </row>
    <row r="49" ht="38" customHeight="1" spans="1:3">
      <c r="A49" s="8" t="s">
        <v>1259</v>
      </c>
      <c r="B49" s="8" t="s">
        <v>1260</v>
      </c>
      <c r="C49" s="8" t="s">
        <v>1254</v>
      </c>
    </row>
    <row r="50" ht="38" customHeight="1" spans="1:3">
      <c r="A50" s="7" t="s">
        <v>1261</v>
      </c>
      <c r="B50" s="7" t="s">
        <v>1262</v>
      </c>
      <c r="C50" s="7" t="s">
        <v>1263</v>
      </c>
    </row>
    <row r="51" ht="38" customHeight="1" spans="1:3">
      <c r="A51" s="8" t="s">
        <v>1264</v>
      </c>
      <c r="B51" s="8" t="s">
        <v>1265</v>
      </c>
      <c r="C51" s="8" t="s">
        <v>1266</v>
      </c>
    </row>
    <row r="52" ht="38" customHeight="1" spans="1:3">
      <c r="A52" s="7" t="s">
        <v>1267</v>
      </c>
      <c r="B52" s="7" t="s">
        <v>1268</v>
      </c>
      <c r="C52" s="7" t="s">
        <v>1269</v>
      </c>
    </row>
    <row r="53" ht="38" customHeight="1" spans="1:3">
      <c r="A53" s="8" t="s">
        <v>1270</v>
      </c>
      <c r="B53" s="8" t="s">
        <v>1271</v>
      </c>
      <c r="C53" s="8" t="s">
        <v>1272</v>
      </c>
    </row>
    <row r="54" ht="38" customHeight="1" spans="1:3">
      <c r="A54" s="7" t="s">
        <v>1040</v>
      </c>
      <c r="B54" s="7" t="s">
        <v>1273</v>
      </c>
      <c r="C54" s="7" t="s">
        <v>1274</v>
      </c>
    </row>
    <row r="55" ht="38" customHeight="1" spans="1:3">
      <c r="A55" s="8"/>
      <c r="B55" s="8"/>
      <c r="C55" s="8"/>
    </row>
    <row r="56" ht="38" customHeight="1" spans="1:3">
      <c r="A56" s="7" t="s">
        <v>1275</v>
      </c>
      <c r="B56" s="7"/>
      <c r="C56" s="7"/>
    </row>
    <row r="57" ht="38" customHeight="1" spans="1:3">
      <c r="A57" s="8" t="s">
        <v>1276</v>
      </c>
      <c r="B57" s="8" t="s">
        <v>1277</v>
      </c>
      <c r="C57" s="8" t="s">
        <v>1278</v>
      </c>
    </row>
    <row r="58" ht="38" customHeight="1" spans="1:3">
      <c r="A58" s="7" t="s">
        <v>1279</v>
      </c>
      <c r="B58" s="7" t="s">
        <v>1280</v>
      </c>
      <c r="C58" s="7" t="s">
        <v>1278</v>
      </c>
    </row>
    <row r="59" ht="38" customHeight="1" spans="1:3">
      <c r="A59" s="8" t="s">
        <v>1281</v>
      </c>
      <c r="B59" s="8" t="s">
        <v>1282</v>
      </c>
      <c r="C59" s="8" t="s">
        <v>1278</v>
      </c>
    </row>
    <row r="60" ht="38" customHeight="1" spans="1:3">
      <c r="A60" s="7" t="s">
        <v>1283</v>
      </c>
      <c r="B60" s="7" t="s">
        <v>1284</v>
      </c>
      <c r="C60" s="7" t="s">
        <v>1278</v>
      </c>
    </row>
  </sheetData>
  <mergeCells count="2">
    <mergeCell ref="A1:C1"/>
    <mergeCell ref="A2:C2"/>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7"/>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8" customWidth="1"/>
    <col min="2" max="2" width="140" customWidth="1"/>
    <col min="3" max="3" width="58" customWidth="1"/>
  </cols>
  <sheetData>
    <row r="1" ht="34" customHeight="1" spans="1:3">
      <c r="A1" s="1" t="s">
        <v>1285</v>
      </c>
      <c r="B1" s="1"/>
      <c r="C1" s="1"/>
    </row>
    <row r="2" ht="32" customHeight="1" spans="1:3">
      <c r="A2" s="2" t="s">
        <v>1286</v>
      </c>
      <c r="B2" s="2"/>
      <c r="C2" s="2"/>
    </row>
    <row r="3" ht="28" customHeight="1" spans="1:3">
      <c r="A3" s="5" t="s">
        <v>1152</v>
      </c>
      <c r="B3" s="5" t="s">
        <v>1153</v>
      </c>
      <c r="C3" s="5" t="s">
        <v>526</v>
      </c>
    </row>
    <row r="4" ht="38" customHeight="1" spans="1:3">
      <c r="A4" s="7" t="s">
        <v>1287</v>
      </c>
      <c r="B4" s="7" t="s">
        <v>1288</v>
      </c>
      <c r="C4" s="7" t="s">
        <v>1289</v>
      </c>
    </row>
    <row r="5" ht="38" customHeight="1" spans="1:3">
      <c r="A5" s="8" t="s">
        <v>1290</v>
      </c>
      <c r="B5" s="8" t="s">
        <v>1291</v>
      </c>
      <c r="C5" s="8" t="s">
        <v>1292</v>
      </c>
    </row>
    <row r="6" ht="38" customHeight="1" spans="1:3">
      <c r="A6" s="7" t="s">
        <v>1293</v>
      </c>
      <c r="B6" s="7" t="s">
        <v>1294</v>
      </c>
      <c r="C6" s="7" t="s">
        <v>1295</v>
      </c>
    </row>
    <row r="7" ht="38" customHeight="1" spans="1:3">
      <c r="A7" s="8"/>
      <c r="B7" s="8"/>
      <c r="C7" s="8"/>
    </row>
    <row r="8" ht="38" customHeight="1" spans="1:3">
      <c r="A8" s="7" t="s">
        <v>1296</v>
      </c>
      <c r="B8" s="7"/>
      <c r="C8" s="7"/>
    </row>
    <row r="9" ht="38" customHeight="1" spans="1:3">
      <c r="A9" s="8" t="s">
        <v>1297</v>
      </c>
      <c r="B9" s="8" t="s">
        <v>1298</v>
      </c>
      <c r="C9" s="8" t="s">
        <v>1299</v>
      </c>
    </row>
    <row r="10" ht="38" customHeight="1" spans="1:3">
      <c r="A10" s="7" t="s">
        <v>1300</v>
      </c>
      <c r="B10" s="7" t="s">
        <v>1301</v>
      </c>
      <c r="C10" s="7" t="s">
        <v>1299</v>
      </c>
    </row>
    <row r="11" ht="38" customHeight="1" spans="1:3">
      <c r="A11" s="8" t="s">
        <v>1302</v>
      </c>
      <c r="B11" s="8" t="s">
        <v>1303</v>
      </c>
      <c r="C11" s="8" t="s">
        <v>1299</v>
      </c>
    </row>
    <row r="12" ht="38" customHeight="1" spans="1:3">
      <c r="A12" s="7" t="s">
        <v>1304</v>
      </c>
      <c r="B12" s="7" t="s">
        <v>1305</v>
      </c>
      <c r="C12" s="7" t="s">
        <v>1299</v>
      </c>
    </row>
    <row r="13" ht="38" customHeight="1" spans="1:3">
      <c r="A13" s="8" t="s">
        <v>1306</v>
      </c>
      <c r="B13" s="8" t="s">
        <v>1307</v>
      </c>
      <c r="C13" s="8" t="s">
        <v>1299</v>
      </c>
    </row>
    <row r="14" ht="38" customHeight="1" spans="1:3">
      <c r="A14" s="7" t="s">
        <v>1308</v>
      </c>
      <c r="B14" s="7" t="s">
        <v>1309</v>
      </c>
      <c r="C14" s="7" t="s">
        <v>1299</v>
      </c>
    </row>
    <row r="15" ht="38" customHeight="1" spans="1:3">
      <c r="A15" s="8"/>
      <c r="B15" s="8"/>
      <c r="C15" s="8"/>
    </row>
    <row r="16" ht="38" customHeight="1" spans="1:3">
      <c r="A16" s="7" t="s">
        <v>1310</v>
      </c>
      <c r="B16" s="7"/>
      <c r="C16" s="7"/>
    </row>
    <row r="17" ht="38" customHeight="1" spans="1:3">
      <c r="A17" s="8" t="s">
        <v>1311</v>
      </c>
      <c r="B17" s="8" t="s">
        <v>1312</v>
      </c>
      <c r="C17" s="8" t="s">
        <v>1313</v>
      </c>
    </row>
    <row r="18" ht="38" customHeight="1" spans="1:3">
      <c r="A18" s="7" t="s">
        <v>1314</v>
      </c>
      <c r="B18" s="7" t="s">
        <v>1315</v>
      </c>
      <c r="C18" s="7" t="s">
        <v>1313</v>
      </c>
    </row>
    <row r="19" ht="38" customHeight="1" spans="1:3">
      <c r="A19" s="8" t="s">
        <v>1316</v>
      </c>
      <c r="B19" s="8" t="s">
        <v>1317</v>
      </c>
      <c r="C19" s="8" t="s">
        <v>1313</v>
      </c>
    </row>
    <row r="20" ht="38" customHeight="1" spans="1:3">
      <c r="A20" s="7" t="s">
        <v>1318</v>
      </c>
      <c r="B20" s="7" t="s">
        <v>1319</v>
      </c>
      <c r="C20" s="7" t="s">
        <v>1313</v>
      </c>
    </row>
    <row r="21" ht="38" customHeight="1" spans="1:3">
      <c r="A21" s="8" t="s">
        <v>1320</v>
      </c>
      <c r="B21" s="8" t="s">
        <v>1321</v>
      </c>
      <c r="C21" s="8" t="s">
        <v>1313</v>
      </c>
    </row>
    <row r="22" ht="38" customHeight="1" spans="1:3">
      <c r="A22" s="7" t="s">
        <v>1322</v>
      </c>
      <c r="B22" s="7" t="s">
        <v>1323</v>
      </c>
      <c r="C22" s="7" t="s">
        <v>1313</v>
      </c>
    </row>
    <row r="23" ht="38" customHeight="1" spans="1:3">
      <c r="A23" s="8"/>
      <c r="B23" s="8"/>
      <c r="C23" s="8"/>
    </row>
    <row r="24" ht="38" customHeight="1" spans="1:3">
      <c r="A24" s="7" t="s">
        <v>1324</v>
      </c>
      <c r="B24" s="7"/>
      <c r="C24" s="7"/>
    </row>
    <row r="25" ht="38" customHeight="1" spans="1:3">
      <c r="A25" s="8" t="s">
        <v>1325</v>
      </c>
      <c r="B25" s="8" t="s">
        <v>1326</v>
      </c>
      <c r="C25" s="8" t="s">
        <v>1327</v>
      </c>
    </row>
    <row r="26" ht="38" customHeight="1" spans="1:3">
      <c r="A26" s="7" t="s">
        <v>1328</v>
      </c>
      <c r="B26" s="7" t="s">
        <v>1329</v>
      </c>
      <c r="C26" s="7" t="s">
        <v>1330</v>
      </c>
    </row>
    <row r="27" ht="38" customHeight="1" spans="1:3">
      <c r="A27" s="8" t="s">
        <v>1331</v>
      </c>
      <c r="B27" s="8" t="s">
        <v>1332</v>
      </c>
      <c r="C27" s="8" t="s">
        <v>1333</v>
      </c>
    </row>
    <row r="28" ht="38" customHeight="1" spans="1:3">
      <c r="A28" s="7" t="s">
        <v>1334</v>
      </c>
      <c r="B28" s="7" t="s">
        <v>1335</v>
      </c>
      <c r="C28" s="7" t="s">
        <v>1336</v>
      </c>
    </row>
    <row r="29" ht="38" customHeight="1" spans="1:3">
      <c r="A29" s="8" t="s">
        <v>1337</v>
      </c>
      <c r="B29" s="8" t="s">
        <v>1338</v>
      </c>
      <c r="C29" s="8" t="s">
        <v>1339</v>
      </c>
    </row>
    <row r="30" ht="38" customHeight="1" spans="1:3">
      <c r="A30" s="7"/>
      <c r="B30" s="7"/>
      <c r="C30" s="7"/>
    </row>
    <row r="31" ht="38" customHeight="1" spans="1:3">
      <c r="A31" s="8" t="s">
        <v>1340</v>
      </c>
      <c r="B31" s="8"/>
      <c r="C31" s="8"/>
    </row>
    <row r="32" ht="38" customHeight="1" spans="1:3">
      <c r="A32" s="7" t="s">
        <v>1341</v>
      </c>
      <c r="B32" s="7" t="s">
        <v>1342</v>
      </c>
      <c r="C32" s="7" t="s">
        <v>1343</v>
      </c>
    </row>
    <row r="33" ht="38" customHeight="1" spans="1:3">
      <c r="A33" s="8" t="s">
        <v>1344</v>
      </c>
      <c r="B33" s="8" t="s">
        <v>1345</v>
      </c>
      <c r="C33" s="8" t="s">
        <v>1343</v>
      </c>
    </row>
    <row r="34" ht="38" customHeight="1" spans="1:3">
      <c r="A34" s="7" t="s">
        <v>1346</v>
      </c>
      <c r="B34" s="7" t="s">
        <v>1347</v>
      </c>
      <c r="C34" s="7" t="s">
        <v>1343</v>
      </c>
    </row>
    <row r="35" ht="38" customHeight="1" spans="1:3">
      <c r="A35" s="8" t="s">
        <v>1348</v>
      </c>
      <c r="B35" s="8" t="s">
        <v>1349</v>
      </c>
      <c r="C35" s="8" t="s">
        <v>1343</v>
      </c>
    </row>
    <row r="36" ht="38" customHeight="1" spans="1:3">
      <c r="A36" s="7" t="s">
        <v>1350</v>
      </c>
      <c r="B36" s="7" t="s">
        <v>1351</v>
      </c>
      <c r="C36" s="7" t="s">
        <v>1343</v>
      </c>
    </row>
    <row r="37" ht="38" customHeight="1" spans="1:3">
      <c r="A37" s="8" t="s">
        <v>1352</v>
      </c>
      <c r="B37" s="8" t="s">
        <v>1353</v>
      </c>
      <c r="C37" s="8" t="s">
        <v>1343</v>
      </c>
    </row>
    <row r="38" ht="38" customHeight="1" spans="1:3">
      <c r="A38" s="7" t="s">
        <v>1354</v>
      </c>
      <c r="B38" s="7" t="s">
        <v>1355</v>
      </c>
      <c r="C38" s="7" t="s">
        <v>1343</v>
      </c>
    </row>
    <row r="39" ht="38" customHeight="1" spans="1:3">
      <c r="A39" s="8" t="s">
        <v>1356</v>
      </c>
      <c r="B39" s="8" t="s">
        <v>1357</v>
      </c>
      <c r="C39" s="8" t="s">
        <v>1343</v>
      </c>
    </row>
    <row r="40" ht="38" customHeight="1" spans="1:3">
      <c r="A40" s="7" t="s">
        <v>1358</v>
      </c>
      <c r="B40" s="7" t="s">
        <v>1359</v>
      </c>
      <c r="C40" s="7" t="s">
        <v>1343</v>
      </c>
    </row>
    <row r="41" ht="38" customHeight="1" spans="1:3">
      <c r="A41" s="8" t="s">
        <v>1360</v>
      </c>
      <c r="B41" s="8" t="s">
        <v>1361</v>
      </c>
      <c r="C41" s="8" t="s">
        <v>1343</v>
      </c>
    </row>
    <row r="42" ht="38" customHeight="1" spans="1:3">
      <c r="A42" s="7" t="s">
        <v>1362</v>
      </c>
      <c r="B42" s="7" t="s">
        <v>1363</v>
      </c>
      <c r="C42" s="7" t="s">
        <v>1343</v>
      </c>
    </row>
    <row r="43" ht="38" customHeight="1" spans="1:3">
      <c r="A43" s="8" t="s">
        <v>1364</v>
      </c>
      <c r="B43" s="8" t="s">
        <v>1365</v>
      </c>
      <c r="C43" s="8" t="s">
        <v>1343</v>
      </c>
    </row>
    <row r="44" ht="38" customHeight="1" spans="1:3">
      <c r="A44" s="7"/>
      <c r="B44" s="7"/>
      <c r="C44" s="7"/>
    </row>
    <row r="45" ht="38" customHeight="1" spans="1:3">
      <c r="A45" s="8" t="s">
        <v>1366</v>
      </c>
      <c r="B45" s="8"/>
      <c r="C45" s="8"/>
    </row>
    <row r="46" ht="38" customHeight="1" spans="1:3">
      <c r="A46" s="7" t="s">
        <v>1367</v>
      </c>
      <c r="B46" s="7" t="s">
        <v>1368</v>
      </c>
      <c r="C46" s="7" t="s">
        <v>1369</v>
      </c>
    </row>
    <row r="47" ht="38" customHeight="1" spans="1:3">
      <c r="A47" s="8" t="s">
        <v>1370</v>
      </c>
      <c r="B47" s="8" t="s">
        <v>1371</v>
      </c>
      <c r="C47" s="8" t="s">
        <v>1369</v>
      </c>
    </row>
    <row r="48" ht="38" customHeight="1" spans="1:3">
      <c r="A48" s="7" t="s">
        <v>1372</v>
      </c>
      <c r="B48" s="7" t="s">
        <v>1373</v>
      </c>
      <c r="C48" s="7" t="s">
        <v>1369</v>
      </c>
    </row>
    <row r="49" ht="38" customHeight="1" spans="1:3">
      <c r="A49" s="8" t="s">
        <v>1374</v>
      </c>
      <c r="B49" s="8" t="s">
        <v>1375</v>
      </c>
      <c r="C49" s="8" t="s">
        <v>1369</v>
      </c>
    </row>
    <row r="50" ht="38" customHeight="1" spans="1:3">
      <c r="A50" s="7" t="s">
        <v>1376</v>
      </c>
      <c r="B50" s="7" t="s">
        <v>1377</v>
      </c>
      <c r="C50" s="7" t="s">
        <v>1369</v>
      </c>
    </row>
    <row r="51" ht="38" customHeight="1" spans="1:3">
      <c r="A51" s="8" t="s">
        <v>1378</v>
      </c>
      <c r="B51" s="8" t="s">
        <v>1379</v>
      </c>
      <c r="C51" s="8" t="s">
        <v>1369</v>
      </c>
    </row>
    <row r="52" ht="38" customHeight="1" spans="1:3">
      <c r="A52" s="7" t="s">
        <v>1380</v>
      </c>
      <c r="B52" s="7" t="s">
        <v>1381</v>
      </c>
      <c r="C52" s="7" t="s">
        <v>1369</v>
      </c>
    </row>
    <row r="53" ht="38" customHeight="1" spans="1:3">
      <c r="A53" s="8" t="s">
        <v>1382</v>
      </c>
      <c r="B53" s="8" t="s">
        <v>1383</v>
      </c>
      <c r="C53" s="8" t="s">
        <v>1369</v>
      </c>
    </row>
    <row r="54" ht="38" customHeight="1" spans="1:3">
      <c r="A54" s="7" t="s">
        <v>1384</v>
      </c>
      <c r="B54" s="7" t="s">
        <v>1385</v>
      </c>
      <c r="C54" s="7" t="s">
        <v>1369</v>
      </c>
    </row>
    <row r="55" ht="38" customHeight="1" spans="1:3">
      <c r="A55" s="8" t="s">
        <v>1386</v>
      </c>
      <c r="B55" s="8" t="s">
        <v>1387</v>
      </c>
      <c r="C55" s="8" t="s">
        <v>1369</v>
      </c>
    </row>
    <row r="56" ht="38" customHeight="1" spans="1:3">
      <c r="A56" s="7" t="s">
        <v>1388</v>
      </c>
      <c r="B56" s="7" t="s">
        <v>1389</v>
      </c>
      <c r="C56" s="7" t="s">
        <v>1369</v>
      </c>
    </row>
    <row r="57" ht="38" customHeight="1" spans="1:3">
      <c r="A57" s="8" t="s">
        <v>1390</v>
      </c>
      <c r="B57" s="8" t="s">
        <v>1391</v>
      </c>
      <c r="C57" s="8" t="s">
        <v>1369</v>
      </c>
    </row>
    <row r="58" ht="38" customHeight="1" spans="1:3">
      <c r="A58" s="7" t="s">
        <v>1392</v>
      </c>
      <c r="B58" s="7" t="s">
        <v>1393</v>
      </c>
      <c r="C58" s="7" t="s">
        <v>1369</v>
      </c>
    </row>
    <row r="59" ht="38" customHeight="1" spans="1:3">
      <c r="A59" s="8" t="s">
        <v>1394</v>
      </c>
      <c r="B59" s="8" t="s">
        <v>1395</v>
      </c>
      <c r="C59" s="8" t="s">
        <v>1369</v>
      </c>
    </row>
    <row r="60" ht="38" customHeight="1" spans="1:3">
      <c r="A60" s="7" t="s">
        <v>1396</v>
      </c>
      <c r="B60" s="7" t="s">
        <v>1397</v>
      </c>
      <c r="C60" s="7" t="s">
        <v>1369</v>
      </c>
    </row>
    <row r="61" ht="38" customHeight="1" spans="1:3">
      <c r="A61" s="8" t="s">
        <v>1398</v>
      </c>
      <c r="B61" s="8" t="s">
        <v>1399</v>
      </c>
      <c r="C61" s="8" t="s">
        <v>1369</v>
      </c>
    </row>
    <row r="62" ht="38" customHeight="1" spans="1:3">
      <c r="A62" s="7" t="s">
        <v>1400</v>
      </c>
      <c r="B62" s="7" t="s">
        <v>1401</v>
      </c>
      <c r="C62" s="7" t="s">
        <v>1369</v>
      </c>
    </row>
    <row r="63" ht="38" customHeight="1" spans="1:3">
      <c r="A63" s="8" t="s">
        <v>1402</v>
      </c>
      <c r="B63" s="8" t="s">
        <v>1403</v>
      </c>
      <c r="C63" s="8" t="s">
        <v>1369</v>
      </c>
    </row>
    <row r="64" ht="38" customHeight="1" spans="1:3">
      <c r="A64" s="7"/>
      <c r="B64" s="7"/>
      <c r="C64" s="7"/>
    </row>
    <row r="65" ht="38" customHeight="1" spans="1:3">
      <c r="A65" s="8" t="s">
        <v>1404</v>
      </c>
      <c r="B65" s="8"/>
      <c r="C65" s="8"/>
    </row>
    <row r="66" ht="38" customHeight="1" spans="1:3">
      <c r="A66" s="7" t="s">
        <v>1405</v>
      </c>
      <c r="B66" s="7" t="s">
        <v>1406</v>
      </c>
      <c r="C66" s="7" t="s">
        <v>1407</v>
      </c>
    </row>
    <row r="67" ht="38" customHeight="1" spans="1:3">
      <c r="A67" s="8" t="s">
        <v>1408</v>
      </c>
      <c r="B67" s="8" t="s">
        <v>1409</v>
      </c>
      <c r="C67" s="8" t="s">
        <v>1407</v>
      </c>
    </row>
    <row r="68" ht="38" customHeight="1" spans="1:3">
      <c r="A68" s="7" t="s">
        <v>1410</v>
      </c>
      <c r="B68" s="7" t="s">
        <v>1411</v>
      </c>
      <c r="C68" s="7" t="s">
        <v>1407</v>
      </c>
    </row>
    <row r="69" ht="38" customHeight="1" spans="1:3">
      <c r="A69" s="8" t="s">
        <v>1412</v>
      </c>
      <c r="B69" s="8" t="s">
        <v>1413</v>
      </c>
      <c r="C69" s="8" t="s">
        <v>1407</v>
      </c>
    </row>
    <row r="70" ht="38" customHeight="1" spans="1:3">
      <c r="A70" s="7"/>
      <c r="B70" s="7"/>
      <c r="C70" s="7"/>
    </row>
    <row r="71" ht="38" customHeight="1" spans="1:3">
      <c r="A71" s="8" t="s">
        <v>1414</v>
      </c>
      <c r="B71" s="8"/>
      <c r="C71" s="8"/>
    </row>
    <row r="72" ht="38" customHeight="1" spans="1:3">
      <c r="A72" s="7" t="s">
        <v>1415</v>
      </c>
      <c r="B72" s="7" t="s">
        <v>1416</v>
      </c>
      <c r="C72" s="7" t="s">
        <v>1417</v>
      </c>
    </row>
    <row r="73" ht="38" customHeight="1" spans="1:3">
      <c r="A73" s="8" t="s">
        <v>1418</v>
      </c>
      <c r="B73" s="8" t="s">
        <v>1419</v>
      </c>
      <c r="C73" s="8" t="s">
        <v>1417</v>
      </c>
    </row>
    <row r="74" ht="38" customHeight="1" spans="1:3">
      <c r="A74" s="7" t="s">
        <v>1420</v>
      </c>
      <c r="B74" s="7" t="s">
        <v>1421</v>
      </c>
      <c r="C74" s="7" t="s">
        <v>1417</v>
      </c>
    </row>
    <row r="75" ht="38" customHeight="1" spans="1:3">
      <c r="A75" s="8" t="s">
        <v>1422</v>
      </c>
      <c r="B75" s="8" t="s">
        <v>1423</v>
      </c>
      <c r="C75" s="8" t="s">
        <v>1417</v>
      </c>
    </row>
    <row r="76" ht="38" customHeight="1" spans="1:3">
      <c r="A76" s="7" t="s">
        <v>1424</v>
      </c>
      <c r="B76" s="7" t="s">
        <v>1425</v>
      </c>
      <c r="C76" s="7" t="s">
        <v>1417</v>
      </c>
    </row>
    <row r="77" ht="38" customHeight="1" spans="1:3">
      <c r="A77" s="8" t="s">
        <v>1426</v>
      </c>
      <c r="B77" s="8" t="s">
        <v>1427</v>
      </c>
      <c r="C77" s="8" t="s">
        <v>1417</v>
      </c>
    </row>
  </sheetData>
  <mergeCells count="2">
    <mergeCell ref="A1:C1"/>
    <mergeCell ref="A2:C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24"/>
  <sheetViews>
    <sheetView showGridLines="0" workbookViewId="0">
      <pane ySplit="3" topLeftCell="A4" activePane="bottomLeft" state="frozen"/>
      <selection/>
      <selection pane="bottomLeft" activeCell="A1" sqref="A1:Q1"/>
    </sheetView>
  </sheetViews>
  <sheetFormatPr defaultColWidth="9" defaultRowHeight="14.25"/>
  <cols>
    <col min="1" max="1" width="12" customWidth="1"/>
    <col min="2" max="2" width="16" customWidth="1"/>
    <col min="3" max="4" width="15" customWidth="1"/>
    <col min="5" max="5" width="12" customWidth="1"/>
    <col min="6" max="12" width="13" customWidth="1"/>
    <col min="13" max="14" width="18" customWidth="1"/>
    <col min="15" max="17" width="13" customWidth="1"/>
  </cols>
  <sheetData>
    <row r="1" ht="34" customHeight="1" spans="1:17">
      <c r="A1" s="1" t="s">
        <v>1428</v>
      </c>
      <c r="B1" s="1"/>
      <c r="C1" s="1"/>
      <c r="D1" s="1"/>
      <c r="E1" s="1"/>
      <c r="F1" s="1"/>
      <c r="G1" s="1"/>
      <c r="H1" s="1"/>
      <c r="I1" s="1"/>
      <c r="J1" s="1"/>
      <c r="K1" s="1"/>
      <c r="L1" s="1"/>
      <c r="M1" s="1"/>
      <c r="N1" s="1"/>
      <c r="O1" s="1"/>
      <c r="P1" s="1"/>
      <c r="Q1" s="1"/>
    </row>
    <row r="2" ht="32" customHeight="1" spans="1:17">
      <c r="A2" s="2" t="s">
        <v>1429</v>
      </c>
      <c r="B2" s="2"/>
      <c r="C2" s="2"/>
      <c r="D2" s="2"/>
      <c r="E2" s="2"/>
      <c r="F2" s="2"/>
      <c r="G2" s="2"/>
      <c r="H2" s="2"/>
      <c r="I2" s="2"/>
      <c r="J2" s="2"/>
      <c r="K2" s="2"/>
      <c r="L2" s="2"/>
      <c r="M2" s="2"/>
      <c r="N2" s="2"/>
      <c r="O2" s="2"/>
      <c r="P2" s="2"/>
      <c r="Q2" s="2"/>
    </row>
    <row r="3" ht="28" customHeight="1" spans="1:17">
      <c r="A3" s="5" t="s">
        <v>1430</v>
      </c>
      <c r="B3" s="5" t="s">
        <v>1431</v>
      </c>
      <c r="C3" s="5" t="s">
        <v>1432</v>
      </c>
      <c r="D3" s="5" t="s">
        <v>1433</v>
      </c>
      <c r="E3" s="5" t="s">
        <v>1434</v>
      </c>
      <c r="F3" s="5" t="s">
        <v>1435</v>
      </c>
      <c r="G3" s="5" t="s">
        <v>1436</v>
      </c>
      <c r="H3" s="5" t="s">
        <v>1437</v>
      </c>
      <c r="I3" s="5" t="s">
        <v>1438</v>
      </c>
      <c r="J3" s="5" t="s">
        <v>1439</v>
      </c>
      <c r="K3" s="5" t="s">
        <v>1440</v>
      </c>
      <c r="L3" s="5" t="s">
        <v>1441</v>
      </c>
      <c r="M3" s="5" t="s">
        <v>1442</v>
      </c>
      <c r="N3" s="5" t="s">
        <v>1443</v>
      </c>
      <c r="O3" s="5" t="s">
        <v>1444</v>
      </c>
      <c r="P3" s="5" t="s">
        <v>1445</v>
      </c>
      <c r="Q3" s="5" t="s">
        <v>1446</v>
      </c>
    </row>
    <row r="4" ht="38" customHeight="1" spans="1:17">
      <c r="A4" s="7">
        <v>1</v>
      </c>
      <c r="B4" s="7" t="s">
        <v>1447</v>
      </c>
      <c r="C4" s="7"/>
      <c r="D4" s="7">
        <v>3</v>
      </c>
      <c r="E4" s="7">
        <v>0</v>
      </c>
      <c r="F4" s="7" t="s">
        <v>1448</v>
      </c>
      <c r="G4" s="7" t="s">
        <v>1448</v>
      </c>
      <c r="H4" s="7" t="s">
        <v>1448</v>
      </c>
      <c r="I4" s="7">
        <v>0</v>
      </c>
      <c r="J4" s="7" t="s">
        <v>1448</v>
      </c>
      <c r="K4" s="7" t="s">
        <v>1448</v>
      </c>
      <c r="L4" s="7" t="s">
        <v>1448</v>
      </c>
      <c r="M4" s="7">
        <v>10</v>
      </c>
      <c r="N4" s="7">
        <v>0</v>
      </c>
      <c r="O4" s="7">
        <v>0.8</v>
      </c>
      <c r="P4" s="7">
        <v>0.2</v>
      </c>
      <c r="Q4" s="7">
        <v>0</v>
      </c>
    </row>
    <row r="5" ht="38" customHeight="1" spans="1:17">
      <c r="A5" s="8">
        <v>2</v>
      </c>
      <c r="B5" s="8" t="s">
        <v>1447</v>
      </c>
      <c r="C5" s="8"/>
      <c r="D5" s="8">
        <v>4</v>
      </c>
      <c r="E5" s="8">
        <v>1</v>
      </c>
      <c r="F5" s="8" t="s">
        <v>1449</v>
      </c>
      <c r="G5" s="8" t="s">
        <v>1450</v>
      </c>
      <c r="H5" s="8" t="s">
        <v>1451</v>
      </c>
      <c r="I5" s="8">
        <v>0</v>
      </c>
      <c r="J5" s="8" t="s">
        <v>1448</v>
      </c>
      <c r="K5" s="8" t="s">
        <v>1448</v>
      </c>
      <c r="L5" s="8" t="s">
        <v>1448</v>
      </c>
      <c r="M5" s="8">
        <v>20</v>
      </c>
      <c r="N5" s="8">
        <v>0</v>
      </c>
      <c r="O5" s="8">
        <v>0.8</v>
      </c>
      <c r="P5" s="8">
        <v>0.2</v>
      </c>
      <c r="Q5" s="8">
        <v>0</v>
      </c>
    </row>
    <row r="6" ht="38" customHeight="1" spans="1:17">
      <c r="A6" s="7">
        <v>3</v>
      </c>
      <c r="B6" s="7" t="s">
        <v>1447</v>
      </c>
      <c r="C6" s="7"/>
      <c r="D6" s="7">
        <v>5</v>
      </c>
      <c r="E6" s="7">
        <v>2</v>
      </c>
      <c r="F6" s="7" t="s">
        <v>1452</v>
      </c>
      <c r="G6" s="7" t="s">
        <v>1453</v>
      </c>
      <c r="H6" s="7" t="s">
        <v>1449</v>
      </c>
      <c r="I6" s="7">
        <v>0</v>
      </c>
      <c r="J6" s="7" t="s">
        <v>1448</v>
      </c>
      <c r="K6" s="7" t="s">
        <v>1448</v>
      </c>
      <c r="L6" s="7" t="s">
        <v>1448</v>
      </c>
      <c r="M6" s="7">
        <v>30</v>
      </c>
      <c r="N6" s="7">
        <v>0</v>
      </c>
      <c r="O6" s="7">
        <v>0.8</v>
      </c>
      <c r="P6" s="7">
        <v>0.2</v>
      </c>
      <c r="Q6" s="7">
        <v>0</v>
      </c>
    </row>
    <row r="7" ht="38" customHeight="1" spans="1:17">
      <c r="A7" s="8">
        <v>4</v>
      </c>
      <c r="B7" s="8" t="s">
        <v>1447</v>
      </c>
      <c r="C7" s="8" t="s">
        <v>86</v>
      </c>
      <c r="D7" s="8">
        <v>5</v>
      </c>
      <c r="E7" s="8">
        <v>3</v>
      </c>
      <c r="F7" s="8" t="s">
        <v>1454</v>
      </c>
      <c r="G7" s="8" t="s">
        <v>1455</v>
      </c>
      <c r="H7" s="8" t="s">
        <v>1456</v>
      </c>
      <c r="I7" s="8">
        <v>0</v>
      </c>
      <c r="J7" s="8" t="s">
        <v>1448</v>
      </c>
      <c r="K7" s="8" t="s">
        <v>1448</v>
      </c>
      <c r="L7" s="8" t="s">
        <v>1448</v>
      </c>
      <c r="M7" s="8">
        <v>40</v>
      </c>
      <c r="N7" s="8">
        <v>0</v>
      </c>
      <c r="O7" s="8">
        <v>0.8</v>
      </c>
      <c r="P7" s="8">
        <v>0.2</v>
      </c>
      <c r="Q7" s="8">
        <v>0</v>
      </c>
    </row>
    <row r="8" ht="38" customHeight="1" spans="1:17">
      <c r="A8" s="7">
        <v>5</v>
      </c>
      <c r="B8" s="7" t="s">
        <v>1457</v>
      </c>
      <c r="C8" s="7"/>
      <c r="D8" s="7">
        <v>3</v>
      </c>
      <c r="E8" s="7">
        <v>4</v>
      </c>
      <c r="F8" s="7" t="s">
        <v>1458</v>
      </c>
      <c r="G8" s="7" t="s">
        <v>1459</v>
      </c>
      <c r="H8" s="7" t="s">
        <v>1460</v>
      </c>
      <c r="I8" s="7">
        <v>0</v>
      </c>
      <c r="J8" s="7" t="s">
        <v>1448</v>
      </c>
      <c r="K8" s="7" t="s">
        <v>1448</v>
      </c>
      <c r="L8" s="7" t="s">
        <v>1448</v>
      </c>
      <c r="M8" s="7">
        <v>50</v>
      </c>
      <c r="N8" s="7">
        <v>100</v>
      </c>
      <c r="O8" s="7">
        <v>0.5</v>
      </c>
      <c r="P8" s="7">
        <v>0.5</v>
      </c>
      <c r="Q8" s="7">
        <v>0</v>
      </c>
    </row>
    <row r="9" ht="38" customHeight="1" spans="1:17">
      <c r="A9" s="8">
        <v>6</v>
      </c>
      <c r="B9" s="8" t="s">
        <v>1461</v>
      </c>
      <c r="C9" s="8"/>
      <c r="D9" s="8">
        <v>0</v>
      </c>
      <c r="E9" s="8">
        <v>4</v>
      </c>
      <c r="F9" s="8" t="s">
        <v>1458</v>
      </c>
      <c r="G9" s="8" t="s">
        <v>1459</v>
      </c>
      <c r="H9" s="8" t="s">
        <v>1460</v>
      </c>
      <c r="I9" s="8">
        <v>1</v>
      </c>
      <c r="J9" s="8" t="s">
        <v>1462</v>
      </c>
      <c r="K9" s="8" t="s">
        <v>1463</v>
      </c>
      <c r="L9" s="8" t="s">
        <v>1464</v>
      </c>
      <c r="M9" s="8">
        <v>60</v>
      </c>
      <c r="N9" s="8">
        <v>0</v>
      </c>
      <c r="O9" s="8">
        <v>0.5</v>
      </c>
      <c r="P9" s="8">
        <v>0.5</v>
      </c>
      <c r="Q9" s="8">
        <v>0</v>
      </c>
    </row>
    <row r="10" ht="38" customHeight="1" spans="1:17">
      <c r="A10" s="7">
        <v>7</v>
      </c>
      <c r="B10" s="7" t="s">
        <v>1447</v>
      </c>
      <c r="C10" s="7"/>
      <c r="D10" s="7">
        <v>6</v>
      </c>
      <c r="E10" s="7">
        <v>4</v>
      </c>
      <c r="F10" s="7" t="s">
        <v>1458</v>
      </c>
      <c r="G10" s="7" t="s">
        <v>1459</v>
      </c>
      <c r="H10" s="7" t="s">
        <v>1460</v>
      </c>
      <c r="I10" s="7">
        <v>1</v>
      </c>
      <c r="J10" s="7" t="s">
        <v>1462</v>
      </c>
      <c r="K10" s="7" t="s">
        <v>1463</v>
      </c>
      <c r="L10" s="7" t="s">
        <v>1464</v>
      </c>
      <c r="M10" s="7">
        <v>70</v>
      </c>
      <c r="N10" s="7">
        <v>0</v>
      </c>
      <c r="O10" s="7">
        <v>0.5</v>
      </c>
      <c r="P10" s="7">
        <v>0.5</v>
      </c>
      <c r="Q10" s="7">
        <v>0</v>
      </c>
    </row>
    <row r="11" ht="38" customHeight="1" spans="1:17">
      <c r="A11" s="8">
        <v>8</v>
      </c>
      <c r="B11" s="8" t="s">
        <v>1447</v>
      </c>
      <c r="C11" s="8" t="s">
        <v>86</v>
      </c>
      <c r="D11" s="8">
        <v>6</v>
      </c>
      <c r="E11" s="8">
        <v>5</v>
      </c>
      <c r="F11" s="8" t="s">
        <v>1465</v>
      </c>
      <c r="G11" s="8" t="s">
        <v>1466</v>
      </c>
      <c r="H11" s="8" t="s">
        <v>1467</v>
      </c>
      <c r="I11" s="8">
        <v>1</v>
      </c>
      <c r="J11" s="8" t="s">
        <v>1462</v>
      </c>
      <c r="K11" s="8" t="s">
        <v>1463</v>
      </c>
      <c r="L11" s="8" t="s">
        <v>1464</v>
      </c>
      <c r="M11" s="8">
        <v>80</v>
      </c>
      <c r="N11" s="8">
        <v>0</v>
      </c>
      <c r="O11" s="8">
        <v>0.5</v>
      </c>
      <c r="P11" s="8">
        <v>0.5</v>
      </c>
      <c r="Q11" s="8">
        <v>0</v>
      </c>
    </row>
    <row r="12" ht="38" customHeight="1" spans="1:17">
      <c r="A12" s="7">
        <v>9</v>
      </c>
      <c r="B12" s="7" t="s">
        <v>1447</v>
      </c>
      <c r="C12" s="7"/>
      <c r="D12" s="7">
        <v>6</v>
      </c>
      <c r="E12" s="7">
        <v>6</v>
      </c>
      <c r="F12" s="7" t="s">
        <v>1468</v>
      </c>
      <c r="G12" s="7" t="s">
        <v>1469</v>
      </c>
      <c r="H12" s="7" t="s">
        <v>1470</v>
      </c>
      <c r="I12" s="7">
        <v>1</v>
      </c>
      <c r="J12" s="7" t="s">
        <v>1462</v>
      </c>
      <c r="K12" s="7" t="s">
        <v>1463</v>
      </c>
      <c r="L12" s="7" t="s">
        <v>1464</v>
      </c>
      <c r="M12" s="7">
        <v>90</v>
      </c>
      <c r="N12" s="7">
        <v>0</v>
      </c>
      <c r="O12" s="7">
        <v>0.5</v>
      </c>
      <c r="P12" s="7">
        <v>0.5</v>
      </c>
      <c r="Q12" s="7">
        <v>0</v>
      </c>
    </row>
    <row r="13" ht="38" customHeight="1" spans="1:17">
      <c r="A13" s="8">
        <v>10</v>
      </c>
      <c r="B13" s="8" t="s">
        <v>1457</v>
      </c>
      <c r="C13" s="8"/>
      <c r="D13" s="8">
        <v>3</v>
      </c>
      <c r="E13" s="8">
        <v>7</v>
      </c>
      <c r="F13" s="8" t="s">
        <v>1471</v>
      </c>
      <c r="G13" s="8" t="s">
        <v>1472</v>
      </c>
      <c r="H13" s="8" t="s">
        <v>1473</v>
      </c>
      <c r="I13" s="8">
        <v>1</v>
      </c>
      <c r="J13" s="8" t="s">
        <v>1462</v>
      </c>
      <c r="K13" s="8" t="s">
        <v>1463</v>
      </c>
      <c r="L13" s="8" t="s">
        <v>1464</v>
      </c>
      <c r="M13" s="8">
        <v>100</v>
      </c>
      <c r="N13" s="8">
        <v>150</v>
      </c>
      <c r="O13" s="8">
        <v>0.25</v>
      </c>
      <c r="P13" s="8">
        <v>0.6</v>
      </c>
      <c r="Q13" s="8">
        <v>0.15</v>
      </c>
    </row>
    <row r="14" ht="38" customHeight="1" spans="1:17">
      <c r="A14" s="7">
        <v>11</v>
      </c>
      <c r="B14" s="7" t="s">
        <v>1447</v>
      </c>
      <c r="C14" s="7"/>
      <c r="D14" s="7">
        <v>8</v>
      </c>
      <c r="E14" s="7">
        <v>7</v>
      </c>
      <c r="F14" s="7" t="s">
        <v>1471</v>
      </c>
      <c r="G14" s="7" t="s">
        <v>1472</v>
      </c>
      <c r="H14" s="7" t="s">
        <v>1473</v>
      </c>
      <c r="I14" s="7">
        <v>2</v>
      </c>
      <c r="J14" s="7" t="s">
        <v>1474</v>
      </c>
      <c r="K14" s="7" t="s">
        <v>1475</v>
      </c>
      <c r="L14" s="7" t="s">
        <v>1476</v>
      </c>
      <c r="M14" s="7">
        <v>110</v>
      </c>
      <c r="N14" s="7">
        <v>0</v>
      </c>
      <c r="O14" s="7">
        <v>0.25</v>
      </c>
      <c r="P14" s="7">
        <v>0.6</v>
      </c>
      <c r="Q14" s="7">
        <v>0.15</v>
      </c>
    </row>
    <row r="15" ht="38" customHeight="1" spans="1:17">
      <c r="A15" s="8">
        <v>12</v>
      </c>
      <c r="B15" s="8" t="s">
        <v>1461</v>
      </c>
      <c r="C15" s="8" t="s">
        <v>86</v>
      </c>
      <c r="D15" s="8">
        <v>0</v>
      </c>
      <c r="E15" s="8">
        <v>8</v>
      </c>
      <c r="F15" s="8" t="s">
        <v>1477</v>
      </c>
      <c r="G15" s="8" t="s">
        <v>1478</v>
      </c>
      <c r="H15" s="8" t="s">
        <v>1479</v>
      </c>
      <c r="I15" s="8">
        <v>2</v>
      </c>
      <c r="J15" s="8" t="s">
        <v>1474</v>
      </c>
      <c r="K15" s="8" t="s">
        <v>1475</v>
      </c>
      <c r="L15" s="8" t="s">
        <v>1476</v>
      </c>
      <c r="M15" s="8">
        <v>120</v>
      </c>
      <c r="N15" s="8">
        <v>0</v>
      </c>
      <c r="O15" s="8">
        <v>0.25</v>
      </c>
      <c r="P15" s="8">
        <v>0.6</v>
      </c>
      <c r="Q15" s="8">
        <v>0.15</v>
      </c>
    </row>
    <row r="16" ht="38" customHeight="1" spans="1:17">
      <c r="A16" s="7">
        <v>13</v>
      </c>
      <c r="B16" s="7" t="s">
        <v>1447</v>
      </c>
      <c r="C16" s="7"/>
      <c r="D16" s="7">
        <v>8</v>
      </c>
      <c r="E16" s="7">
        <v>8</v>
      </c>
      <c r="F16" s="7" t="s">
        <v>1477</v>
      </c>
      <c r="G16" s="7" t="s">
        <v>1478</v>
      </c>
      <c r="H16" s="7" t="s">
        <v>1479</v>
      </c>
      <c r="I16" s="7">
        <v>2</v>
      </c>
      <c r="J16" s="7" t="s">
        <v>1474</v>
      </c>
      <c r="K16" s="7" t="s">
        <v>1475</v>
      </c>
      <c r="L16" s="7" t="s">
        <v>1476</v>
      </c>
      <c r="M16" s="7">
        <v>130</v>
      </c>
      <c r="N16" s="7">
        <v>0</v>
      </c>
      <c r="O16" s="7">
        <v>0.25</v>
      </c>
      <c r="P16" s="7">
        <v>0.6</v>
      </c>
      <c r="Q16" s="7">
        <v>0.15</v>
      </c>
    </row>
    <row r="17" ht="38" customHeight="1" spans="1:17">
      <c r="A17" s="8">
        <v>14</v>
      </c>
      <c r="B17" s="8" t="s">
        <v>1447</v>
      </c>
      <c r="C17" s="8"/>
      <c r="D17" s="8">
        <v>12</v>
      </c>
      <c r="E17" s="8">
        <v>9</v>
      </c>
      <c r="F17" s="8" t="s">
        <v>1480</v>
      </c>
      <c r="G17" s="8" t="s">
        <v>1481</v>
      </c>
      <c r="H17" s="8" t="s">
        <v>1482</v>
      </c>
      <c r="I17" s="8">
        <v>2</v>
      </c>
      <c r="J17" s="8" t="s">
        <v>1474</v>
      </c>
      <c r="K17" s="8" t="s">
        <v>1475</v>
      </c>
      <c r="L17" s="8" t="s">
        <v>1476</v>
      </c>
      <c r="M17" s="8">
        <v>140</v>
      </c>
      <c r="N17" s="8">
        <v>0</v>
      </c>
      <c r="O17" s="8">
        <v>0.25</v>
      </c>
      <c r="P17" s="8">
        <v>0.6</v>
      </c>
      <c r="Q17" s="8">
        <v>0.15</v>
      </c>
    </row>
    <row r="18" ht="38" customHeight="1" spans="1:17">
      <c r="A18" s="7">
        <v>15</v>
      </c>
      <c r="B18" s="7" t="s">
        <v>1457</v>
      </c>
      <c r="C18" s="7"/>
      <c r="D18" s="7">
        <v>3</v>
      </c>
      <c r="E18" s="7">
        <v>10</v>
      </c>
      <c r="F18" s="7" t="s">
        <v>1483</v>
      </c>
      <c r="G18" s="7" t="s">
        <v>1484</v>
      </c>
      <c r="H18" s="7" t="s">
        <v>1485</v>
      </c>
      <c r="I18" s="7">
        <v>2</v>
      </c>
      <c r="J18" s="7" t="s">
        <v>1474</v>
      </c>
      <c r="K18" s="7" t="s">
        <v>1475</v>
      </c>
      <c r="L18" s="7" t="s">
        <v>1476</v>
      </c>
      <c r="M18" s="7">
        <v>150</v>
      </c>
      <c r="N18" s="7">
        <v>250</v>
      </c>
      <c r="O18" s="7">
        <v>0.15</v>
      </c>
      <c r="P18" s="7">
        <v>0.6</v>
      </c>
      <c r="Q18" s="7">
        <v>0.25</v>
      </c>
    </row>
    <row r="19" ht="38" customHeight="1" spans="1:17">
      <c r="A19" s="8">
        <v>16</v>
      </c>
      <c r="B19" s="8" t="s">
        <v>1447</v>
      </c>
      <c r="C19" s="8" t="s">
        <v>86</v>
      </c>
      <c r="D19" s="8">
        <v>12</v>
      </c>
      <c r="E19" s="8">
        <v>10</v>
      </c>
      <c r="F19" s="8" t="s">
        <v>1483</v>
      </c>
      <c r="G19" s="8" t="s">
        <v>1484</v>
      </c>
      <c r="H19" s="8" t="s">
        <v>1485</v>
      </c>
      <c r="I19" s="8">
        <v>3</v>
      </c>
      <c r="J19" s="8" t="s">
        <v>1486</v>
      </c>
      <c r="K19" s="8" t="s">
        <v>1487</v>
      </c>
      <c r="L19" s="8" t="s">
        <v>1488</v>
      </c>
      <c r="M19" s="8">
        <v>160</v>
      </c>
      <c r="N19" s="8">
        <v>0</v>
      </c>
      <c r="O19" s="8">
        <v>0.15</v>
      </c>
      <c r="P19" s="8">
        <v>0.6</v>
      </c>
      <c r="Q19" s="8">
        <v>0.25</v>
      </c>
    </row>
    <row r="20" ht="38" customHeight="1" spans="1:17">
      <c r="A20" s="7">
        <v>17</v>
      </c>
      <c r="B20" s="7" t="s">
        <v>1447</v>
      </c>
      <c r="C20" s="7"/>
      <c r="D20" s="7">
        <v>12</v>
      </c>
      <c r="E20" s="7">
        <v>11</v>
      </c>
      <c r="F20" s="7" t="s">
        <v>1489</v>
      </c>
      <c r="G20" s="7" t="s">
        <v>1490</v>
      </c>
      <c r="H20" s="7" t="s">
        <v>1472</v>
      </c>
      <c r="I20" s="7">
        <v>3</v>
      </c>
      <c r="J20" s="7" t="s">
        <v>1486</v>
      </c>
      <c r="K20" s="7" t="s">
        <v>1487</v>
      </c>
      <c r="L20" s="7" t="s">
        <v>1488</v>
      </c>
      <c r="M20" s="7">
        <v>170</v>
      </c>
      <c r="N20" s="7">
        <v>0</v>
      </c>
      <c r="O20" s="7">
        <v>0.15</v>
      </c>
      <c r="P20" s="7">
        <v>0.6</v>
      </c>
      <c r="Q20" s="7">
        <v>0.25</v>
      </c>
    </row>
    <row r="21" ht="38" customHeight="1" spans="1:17">
      <c r="A21" s="8">
        <v>18</v>
      </c>
      <c r="B21" s="8" t="s">
        <v>1461</v>
      </c>
      <c r="C21" s="8"/>
      <c r="D21" s="8">
        <v>0</v>
      </c>
      <c r="E21" s="8">
        <v>12</v>
      </c>
      <c r="F21" s="8" t="s">
        <v>1491</v>
      </c>
      <c r="G21" s="8" t="s">
        <v>1492</v>
      </c>
      <c r="H21" s="8" t="s">
        <v>1493</v>
      </c>
      <c r="I21" s="8">
        <v>3</v>
      </c>
      <c r="J21" s="8" t="s">
        <v>1486</v>
      </c>
      <c r="K21" s="8" t="s">
        <v>1487</v>
      </c>
      <c r="L21" s="8" t="s">
        <v>1488</v>
      </c>
      <c r="M21" s="8">
        <v>180</v>
      </c>
      <c r="N21" s="8">
        <v>0</v>
      </c>
      <c r="O21" s="8">
        <v>0.15</v>
      </c>
      <c r="P21" s="8">
        <v>0.6</v>
      </c>
      <c r="Q21" s="8">
        <v>0.25</v>
      </c>
    </row>
    <row r="22" ht="38" customHeight="1" spans="1:17">
      <c r="A22" s="7">
        <v>19</v>
      </c>
      <c r="B22" s="7" t="s">
        <v>1447</v>
      </c>
      <c r="C22" s="7"/>
      <c r="D22" s="7">
        <v>15</v>
      </c>
      <c r="E22" s="7">
        <v>12</v>
      </c>
      <c r="F22" s="7" t="s">
        <v>1491</v>
      </c>
      <c r="G22" s="7" t="s">
        <v>1492</v>
      </c>
      <c r="H22" s="7" t="s">
        <v>1493</v>
      </c>
      <c r="I22" s="7">
        <v>3</v>
      </c>
      <c r="J22" s="7" t="s">
        <v>1486</v>
      </c>
      <c r="K22" s="7" t="s">
        <v>1487</v>
      </c>
      <c r="L22" s="7" t="s">
        <v>1488</v>
      </c>
      <c r="M22" s="7">
        <v>190</v>
      </c>
      <c r="N22" s="7">
        <v>0</v>
      </c>
      <c r="O22" s="7">
        <v>0.15</v>
      </c>
      <c r="P22" s="7">
        <v>0.6</v>
      </c>
      <c r="Q22" s="7">
        <v>0.25</v>
      </c>
    </row>
    <row r="23" ht="38" customHeight="1" spans="1:17">
      <c r="A23" s="8">
        <v>20</v>
      </c>
      <c r="B23" s="8" t="s">
        <v>1457</v>
      </c>
      <c r="C23" s="8" t="s">
        <v>86</v>
      </c>
      <c r="D23" s="8">
        <v>18</v>
      </c>
      <c r="E23" s="8">
        <v>13</v>
      </c>
      <c r="F23" s="8" t="s">
        <v>1494</v>
      </c>
      <c r="G23" s="8" t="s">
        <v>1495</v>
      </c>
      <c r="H23" s="8" t="s">
        <v>1496</v>
      </c>
      <c r="I23" s="8">
        <v>3</v>
      </c>
      <c r="J23" s="8" t="s">
        <v>1486</v>
      </c>
      <c r="K23" s="8" t="s">
        <v>1487</v>
      </c>
      <c r="L23" s="8" t="s">
        <v>1488</v>
      </c>
      <c r="M23" s="8">
        <v>200</v>
      </c>
      <c r="N23" s="8">
        <v>400</v>
      </c>
      <c r="O23" s="8">
        <v>0.15</v>
      </c>
      <c r="P23" s="8">
        <v>0.6</v>
      </c>
      <c r="Q23" s="8">
        <v>0.25</v>
      </c>
    </row>
    <row r="24" ht="38" customHeight="1" spans="1:17">
      <c r="A24" s="7">
        <v>21</v>
      </c>
      <c r="B24" s="7" t="s">
        <v>1497</v>
      </c>
      <c r="C24" s="7"/>
      <c r="D24" s="7">
        <v>0</v>
      </c>
      <c r="E24" s="7">
        <v>13</v>
      </c>
      <c r="F24" s="7" t="s">
        <v>1494</v>
      </c>
      <c r="G24" s="7" t="s">
        <v>1495</v>
      </c>
      <c r="H24" s="7" t="s">
        <v>1496</v>
      </c>
      <c r="I24" s="7">
        <v>4</v>
      </c>
      <c r="J24" s="7" t="s">
        <v>1498</v>
      </c>
      <c r="K24" s="7" t="s">
        <v>1499</v>
      </c>
      <c r="L24" s="7" t="s">
        <v>1500</v>
      </c>
      <c r="M24" s="7">
        <v>210</v>
      </c>
      <c r="N24" s="7">
        <v>0</v>
      </c>
      <c r="O24" s="7">
        <v>0.15</v>
      </c>
      <c r="P24" s="7">
        <v>0.6</v>
      </c>
      <c r="Q24" s="7">
        <v>0.25</v>
      </c>
    </row>
  </sheetData>
  <mergeCells count="2">
    <mergeCell ref="A1:Q1"/>
    <mergeCell ref="A2:Q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showGridLines="0" workbookViewId="0">
      <pane ySplit="3" topLeftCell="A4" activePane="bottomLeft" state="frozen"/>
      <selection/>
      <selection pane="bottomLeft" activeCell="A1" sqref="A1:D1"/>
    </sheetView>
  </sheetViews>
  <sheetFormatPr defaultColWidth="9" defaultRowHeight="14.25" outlineLevelCol="3"/>
  <cols>
    <col min="1" max="1" width="27" customWidth="1"/>
    <col min="2" max="2" width="45" customWidth="1"/>
    <col min="3" max="3" width="70" customWidth="1"/>
    <col min="4" max="4" width="90" customWidth="1"/>
  </cols>
  <sheetData>
    <row r="1" ht="34" customHeight="1" spans="1:4">
      <c r="A1" s="1" t="s">
        <v>1501</v>
      </c>
      <c r="B1" s="1"/>
      <c r="C1" s="1"/>
      <c r="D1" s="1"/>
    </row>
    <row r="2" ht="32" customHeight="1" spans="1:4">
      <c r="A2" s="2" t="s">
        <v>1502</v>
      </c>
      <c r="B2" s="2"/>
      <c r="C2" s="2"/>
      <c r="D2" s="2"/>
    </row>
    <row r="3" ht="28" customHeight="1" spans="1:4">
      <c r="A3" s="5" t="s">
        <v>1503</v>
      </c>
      <c r="B3" s="5" t="s">
        <v>1504</v>
      </c>
      <c r="C3" s="5" t="s">
        <v>1505</v>
      </c>
      <c r="D3" s="5" t="s">
        <v>1506</v>
      </c>
    </row>
    <row r="4" ht="38" customHeight="1" spans="1:4">
      <c r="A4" s="7" t="s">
        <v>1507</v>
      </c>
      <c r="B4" s="7" t="s">
        <v>1508</v>
      </c>
      <c r="C4" s="7" t="s">
        <v>1509</v>
      </c>
      <c r="D4" s="7" t="s">
        <v>1510</v>
      </c>
    </row>
    <row r="5" ht="38" customHeight="1" spans="1:4">
      <c r="A5" s="8" t="s">
        <v>1511</v>
      </c>
      <c r="B5" s="8" t="s">
        <v>1512</v>
      </c>
      <c r="C5" s="8" t="s">
        <v>1513</v>
      </c>
      <c r="D5" s="8" t="s">
        <v>1514</v>
      </c>
    </row>
    <row r="6" ht="38" customHeight="1" spans="1:4">
      <c r="A6" s="7" t="s">
        <v>1515</v>
      </c>
      <c r="B6" s="7" t="s">
        <v>1516</v>
      </c>
      <c r="C6" s="7" t="s">
        <v>1517</v>
      </c>
      <c r="D6" s="7" t="s">
        <v>1518</v>
      </c>
    </row>
    <row r="7" ht="38" customHeight="1" spans="1:4">
      <c r="A7" s="8" t="s">
        <v>1519</v>
      </c>
      <c r="B7" s="8" t="s">
        <v>1520</v>
      </c>
      <c r="C7" s="8" t="s">
        <v>1521</v>
      </c>
      <c r="D7" s="8" t="s">
        <v>1522</v>
      </c>
    </row>
    <row r="8" ht="38" customHeight="1" spans="1:4">
      <c r="A8" s="7" t="s">
        <v>1523</v>
      </c>
      <c r="B8" s="7" t="s">
        <v>1524</v>
      </c>
      <c r="C8" s="7" t="s">
        <v>1525</v>
      </c>
      <c r="D8" s="7" t="s">
        <v>1526</v>
      </c>
    </row>
    <row r="9" ht="38" customHeight="1" spans="1:4">
      <c r="A9" s="8" t="s">
        <v>1527</v>
      </c>
      <c r="B9" s="8" t="s">
        <v>1528</v>
      </c>
      <c r="C9" s="8" t="s">
        <v>1525</v>
      </c>
      <c r="D9" s="8" t="s">
        <v>1529</v>
      </c>
    </row>
    <row r="10" ht="38" customHeight="1" spans="1:4">
      <c r="A10" s="7" t="s">
        <v>1530</v>
      </c>
      <c r="B10" s="7" t="s">
        <v>1531</v>
      </c>
      <c r="C10" s="7" t="s">
        <v>1525</v>
      </c>
      <c r="D10" s="7" t="s">
        <v>1532</v>
      </c>
    </row>
    <row r="11" ht="38" customHeight="1" spans="1:4">
      <c r="A11" s="8" t="s">
        <v>1533</v>
      </c>
      <c r="B11" s="8" t="s">
        <v>1534</v>
      </c>
      <c r="C11" s="8" t="s">
        <v>1535</v>
      </c>
      <c r="D11" s="8" t="s">
        <v>1536</v>
      </c>
    </row>
  </sheetData>
  <mergeCells count="2">
    <mergeCell ref="A1:D1"/>
    <mergeCell ref="A2:D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
  <sheetViews>
    <sheetView showGridLines="0" workbookViewId="0">
      <pane ySplit="3" topLeftCell="A4" activePane="bottomLeft" state="frozen"/>
      <selection/>
      <selection pane="bottomLeft" activeCell="A1" sqref="A1:E1"/>
    </sheetView>
  </sheetViews>
  <sheetFormatPr defaultColWidth="9" defaultRowHeight="14.25" outlineLevelRow="6" outlineLevelCol="4"/>
  <cols>
    <col min="1" max="1" width="29" customWidth="1"/>
    <col min="2" max="2" width="75" customWidth="1"/>
    <col min="3" max="3" width="88" customWidth="1"/>
    <col min="4" max="4" width="35" customWidth="1"/>
    <col min="5" max="5" width="76" customWidth="1"/>
  </cols>
  <sheetData>
    <row r="1" ht="34" customHeight="1" spans="1:5">
      <c r="A1" s="1" t="s">
        <v>1537</v>
      </c>
      <c r="B1" s="1"/>
      <c r="C1" s="1"/>
      <c r="D1" s="1"/>
      <c r="E1" s="1"/>
    </row>
    <row r="2" ht="32" customHeight="1" spans="1:5">
      <c r="A2" s="2" t="s">
        <v>1538</v>
      </c>
      <c r="B2" s="2"/>
      <c r="C2" s="2"/>
      <c r="D2" s="2"/>
      <c r="E2" s="2"/>
    </row>
    <row r="3" ht="28" customHeight="1" spans="1:5">
      <c r="A3" s="5" t="s">
        <v>2</v>
      </c>
      <c r="B3" s="5" t="s">
        <v>1539</v>
      </c>
      <c r="C3" s="5" t="s">
        <v>1540</v>
      </c>
      <c r="D3" s="5" t="s">
        <v>1541</v>
      </c>
      <c r="E3" s="5" t="s">
        <v>1542</v>
      </c>
    </row>
    <row r="4" ht="38" customHeight="1" spans="1:5">
      <c r="A4" s="7" t="s">
        <v>1543</v>
      </c>
      <c r="B4" s="7" t="s">
        <v>1544</v>
      </c>
      <c r="C4" s="7" t="s">
        <v>1545</v>
      </c>
      <c r="D4" s="7" t="s">
        <v>1546</v>
      </c>
      <c r="E4" s="7" t="s">
        <v>1547</v>
      </c>
    </row>
    <row r="5" ht="38" customHeight="1" spans="1:5">
      <c r="A5" s="8" t="s">
        <v>1095</v>
      </c>
      <c r="B5" s="8" t="s">
        <v>1548</v>
      </c>
      <c r="C5" s="8" t="s">
        <v>1549</v>
      </c>
      <c r="D5" s="8" t="s">
        <v>1550</v>
      </c>
      <c r="E5" s="8" t="s">
        <v>1551</v>
      </c>
    </row>
    <row r="6" ht="38" customHeight="1" spans="1:5">
      <c r="A6" s="7" t="s">
        <v>1552</v>
      </c>
      <c r="B6" s="7" t="s">
        <v>1553</v>
      </c>
      <c r="C6" s="7" t="s">
        <v>1554</v>
      </c>
      <c r="D6" s="7" t="s">
        <v>1555</v>
      </c>
      <c r="E6" s="7" t="s">
        <v>1556</v>
      </c>
    </row>
    <row r="7" ht="38" customHeight="1" spans="1:5">
      <c r="A7" s="8" t="s">
        <v>1557</v>
      </c>
      <c r="B7" s="8" t="s">
        <v>1558</v>
      </c>
      <c r="C7" s="8" t="s">
        <v>1559</v>
      </c>
      <c r="D7" s="8" t="s">
        <v>1560</v>
      </c>
      <c r="E7" s="8" t="s">
        <v>1561</v>
      </c>
    </row>
  </sheetData>
  <mergeCells count="2">
    <mergeCell ref="A1:E1"/>
    <mergeCell ref="A2:E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399"/>
  <sheetViews>
    <sheetView showGridLines="0" workbookViewId="0">
      <pane ySplit="3" topLeftCell="A4" activePane="bottomLeft" state="frozen"/>
      <selection/>
      <selection pane="bottomLeft" activeCell="A1" sqref="A1:D1"/>
    </sheetView>
  </sheetViews>
  <sheetFormatPr defaultColWidth="9" defaultRowHeight="14.25" outlineLevelCol="3"/>
  <cols>
    <col min="1" max="1" width="46" customWidth="1"/>
    <col min="2" max="2" width="76" customWidth="1"/>
    <col min="3" max="3" width="16" customWidth="1"/>
    <col min="4" max="4" width="105" customWidth="1"/>
  </cols>
  <sheetData>
    <row r="1" ht="34" customHeight="1" spans="1:4">
      <c r="A1" s="1" t="s">
        <v>1562</v>
      </c>
      <c r="B1" s="1"/>
      <c r="C1" s="1"/>
      <c r="D1" s="1"/>
    </row>
    <row r="2" ht="42" customHeight="1" spans="1:4">
      <c r="A2" s="2" t="s">
        <v>1563</v>
      </c>
      <c r="B2" s="2"/>
      <c r="C2" s="2"/>
      <c r="D2" s="2"/>
    </row>
    <row r="3" ht="28" customHeight="1" spans="1:4">
      <c r="A3" s="5" t="s">
        <v>1564</v>
      </c>
      <c r="B3" s="5" t="s">
        <v>1565</v>
      </c>
      <c r="C3" s="5" t="s">
        <v>1566</v>
      </c>
      <c r="D3" s="5" t="s">
        <v>1567</v>
      </c>
    </row>
    <row r="4" ht="22" customHeight="1" spans="1:4">
      <c r="A4" s="6" t="s">
        <v>1568</v>
      </c>
      <c r="B4" s="6" t="s">
        <v>1569</v>
      </c>
      <c r="C4" s="6" t="s">
        <v>1570</v>
      </c>
      <c r="D4" s="6" t="s">
        <v>1571</v>
      </c>
    </row>
    <row r="5" ht="22" customHeight="1" spans="1:4">
      <c r="A5" s="6" t="s">
        <v>1568</v>
      </c>
      <c r="B5" s="6" t="s">
        <v>1572</v>
      </c>
      <c r="C5" s="6" t="s">
        <v>1573</v>
      </c>
      <c r="D5" s="6" t="s">
        <v>1574</v>
      </c>
    </row>
    <row r="6" ht="22" customHeight="1" spans="1:4">
      <c r="A6" s="6" t="s">
        <v>1568</v>
      </c>
      <c r="B6" s="6" t="s">
        <v>1575</v>
      </c>
      <c r="C6" s="6" t="s">
        <v>1576</v>
      </c>
      <c r="D6" s="6" t="s">
        <v>1571</v>
      </c>
    </row>
    <row r="7" ht="22" customHeight="1" spans="1:4">
      <c r="A7" s="6" t="s">
        <v>1568</v>
      </c>
      <c r="B7" s="6" t="s">
        <v>1577</v>
      </c>
      <c r="C7" s="6" t="s">
        <v>1573</v>
      </c>
      <c r="D7" s="6" t="s">
        <v>493</v>
      </c>
    </row>
    <row r="8" ht="22" customHeight="1" spans="1:4">
      <c r="A8" s="6" t="s">
        <v>1568</v>
      </c>
      <c r="B8" s="6" t="s">
        <v>1578</v>
      </c>
      <c r="C8" s="6" t="s">
        <v>1573</v>
      </c>
      <c r="D8" s="6" t="s">
        <v>922</v>
      </c>
    </row>
    <row r="9" ht="22" customHeight="1" spans="1:4">
      <c r="A9" s="6" t="s">
        <v>1568</v>
      </c>
      <c r="B9" s="6" t="s">
        <v>1579</v>
      </c>
      <c r="C9" s="6" t="s">
        <v>1573</v>
      </c>
      <c r="D9" s="6" t="s">
        <v>1580</v>
      </c>
    </row>
    <row r="10" ht="22" customHeight="1" spans="1:4">
      <c r="A10" s="6" t="s">
        <v>1568</v>
      </c>
      <c r="B10" s="6" t="s">
        <v>1581</v>
      </c>
      <c r="C10" s="6" t="s">
        <v>1573</v>
      </c>
      <c r="D10" s="6" t="s">
        <v>1574</v>
      </c>
    </row>
    <row r="11" ht="22" customHeight="1" spans="1:4">
      <c r="A11" s="6" t="s">
        <v>1568</v>
      </c>
      <c r="B11" s="6" t="s">
        <v>1582</v>
      </c>
      <c r="C11" s="6" t="s">
        <v>1576</v>
      </c>
      <c r="D11" s="6" t="s">
        <v>1571</v>
      </c>
    </row>
    <row r="12" ht="22" customHeight="1" spans="1:4">
      <c r="A12" s="6" t="s">
        <v>1568</v>
      </c>
      <c r="B12" s="6" t="s">
        <v>1583</v>
      </c>
      <c r="C12" s="6" t="s">
        <v>1573</v>
      </c>
      <c r="D12" s="6" t="s">
        <v>463</v>
      </c>
    </row>
    <row r="13" ht="22" customHeight="1" spans="1:4">
      <c r="A13" s="6" t="s">
        <v>1568</v>
      </c>
      <c r="B13" s="6" t="s">
        <v>1584</v>
      </c>
      <c r="C13" s="6" t="s">
        <v>1573</v>
      </c>
      <c r="D13" s="6" t="s">
        <v>1585</v>
      </c>
    </row>
    <row r="14" ht="22" customHeight="1" spans="1:4">
      <c r="A14" s="6" t="s">
        <v>1568</v>
      </c>
      <c r="B14" s="6" t="s">
        <v>1586</v>
      </c>
      <c r="C14" s="6" t="s">
        <v>1573</v>
      </c>
      <c r="D14" s="6" t="s">
        <v>1587</v>
      </c>
    </row>
    <row r="15" ht="22" customHeight="1" spans="1:4">
      <c r="A15" s="6" t="s">
        <v>1568</v>
      </c>
      <c r="B15" s="6" t="s">
        <v>1588</v>
      </c>
      <c r="C15" s="6" t="s">
        <v>1573</v>
      </c>
      <c r="D15" s="6" t="s">
        <v>1589</v>
      </c>
    </row>
    <row r="16" ht="22" customHeight="1" spans="1:4">
      <c r="A16" s="6" t="s">
        <v>1568</v>
      </c>
      <c r="B16" s="6" t="s">
        <v>1590</v>
      </c>
      <c r="C16" s="6" t="s">
        <v>1576</v>
      </c>
      <c r="D16" s="6" t="s">
        <v>1571</v>
      </c>
    </row>
    <row r="17" ht="22" customHeight="1" spans="1:4">
      <c r="A17" s="6" t="s">
        <v>1568</v>
      </c>
      <c r="B17" s="6" t="s">
        <v>1591</v>
      </c>
      <c r="C17" s="6" t="s">
        <v>1573</v>
      </c>
      <c r="D17" s="6" t="s">
        <v>275</v>
      </c>
    </row>
    <row r="18" ht="22" customHeight="1" spans="1:4">
      <c r="A18" s="6" t="s">
        <v>1568</v>
      </c>
      <c r="B18" s="6" t="s">
        <v>1592</v>
      </c>
      <c r="C18" s="6" t="s">
        <v>1573</v>
      </c>
      <c r="D18" s="6" t="s">
        <v>1593</v>
      </c>
    </row>
    <row r="19" ht="22" customHeight="1" spans="1:4">
      <c r="A19" s="6" t="s">
        <v>1568</v>
      </c>
      <c r="B19" s="6" t="s">
        <v>1594</v>
      </c>
      <c r="C19" s="6" t="s">
        <v>1573</v>
      </c>
      <c r="D19" s="6" t="s">
        <v>922</v>
      </c>
    </row>
    <row r="20" ht="22" customHeight="1" spans="1:4">
      <c r="A20" s="6" t="s">
        <v>1568</v>
      </c>
      <c r="B20" s="6" t="s">
        <v>1595</v>
      </c>
      <c r="C20" s="6" t="s">
        <v>1573</v>
      </c>
      <c r="D20" s="6" t="s">
        <v>1596</v>
      </c>
    </row>
    <row r="21" ht="22" customHeight="1" spans="1:4">
      <c r="A21" s="6" t="s">
        <v>1568</v>
      </c>
      <c r="B21" s="6" t="s">
        <v>1597</v>
      </c>
      <c r="C21" s="6" t="s">
        <v>1573</v>
      </c>
      <c r="D21" s="6" t="s">
        <v>1589</v>
      </c>
    </row>
    <row r="22" ht="22" customHeight="1" spans="1:4">
      <c r="A22" s="6" t="s">
        <v>1568</v>
      </c>
      <c r="B22" s="6" t="s">
        <v>1598</v>
      </c>
      <c r="C22" s="6" t="s">
        <v>1599</v>
      </c>
      <c r="D22" s="6" t="s">
        <v>1600</v>
      </c>
    </row>
    <row r="23" ht="22" customHeight="1" spans="1:4">
      <c r="A23" s="6" t="s">
        <v>1601</v>
      </c>
      <c r="B23" s="6" t="s">
        <v>1569</v>
      </c>
      <c r="C23" s="6" t="s">
        <v>1570</v>
      </c>
      <c r="D23" s="6" t="s">
        <v>1571</v>
      </c>
    </row>
    <row r="24" ht="22" customHeight="1" spans="1:4">
      <c r="A24" s="6" t="s">
        <v>1601</v>
      </c>
      <c r="B24" s="6" t="s">
        <v>1602</v>
      </c>
      <c r="C24" s="6" t="s">
        <v>1570</v>
      </c>
      <c r="D24" s="6" t="s">
        <v>1571</v>
      </c>
    </row>
    <row r="25" ht="22" customHeight="1" spans="1:4">
      <c r="A25" s="6" t="s">
        <v>1601</v>
      </c>
      <c r="B25" s="6" t="s">
        <v>1603</v>
      </c>
      <c r="C25" s="6" t="s">
        <v>1573</v>
      </c>
      <c r="D25" s="6" t="s">
        <v>921</v>
      </c>
    </row>
    <row r="26" ht="22" customHeight="1" spans="1:4">
      <c r="A26" s="6" t="s">
        <v>1601</v>
      </c>
      <c r="B26" s="6" t="s">
        <v>1604</v>
      </c>
      <c r="C26" s="6" t="s">
        <v>1605</v>
      </c>
      <c r="D26" s="6" t="s">
        <v>1606</v>
      </c>
    </row>
    <row r="27" ht="22" customHeight="1" spans="1:4">
      <c r="A27" s="6" t="s">
        <v>1601</v>
      </c>
      <c r="B27" s="6" t="s">
        <v>1607</v>
      </c>
      <c r="C27" s="6" t="s">
        <v>1576</v>
      </c>
      <c r="D27" s="6" t="s">
        <v>1571</v>
      </c>
    </row>
    <row r="28" ht="22" customHeight="1" spans="1:4">
      <c r="A28" s="6" t="s">
        <v>1601</v>
      </c>
      <c r="B28" s="6" t="s">
        <v>1608</v>
      </c>
      <c r="C28" s="6" t="s">
        <v>1570</v>
      </c>
      <c r="D28" s="6" t="s">
        <v>1571</v>
      </c>
    </row>
    <row r="29" ht="22" customHeight="1" spans="1:4">
      <c r="A29" s="6" t="s">
        <v>1601</v>
      </c>
      <c r="B29" s="6" t="s">
        <v>1609</v>
      </c>
      <c r="C29" s="6" t="s">
        <v>1599</v>
      </c>
      <c r="D29" s="6" t="s">
        <v>1610</v>
      </c>
    </row>
    <row r="30" ht="22" customHeight="1" spans="1:4">
      <c r="A30" s="6" t="s">
        <v>1601</v>
      </c>
      <c r="B30" s="6" t="s">
        <v>1611</v>
      </c>
      <c r="C30" s="6" t="s">
        <v>1570</v>
      </c>
      <c r="D30" s="6" t="s">
        <v>1571</v>
      </c>
    </row>
    <row r="31" ht="22" customHeight="1" spans="1:4">
      <c r="A31" s="6" t="s">
        <v>1601</v>
      </c>
      <c r="B31" s="6" t="s">
        <v>1612</v>
      </c>
      <c r="C31" s="6" t="s">
        <v>1605</v>
      </c>
      <c r="D31" s="6" t="s">
        <v>1613</v>
      </c>
    </row>
    <row r="32" ht="22" customHeight="1" spans="1:4">
      <c r="A32" s="6" t="s">
        <v>1601</v>
      </c>
      <c r="B32" s="6" t="s">
        <v>1614</v>
      </c>
      <c r="C32" s="6" t="s">
        <v>1605</v>
      </c>
      <c r="D32" s="6" t="s">
        <v>1615</v>
      </c>
    </row>
    <row r="33" ht="22" customHeight="1" spans="1:4">
      <c r="A33" s="6" t="s">
        <v>1601</v>
      </c>
      <c r="B33" s="6" t="s">
        <v>1616</v>
      </c>
      <c r="C33" s="6" t="s">
        <v>1599</v>
      </c>
      <c r="D33" s="6" t="s">
        <v>1617</v>
      </c>
    </row>
    <row r="34" ht="22" customHeight="1" spans="1:4">
      <c r="A34" s="6" t="s">
        <v>1601</v>
      </c>
      <c r="B34" s="6" t="s">
        <v>1618</v>
      </c>
      <c r="C34" s="6" t="s">
        <v>1599</v>
      </c>
      <c r="D34" s="6" t="s">
        <v>1619</v>
      </c>
    </row>
    <row r="35" ht="22" customHeight="1" spans="1:4">
      <c r="A35" s="6" t="s">
        <v>1601</v>
      </c>
      <c r="B35" s="6" t="s">
        <v>1620</v>
      </c>
      <c r="C35" s="6" t="s">
        <v>1599</v>
      </c>
      <c r="D35" s="6" t="s">
        <v>1621</v>
      </c>
    </row>
    <row r="36" ht="22" customHeight="1" spans="1:4">
      <c r="A36" s="6" t="s">
        <v>1601</v>
      </c>
      <c r="B36" s="6" t="s">
        <v>1622</v>
      </c>
      <c r="C36" s="6" t="s">
        <v>1573</v>
      </c>
      <c r="D36" s="6" t="s">
        <v>1623</v>
      </c>
    </row>
    <row r="37" ht="22" customHeight="1" spans="1:4">
      <c r="A37" s="6" t="s">
        <v>1601</v>
      </c>
      <c r="B37" s="6" t="s">
        <v>1624</v>
      </c>
      <c r="C37" s="6" t="s">
        <v>1573</v>
      </c>
      <c r="D37" s="6" t="s">
        <v>1589</v>
      </c>
    </row>
    <row r="38" ht="22" customHeight="1" spans="1:4">
      <c r="A38" s="6" t="s">
        <v>1601</v>
      </c>
      <c r="B38" s="6" t="s">
        <v>1625</v>
      </c>
      <c r="C38" s="6" t="s">
        <v>1573</v>
      </c>
      <c r="D38" s="6" t="s">
        <v>1626</v>
      </c>
    </row>
    <row r="39" ht="22" customHeight="1" spans="1:4">
      <c r="A39" s="6" t="s">
        <v>1601</v>
      </c>
      <c r="B39" s="6" t="s">
        <v>1627</v>
      </c>
      <c r="C39" s="6" t="s">
        <v>1573</v>
      </c>
      <c r="D39" s="6" t="s">
        <v>1628</v>
      </c>
    </row>
    <row r="40" ht="22" customHeight="1" spans="1:4">
      <c r="A40" s="6" t="s">
        <v>1601</v>
      </c>
      <c r="B40" s="6" t="s">
        <v>1629</v>
      </c>
      <c r="C40" s="6" t="s">
        <v>1573</v>
      </c>
      <c r="D40" s="6" t="s">
        <v>275</v>
      </c>
    </row>
    <row r="41" ht="22" customHeight="1" spans="1:4">
      <c r="A41" s="6" t="s">
        <v>1601</v>
      </c>
      <c r="B41" s="6" t="s">
        <v>1630</v>
      </c>
      <c r="C41" s="6" t="s">
        <v>1605</v>
      </c>
      <c r="D41" s="6" t="s">
        <v>1631</v>
      </c>
    </row>
    <row r="42" ht="22" customHeight="1" spans="1:4">
      <c r="A42" s="6" t="s">
        <v>1601</v>
      </c>
      <c r="B42" s="6" t="s">
        <v>1632</v>
      </c>
      <c r="C42" s="6" t="s">
        <v>1573</v>
      </c>
      <c r="D42" s="6" t="s">
        <v>275</v>
      </c>
    </row>
    <row r="43" ht="22" customHeight="1" spans="1:4">
      <c r="A43" s="6" t="s">
        <v>1601</v>
      </c>
      <c r="B43" s="6" t="s">
        <v>1633</v>
      </c>
      <c r="C43" s="6" t="s">
        <v>1605</v>
      </c>
      <c r="D43" s="6" t="s">
        <v>1634</v>
      </c>
    </row>
    <row r="44" ht="22" customHeight="1" spans="1:4">
      <c r="A44" s="6" t="s">
        <v>1601</v>
      </c>
      <c r="B44" s="6" t="s">
        <v>1635</v>
      </c>
      <c r="C44" s="6" t="s">
        <v>1605</v>
      </c>
      <c r="D44" s="6" t="s">
        <v>1636</v>
      </c>
    </row>
    <row r="45" ht="22" customHeight="1" spans="1:4">
      <c r="A45" s="6" t="s">
        <v>1601</v>
      </c>
      <c r="B45" s="6" t="s">
        <v>1637</v>
      </c>
      <c r="C45" s="6" t="s">
        <v>1605</v>
      </c>
      <c r="D45" s="6" t="s">
        <v>1606</v>
      </c>
    </row>
    <row r="46" ht="22" customHeight="1" spans="1:4">
      <c r="A46" s="6" t="s">
        <v>1601</v>
      </c>
      <c r="B46" s="6" t="s">
        <v>1638</v>
      </c>
      <c r="C46" s="6" t="s">
        <v>1599</v>
      </c>
      <c r="D46" s="6" t="s">
        <v>1639</v>
      </c>
    </row>
    <row r="47" ht="22" customHeight="1" spans="1:4">
      <c r="A47" s="6" t="s">
        <v>1601</v>
      </c>
      <c r="B47" s="6" t="s">
        <v>1640</v>
      </c>
      <c r="C47" s="6" t="s">
        <v>1605</v>
      </c>
      <c r="D47" s="6" t="s">
        <v>1641</v>
      </c>
    </row>
    <row r="48" ht="22" customHeight="1" spans="1:4">
      <c r="A48" s="6" t="s">
        <v>1601</v>
      </c>
      <c r="B48" s="6" t="s">
        <v>1642</v>
      </c>
      <c r="C48" s="6" t="s">
        <v>1605</v>
      </c>
      <c r="D48" s="6" t="s">
        <v>1643</v>
      </c>
    </row>
    <row r="49" ht="22" customHeight="1" spans="1:4">
      <c r="A49" s="6" t="s">
        <v>1601</v>
      </c>
      <c r="B49" s="6" t="s">
        <v>1644</v>
      </c>
      <c r="C49" s="6" t="s">
        <v>1605</v>
      </c>
      <c r="D49" s="6" t="s">
        <v>1645</v>
      </c>
    </row>
    <row r="50" ht="22" customHeight="1" spans="1:4">
      <c r="A50" s="6" t="s">
        <v>1601</v>
      </c>
      <c r="B50" s="6" t="s">
        <v>1646</v>
      </c>
      <c r="C50" s="6" t="s">
        <v>1599</v>
      </c>
      <c r="D50" s="6" t="s">
        <v>1647</v>
      </c>
    </row>
    <row r="51" ht="22" customHeight="1" spans="1:4">
      <c r="A51" s="6" t="s">
        <v>1601</v>
      </c>
      <c r="B51" s="6" t="s">
        <v>1648</v>
      </c>
      <c r="C51" s="6" t="s">
        <v>1605</v>
      </c>
      <c r="D51" s="6" t="s">
        <v>1649</v>
      </c>
    </row>
    <row r="52" ht="22" customHeight="1" spans="1:4">
      <c r="A52" s="6" t="s">
        <v>1601</v>
      </c>
      <c r="B52" s="6" t="s">
        <v>1650</v>
      </c>
      <c r="C52" s="6" t="s">
        <v>1605</v>
      </c>
      <c r="D52" s="6" t="s">
        <v>1651</v>
      </c>
    </row>
    <row r="53" ht="22" customHeight="1" spans="1:4">
      <c r="A53" s="6" t="s">
        <v>1601</v>
      </c>
      <c r="B53" s="6" t="s">
        <v>1652</v>
      </c>
      <c r="C53" s="6" t="s">
        <v>1599</v>
      </c>
      <c r="D53" s="6" t="s">
        <v>1653</v>
      </c>
    </row>
    <row r="54" ht="22" customHeight="1" spans="1:4">
      <c r="A54" s="6" t="s">
        <v>1601</v>
      </c>
      <c r="B54" s="6" t="s">
        <v>1654</v>
      </c>
      <c r="C54" s="6" t="s">
        <v>1599</v>
      </c>
      <c r="D54" s="6" t="s">
        <v>1655</v>
      </c>
    </row>
    <row r="55" ht="22" customHeight="1" spans="1:4">
      <c r="A55" s="6" t="s">
        <v>1601</v>
      </c>
      <c r="B55" s="6" t="s">
        <v>1656</v>
      </c>
      <c r="C55" s="6" t="s">
        <v>1605</v>
      </c>
      <c r="D55" s="6" t="s">
        <v>1657</v>
      </c>
    </row>
    <row r="56" ht="22" customHeight="1" spans="1:4">
      <c r="A56" s="6" t="s">
        <v>1601</v>
      </c>
      <c r="B56" s="6" t="s">
        <v>1658</v>
      </c>
      <c r="C56" s="6" t="s">
        <v>1605</v>
      </c>
      <c r="D56" s="6" t="s">
        <v>1659</v>
      </c>
    </row>
    <row r="57" ht="22" customHeight="1" spans="1:4">
      <c r="A57" s="6" t="s">
        <v>1601</v>
      </c>
      <c r="B57" s="6" t="s">
        <v>1660</v>
      </c>
      <c r="C57" s="6" t="s">
        <v>1599</v>
      </c>
      <c r="D57" s="6" t="s">
        <v>1661</v>
      </c>
    </row>
    <row r="58" ht="22" customHeight="1" spans="1:4">
      <c r="A58" s="6" t="s">
        <v>1601</v>
      </c>
      <c r="B58" s="6" t="s">
        <v>1662</v>
      </c>
      <c r="C58" s="6" t="s">
        <v>1599</v>
      </c>
      <c r="D58" s="6" t="s">
        <v>1663</v>
      </c>
    </row>
    <row r="59" ht="22" customHeight="1" spans="1:4">
      <c r="A59" s="6" t="s">
        <v>1601</v>
      </c>
      <c r="B59" s="6" t="s">
        <v>1664</v>
      </c>
      <c r="C59" s="6" t="s">
        <v>1570</v>
      </c>
      <c r="D59" s="6" t="s">
        <v>1571</v>
      </c>
    </row>
    <row r="60" ht="22" customHeight="1" spans="1:4">
      <c r="A60" s="6" t="s">
        <v>1601</v>
      </c>
      <c r="B60" s="6" t="s">
        <v>1665</v>
      </c>
      <c r="C60" s="6" t="s">
        <v>1599</v>
      </c>
      <c r="D60" s="6" t="s">
        <v>1666</v>
      </c>
    </row>
    <row r="61" ht="22" customHeight="1" spans="1:4">
      <c r="A61" s="6" t="s">
        <v>1601</v>
      </c>
      <c r="B61" s="6" t="s">
        <v>1667</v>
      </c>
      <c r="C61" s="6" t="s">
        <v>1576</v>
      </c>
      <c r="D61" s="6" t="s">
        <v>1571</v>
      </c>
    </row>
    <row r="62" ht="22" customHeight="1" spans="1:4">
      <c r="A62" s="6" t="s">
        <v>1601</v>
      </c>
      <c r="B62" s="6" t="s">
        <v>1668</v>
      </c>
      <c r="C62" s="6" t="s">
        <v>1599</v>
      </c>
      <c r="D62" s="6" t="s">
        <v>1661</v>
      </c>
    </row>
    <row r="63" ht="22" customHeight="1" spans="1:4">
      <c r="A63" s="6" t="s">
        <v>1601</v>
      </c>
      <c r="B63" s="6" t="s">
        <v>1669</v>
      </c>
      <c r="C63" s="6" t="s">
        <v>1570</v>
      </c>
      <c r="D63" s="6" t="s">
        <v>1571</v>
      </c>
    </row>
    <row r="64" ht="22" customHeight="1" spans="1:4">
      <c r="A64" s="6" t="s">
        <v>1601</v>
      </c>
      <c r="B64" s="6" t="s">
        <v>1670</v>
      </c>
      <c r="C64" s="6" t="s">
        <v>1605</v>
      </c>
      <c r="D64" s="6" t="s">
        <v>1671</v>
      </c>
    </row>
    <row r="65" ht="22" customHeight="1" spans="1:4">
      <c r="A65" s="6" t="s">
        <v>1601</v>
      </c>
      <c r="B65" s="6" t="s">
        <v>1672</v>
      </c>
      <c r="C65" s="6" t="s">
        <v>1605</v>
      </c>
      <c r="D65" s="6" t="s">
        <v>1673</v>
      </c>
    </row>
    <row r="66" ht="22" customHeight="1" spans="1:4">
      <c r="A66" s="6" t="s">
        <v>1601</v>
      </c>
      <c r="B66" s="6" t="s">
        <v>1674</v>
      </c>
      <c r="C66" s="6" t="s">
        <v>1605</v>
      </c>
      <c r="D66" s="6" t="s">
        <v>1675</v>
      </c>
    </row>
    <row r="67" ht="22" customHeight="1" spans="1:4">
      <c r="A67" s="6" t="s">
        <v>1601</v>
      </c>
      <c r="B67" s="6" t="s">
        <v>1676</v>
      </c>
      <c r="C67" s="6" t="s">
        <v>1599</v>
      </c>
      <c r="D67" s="6" t="s">
        <v>1677</v>
      </c>
    </row>
    <row r="68" ht="22" customHeight="1" spans="1:4">
      <c r="A68" s="6" t="s">
        <v>1601</v>
      </c>
      <c r="B68" s="6" t="s">
        <v>1678</v>
      </c>
      <c r="C68" s="6" t="s">
        <v>1599</v>
      </c>
      <c r="D68" s="6" t="s">
        <v>1619</v>
      </c>
    </row>
    <row r="69" ht="22" customHeight="1" spans="1:4">
      <c r="A69" s="6" t="s">
        <v>1601</v>
      </c>
      <c r="B69" s="6" t="s">
        <v>1679</v>
      </c>
      <c r="C69" s="6" t="s">
        <v>1599</v>
      </c>
      <c r="D69" s="6" t="s">
        <v>1621</v>
      </c>
    </row>
    <row r="70" ht="22" customHeight="1" spans="1:4">
      <c r="A70" s="6" t="s">
        <v>1601</v>
      </c>
      <c r="B70" s="6" t="s">
        <v>1680</v>
      </c>
      <c r="C70" s="6" t="s">
        <v>1573</v>
      </c>
      <c r="D70" s="6" t="s">
        <v>1623</v>
      </c>
    </row>
    <row r="71" ht="22" customHeight="1" spans="1:4">
      <c r="A71" s="6" t="s">
        <v>1601</v>
      </c>
      <c r="B71" s="6" t="s">
        <v>1681</v>
      </c>
      <c r="C71" s="6" t="s">
        <v>1573</v>
      </c>
      <c r="D71" s="6" t="s">
        <v>1589</v>
      </c>
    </row>
    <row r="72" ht="22" customHeight="1" spans="1:4">
      <c r="A72" s="6" t="s">
        <v>1601</v>
      </c>
      <c r="B72" s="6" t="s">
        <v>1682</v>
      </c>
      <c r="C72" s="6" t="s">
        <v>1573</v>
      </c>
      <c r="D72" s="6" t="s">
        <v>1683</v>
      </c>
    </row>
    <row r="73" ht="22" customHeight="1" spans="1:4">
      <c r="A73" s="6" t="s">
        <v>1601</v>
      </c>
      <c r="B73" s="6" t="s">
        <v>1684</v>
      </c>
      <c r="C73" s="6" t="s">
        <v>1573</v>
      </c>
      <c r="D73" s="6" t="s">
        <v>1685</v>
      </c>
    </row>
    <row r="74" ht="22" customHeight="1" spans="1:4">
      <c r="A74" s="6" t="s">
        <v>1601</v>
      </c>
      <c r="B74" s="6" t="s">
        <v>1686</v>
      </c>
      <c r="C74" s="6" t="s">
        <v>1573</v>
      </c>
      <c r="D74" s="6" t="s">
        <v>275</v>
      </c>
    </row>
    <row r="75" ht="22" customHeight="1" spans="1:4">
      <c r="A75" s="6" t="s">
        <v>1601</v>
      </c>
      <c r="B75" s="6" t="s">
        <v>1687</v>
      </c>
      <c r="C75" s="6" t="s">
        <v>1605</v>
      </c>
      <c r="D75" s="6" t="s">
        <v>1688</v>
      </c>
    </row>
    <row r="76" ht="22" customHeight="1" spans="1:4">
      <c r="A76" s="6" t="s">
        <v>1601</v>
      </c>
      <c r="B76" s="6" t="s">
        <v>1689</v>
      </c>
      <c r="C76" s="6" t="s">
        <v>1573</v>
      </c>
      <c r="D76" s="6" t="s">
        <v>275</v>
      </c>
    </row>
    <row r="77" ht="22" customHeight="1" spans="1:4">
      <c r="A77" s="6" t="s">
        <v>1601</v>
      </c>
      <c r="B77" s="6" t="s">
        <v>1690</v>
      </c>
      <c r="C77" s="6" t="s">
        <v>1605</v>
      </c>
      <c r="D77" s="6" t="s">
        <v>1691</v>
      </c>
    </row>
    <row r="78" ht="22" customHeight="1" spans="1:4">
      <c r="A78" s="6" t="s">
        <v>1601</v>
      </c>
      <c r="B78" s="6" t="s">
        <v>1692</v>
      </c>
      <c r="C78" s="6" t="s">
        <v>1605</v>
      </c>
      <c r="D78" s="6" t="s">
        <v>1636</v>
      </c>
    </row>
    <row r="79" ht="22" customHeight="1" spans="1:4">
      <c r="A79" s="6" t="s">
        <v>1601</v>
      </c>
      <c r="B79" s="6" t="s">
        <v>1693</v>
      </c>
      <c r="C79" s="6" t="s">
        <v>1605</v>
      </c>
      <c r="D79" s="6" t="s">
        <v>1606</v>
      </c>
    </row>
    <row r="80" ht="22" customHeight="1" spans="1:4">
      <c r="A80" s="6" t="s">
        <v>1601</v>
      </c>
      <c r="B80" s="6" t="s">
        <v>1694</v>
      </c>
      <c r="C80" s="6" t="s">
        <v>1599</v>
      </c>
      <c r="D80" s="6" t="s">
        <v>1695</v>
      </c>
    </row>
    <row r="81" ht="22" customHeight="1" spans="1:4">
      <c r="A81" s="6" t="s">
        <v>1601</v>
      </c>
      <c r="B81" s="6" t="s">
        <v>1696</v>
      </c>
      <c r="C81" s="6" t="s">
        <v>1605</v>
      </c>
      <c r="D81" s="6" t="s">
        <v>1697</v>
      </c>
    </row>
    <row r="82" ht="22" customHeight="1" spans="1:4">
      <c r="A82" s="6" t="s">
        <v>1601</v>
      </c>
      <c r="B82" s="6" t="s">
        <v>1698</v>
      </c>
      <c r="C82" s="6" t="s">
        <v>1605</v>
      </c>
      <c r="D82" s="6" t="s">
        <v>1699</v>
      </c>
    </row>
    <row r="83" ht="22" customHeight="1" spans="1:4">
      <c r="A83" s="6" t="s">
        <v>1601</v>
      </c>
      <c r="B83" s="6" t="s">
        <v>1700</v>
      </c>
      <c r="C83" s="6" t="s">
        <v>1605</v>
      </c>
      <c r="D83" s="6" t="s">
        <v>1701</v>
      </c>
    </row>
    <row r="84" ht="22" customHeight="1" spans="1:4">
      <c r="A84" s="6" t="s">
        <v>1601</v>
      </c>
      <c r="B84" s="6" t="s">
        <v>1702</v>
      </c>
      <c r="C84" s="6" t="s">
        <v>1599</v>
      </c>
      <c r="D84" s="6" t="s">
        <v>1703</v>
      </c>
    </row>
    <row r="85" ht="22" customHeight="1" spans="1:4">
      <c r="A85" s="6" t="s">
        <v>1601</v>
      </c>
      <c r="B85" s="6" t="s">
        <v>1704</v>
      </c>
      <c r="C85" s="6" t="s">
        <v>1573</v>
      </c>
      <c r="D85" s="6" t="s">
        <v>1623</v>
      </c>
    </row>
    <row r="86" ht="22" customHeight="1" spans="1:4">
      <c r="A86" s="6" t="s">
        <v>1601</v>
      </c>
      <c r="B86" s="6" t="s">
        <v>1705</v>
      </c>
      <c r="C86" s="6" t="s">
        <v>1573</v>
      </c>
      <c r="D86" s="6" t="s">
        <v>1706</v>
      </c>
    </row>
    <row r="87" ht="22" customHeight="1" spans="1:4">
      <c r="A87" s="6" t="s">
        <v>1601</v>
      </c>
      <c r="B87" s="6" t="s">
        <v>1707</v>
      </c>
      <c r="C87" s="6" t="s">
        <v>1599</v>
      </c>
      <c r="D87" s="6" t="s">
        <v>1708</v>
      </c>
    </row>
    <row r="88" ht="22" customHeight="1" spans="1:4">
      <c r="A88" s="6" t="s">
        <v>1601</v>
      </c>
      <c r="B88" s="6" t="s">
        <v>1709</v>
      </c>
      <c r="C88" s="6" t="s">
        <v>1570</v>
      </c>
      <c r="D88" s="6" t="s">
        <v>1571</v>
      </c>
    </row>
    <row r="89" ht="22" customHeight="1" spans="1:4">
      <c r="A89" s="6" t="s">
        <v>1601</v>
      </c>
      <c r="B89" s="6" t="s">
        <v>1710</v>
      </c>
      <c r="C89" s="6" t="s">
        <v>1599</v>
      </c>
      <c r="D89" s="6" t="s">
        <v>1711</v>
      </c>
    </row>
    <row r="90" ht="22" customHeight="1" spans="1:4">
      <c r="A90" s="6" t="s">
        <v>1601</v>
      </c>
      <c r="B90" s="6" t="s">
        <v>1712</v>
      </c>
      <c r="C90" s="6" t="s">
        <v>1570</v>
      </c>
      <c r="D90" s="6" t="s">
        <v>1571</v>
      </c>
    </row>
    <row r="91" ht="22" customHeight="1" spans="1:4">
      <c r="A91" s="6" t="s">
        <v>1601</v>
      </c>
      <c r="B91" s="6" t="s">
        <v>1713</v>
      </c>
      <c r="C91" s="6" t="s">
        <v>1714</v>
      </c>
      <c r="D91" s="6" t="s">
        <v>1715</v>
      </c>
    </row>
    <row r="92" ht="22" customHeight="1" spans="1:4">
      <c r="A92" s="6" t="s">
        <v>1601</v>
      </c>
      <c r="B92" s="6" t="s">
        <v>1716</v>
      </c>
      <c r="C92" s="6" t="s">
        <v>1605</v>
      </c>
      <c r="D92" s="6" t="s">
        <v>1659</v>
      </c>
    </row>
    <row r="93" ht="22" customHeight="1" spans="1:4">
      <c r="A93" s="6" t="s">
        <v>1601</v>
      </c>
      <c r="B93" s="6" t="s">
        <v>1717</v>
      </c>
      <c r="C93" s="6" t="s">
        <v>1573</v>
      </c>
      <c r="D93" s="6" t="s">
        <v>1718</v>
      </c>
    </row>
    <row r="94" ht="22" customHeight="1" spans="1:4">
      <c r="A94" s="6" t="s">
        <v>1601</v>
      </c>
      <c r="B94" s="6" t="s">
        <v>1719</v>
      </c>
      <c r="C94" s="6" t="s">
        <v>1599</v>
      </c>
      <c r="D94" s="6" t="s">
        <v>1720</v>
      </c>
    </row>
    <row r="95" ht="22" customHeight="1" spans="1:4">
      <c r="A95" s="6" t="s">
        <v>1601</v>
      </c>
      <c r="B95" s="6" t="s">
        <v>1721</v>
      </c>
      <c r="C95" s="6" t="s">
        <v>1599</v>
      </c>
      <c r="D95" s="6" t="s">
        <v>1619</v>
      </c>
    </row>
    <row r="96" ht="22" customHeight="1" spans="1:4">
      <c r="A96" s="6" t="s">
        <v>1601</v>
      </c>
      <c r="B96" s="6" t="s">
        <v>1722</v>
      </c>
      <c r="C96" s="6" t="s">
        <v>1599</v>
      </c>
      <c r="D96" s="6" t="s">
        <v>1723</v>
      </c>
    </row>
    <row r="97" ht="22" customHeight="1" spans="1:4">
      <c r="A97" s="6" t="s">
        <v>1601</v>
      </c>
      <c r="B97" s="6" t="s">
        <v>1724</v>
      </c>
      <c r="C97" s="6" t="s">
        <v>1573</v>
      </c>
      <c r="D97" s="6" t="s">
        <v>1725</v>
      </c>
    </row>
    <row r="98" ht="22" customHeight="1" spans="1:4">
      <c r="A98" s="6" t="s">
        <v>1601</v>
      </c>
      <c r="B98" s="6" t="s">
        <v>1726</v>
      </c>
      <c r="C98" s="6" t="s">
        <v>1573</v>
      </c>
      <c r="D98" s="6" t="s">
        <v>1727</v>
      </c>
    </row>
    <row r="99" ht="22" customHeight="1" spans="1:4">
      <c r="A99" s="6" t="s">
        <v>1601</v>
      </c>
      <c r="B99" s="6" t="s">
        <v>1728</v>
      </c>
      <c r="C99" s="6" t="s">
        <v>1573</v>
      </c>
      <c r="D99" s="6" t="s">
        <v>1729</v>
      </c>
    </row>
    <row r="100" ht="22" customHeight="1" spans="1:4">
      <c r="A100" s="6" t="s">
        <v>1601</v>
      </c>
      <c r="B100" s="6" t="s">
        <v>1730</v>
      </c>
      <c r="C100" s="6" t="s">
        <v>1573</v>
      </c>
      <c r="D100" s="6" t="s">
        <v>1731</v>
      </c>
    </row>
    <row r="101" ht="22" customHeight="1" spans="1:4">
      <c r="A101" s="6" t="s">
        <v>1601</v>
      </c>
      <c r="B101" s="6" t="s">
        <v>1732</v>
      </c>
      <c r="C101" s="6" t="s">
        <v>1573</v>
      </c>
      <c r="D101" s="6" t="s">
        <v>1733</v>
      </c>
    </row>
    <row r="102" ht="22" customHeight="1" spans="1:4">
      <c r="A102" s="6" t="s">
        <v>1601</v>
      </c>
      <c r="B102" s="6" t="s">
        <v>1734</v>
      </c>
      <c r="C102" s="6" t="s">
        <v>1605</v>
      </c>
      <c r="D102" s="6" t="s">
        <v>1735</v>
      </c>
    </row>
    <row r="103" ht="22" customHeight="1" spans="1:4">
      <c r="A103" s="6" t="s">
        <v>1601</v>
      </c>
      <c r="B103" s="6" t="s">
        <v>1736</v>
      </c>
      <c r="C103" s="6" t="s">
        <v>1573</v>
      </c>
      <c r="D103" s="6" t="s">
        <v>1623</v>
      </c>
    </row>
    <row r="104" ht="22" customHeight="1" spans="1:4">
      <c r="A104" s="6" t="s">
        <v>1601</v>
      </c>
      <c r="B104" s="6" t="s">
        <v>1737</v>
      </c>
      <c r="C104" s="6" t="s">
        <v>1605</v>
      </c>
      <c r="D104" s="6" t="s">
        <v>1738</v>
      </c>
    </row>
    <row r="105" ht="22" customHeight="1" spans="1:4">
      <c r="A105" s="6" t="s">
        <v>1601</v>
      </c>
      <c r="B105" s="6" t="s">
        <v>1739</v>
      </c>
      <c r="C105" s="6" t="s">
        <v>1605</v>
      </c>
      <c r="D105" s="6" t="s">
        <v>1636</v>
      </c>
    </row>
    <row r="106" ht="22" customHeight="1" spans="1:4">
      <c r="A106" s="6" t="s">
        <v>1601</v>
      </c>
      <c r="B106" s="6" t="s">
        <v>1740</v>
      </c>
      <c r="C106" s="6" t="s">
        <v>1605</v>
      </c>
      <c r="D106" s="6" t="s">
        <v>1606</v>
      </c>
    </row>
    <row r="107" ht="22" customHeight="1" spans="1:4">
      <c r="A107" s="6" t="s">
        <v>1601</v>
      </c>
      <c r="B107" s="6" t="s">
        <v>1741</v>
      </c>
      <c r="C107" s="6" t="s">
        <v>1599</v>
      </c>
      <c r="D107" s="6" t="s">
        <v>1742</v>
      </c>
    </row>
    <row r="108" ht="22" customHeight="1" spans="1:4">
      <c r="A108" s="6" t="s">
        <v>1601</v>
      </c>
      <c r="B108" s="6" t="s">
        <v>1743</v>
      </c>
      <c r="C108" s="6" t="s">
        <v>1605</v>
      </c>
      <c r="D108" s="6" t="s">
        <v>1744</v>
      </c>
    </row>
    <row r="109" ht="22" customHeight="1" spans="1:4">
      <c r="A109" s="6" t="s">
        <v>1601</v>
      </c>
      <c r="B109" s="6" t="s">
        <v>1745</v>
      </c>
      <c r="C109" s="6" t="s">
        <v>1605</v>
      </c>
      <c r="D109" s="6" t="s">
        <v>1651</v>
      </c>
    </row>
    <row r="110" ht="22" customHeight="1" spans="1:4">
      <c r="A110" s="6" t="s">
        <v>1601</v>
      </c>
      <c r="B110" s="6" t="s">
        <v>1746</v>
      </c>
      <c r="C110" s="6" t="s">
        <v>1599</v>
      </c>
      <c r="D110" s="6" t="s">
        <v>1747</v>
      </c>
    </row>
    <row r="111" ht="22" customHeight="1" spans="1:4">
      <c r="A111" s="6" t="s">
        <v>1601</v>
      </c>
      <c r="B111" s="6" t="s">
        <v>1748</v>
      </c>
      <c r="C111" s="6" t="s">
        <v>1599</v>
      </c>
      <c r="D111" s="6" t="s">
        <v>1655</v>
      </c>
    </row>
    <row r="112" ht="22" customHeight="1" spans="1:4">
      <c r="A112" s="6" t="s">
        <v>1601</v>
      </c>
      <c r="B112" s="6" t="s">
        <v>1749</v>
      </c>
      <c r="C112" s="6" t="s">
        <v>1605</v>
      </c>
      <c r="D112" s="6" t="s">
        <v>1750</v>
      </c>
    </row>
    <row r="113" ht="22" customHeight="1" spans="1:4">
      <c r="A113" s="6" t="s">
        <v>1601</v>
      </c>
      <c r="B113" s="6" t="s">
        <v>1751</v>
      </c>
      <c r="C113" s="6" t="s">
        <v>1605</v>
      </c>
      <c r="D113" s="6" t="s">
        <v>1673</v>
      </c>
    </row>
    <row r="114" ht="22" customHeight="1" spans="1:4">
      <c r="A114" s="6" t="s">
        <v>1601</v>
      </c>
      <c r="B114" s="6" t="s">
        <v>1752</v>
      </c>
      <c r="C114" s="6" t="s">
        <v>1599</v>
      </c>
      <c r="D114" s="6" t="s">
        <v>1661</v>
      </c>
    </row>
    <row r="115" ht="22" customHeight="1" spans="1:4">
      <c r="A115" s="6" t="s">
        <v>1601</v>
      </c>
      <c r="B115" s="6" t="s">
        <v>1753</v>
      </c>
      <c r="C115" s="6" t="s">
        <v>1573</v>
      </c>
      <c r="D115" s="6" t="s">
        <v>1623</v>
      </c>
    </row>
    <row r="116" ht="22" customHeight="1" spans="1:4">
      <c r="A116" s="6" t="s">
        <v>1601</v>
      </c>
      <c r="B116" s="6" t="s">
        <v>1754</v>
      </c>
      <c r="C116" s="6" t="s">
        <v>1573</v>
      </c>
      <c r="D116" s="6" t="s">
        <v>1706</v>
      </c>
    </row>
    <row r="117" ht="22" customHeight="1" spans="1:4">
      <c r="A117" s="6" t="s">
        <v>1601</v>
      </c>
      <c r="B117" s="6" t="s">
        <v>1755</v>
      </c>
      <c r="C117" s="6" t="s">
        <v>1599</v>
      </c>
      <c r="D117" s="6" t="s">
        <v>1756</v>
      </c>
    </row>
    <row r="118" ht="22" customHeight="1" spans="1:4">
      <c r="A118" s="6" t="s">
        <v>1601</v>
      </c>
      <c r="B118" s="6" t="s">
        <v>1757</v>
      </c>
      <c r="C118" s="6" t="s">
        <v>1570</v>
      </c>
      <c r="D118" s="6" t="s">
        <v>1571</v>
      </c>
    </row>
    <row r="119" ht="22" customHeight="1" spans="1:4">
      <c r="A119" s="6" t="s">
        <v>1601</v>
      </c>
      <c r="B119" s="6" t="s">
        <v>1758</v>
      </c>
      <c r="C119" s="6" t="s">
        <v>1599</v>
      </c>
      <c r="D119" s="6" t="s">
        <v>1759</v>
      </c>
    </row>
    <row r="120" ht="22" customHeight="1" spans="1:4">
      <c r="A120" s="6" t="s">
        <v>1601</v>
      </c>
      <c r="B120" s="6" t="s">
        <v>1760</v>
      </c>
      <c r="C120" s="6" t="s">
        <v>1576</v>
      </c>
      <c r="D120" s="6" t="s">
        <v>1571</v>
      </c>
    </row>
    <row r="121" ht="22" customHeight="1" spans="1:4">
      <c r="A121" s="6" t="s">
        <v>1601</v>
      </c>
      <c r="B121" s="6" t="s">
        <v>1761</v>
      </c>
      <c r="C121" s="6" t="s">
        <v>1599</v>
      </c>
      <c r="D121" s="6" t="s">
        <v>1661</v>
      </c>
    </row>
    <row r="122" ht="22" customHeight="1" spans="1:4">
      <c r="A122" s="6" t="s">
        <v>1601</v>
      </c>
      <c r="B122" s="6" t="s">
        <v>1762</v>
      </c>
      <c r="C122" s="6" t="s">
        <v>1570</v>
      </c>
      <c r="D122" s="6" t="s">
        <v>1571</v>
      </c>
    </row>
    <row r="123" ht="22" customHeight="1" spans="1:4">
      <c r="A123" s="6" t="s">
        <v>1601</v>
      </c>
      <c r="B123" s="6" t="s">
        <v>1763</v>
      </c>
      <c r="C123" s="6" t="s">
        <v>1714</v>
      </c>
      <c r="D123" s="6" t="s">
        <v>1715</v>
      </c>
    </row>
    <row r="124" ht="22" customHeight="1" spans="1:4">
      <c r="A124" s="6" t="s">
        <v>1601</v>
      </c>
      <c r="B124" s="6" t="s">
        <v>1764</v>
      </c>
      <c r="C124" s="6" t="s">
        <v>1605</v>
      </c>
      <c r="D124" s="6" t="s">
        <v>1673</v>
      </c>
    </row>
    <row r="125" ht="22" customHeight="1" spans="1:4">
      <c r="A125" s="6" t="s">
        <v>1601</v>
      </c>
      <c r="B125" s="6" t="s">
        <v>1765</v>
      </c>
      <c r="C125" s="6" t="s">
        <v>1599</v>
      </c>
      <c r="D125" s="6" t="s">
        <v>1766</v>
      </c>
    </row>
    <row r="126" ht="22" customHeight="1" spans="1:4">
      <c r="A126" s="6" t="s">
        <v>1601</v>
      </c>
      <c r="B126" s="6" t="s">
        <v>1767</v>
      </c>
      <c r="C126" s="6" t="s">
        <v>1599</v>
      </c>
      <c r="D126" s="6" t="s">
        <v>1619</v>
      </c>
    </row>
    <row r="127" ht="22" customHeight="1" spans="1:4">
      <c r="A127" s="6" t="s">
        <v>1601</v>
      </c>
      <c r="B127" s="6" t="s">
        <v>1768</v>
      </c>
      <c r="C127" s="6" t="s">
        <v>1599</v>
      </c>
      <c r="D127" s="6" t="s">
        <v>1769</v>
      </c>
    </row>
    <row r="128" ht="22" customHeight="1" spans="1:4">
      <c r="A128" s="6" t="s">
        <v>1601</v>
      </c>
      <c r="B128" s="6" t="s">
        <v>1770</v>
      </c>
      <c r="C128" s="6" t="s">
        <v>1573</v>
      </c>
      <c r="D128" s="6" t="s">
        <v>1725</v>
      </c>
    </row>
    <row r="129" ht="22" customHeight="1" spans="1:4">
      <c r="A129" s="6" t="s">
        <v>1601</v>
      </c>
      <c r="B129" s="6" t="s">
        <v>1771</v>
      </c>
      <c r="C129" s="6" t="s">
        <v>1573</v>
      </c>
      <c r="D129" s="6" t="s">
        <v>1727</v>
      </c>
    </row>
    <row r="130" ht="22" customHeight="1" spans="1:4">
      <c r="A130" s="6" t="s">
        <v>1601</v>
      </c>
      <c r="B130" s="6" t="s">
        <v>1772</v>
      </c>
      <c r="C130" s="6" t="s">
        <v>1573</v>
      </c>
      <c r="D130" s="6" t="s">
        <v>1773</v>
      </c>
    </row>
    <row r="131" ht="22" customHeight="1" spans="1:4">
      <c r="A131" s="6" t="s">
        <v>1601</v>
      </c>
      <c r="B131" s="6" t="s">
        <v>1774</v>
      </c>
      <c r="C131" s="6" t="s">
        <v>1573</v>
      </c>
      <c r="D131" s="6" t="s">
        <v>1775</v>
      </c>
    </row>
    <row r="132" ht="22" customHeight="1" spans="1:4">
      <c r="A132" s="6" t="s">
        <v>1601</v>
      </c>
      <c r="B132" s="6" t="s">
        <v>1776</v>
      </c>
      <c r="C132" s="6" t="s">
        <v>1573</v>
      </c>
      <c r="D132" s="6" t="s">
        <v>275</v>
      </c>
    </row>
    <row r="133" ht="22" customHeight="1" spans="1:4">
      <c r="A133" s="6" t="s">
        <v>1601</v>
      </c>
      <c r="B133" s="6" t="s">
        <v>1777</v>
      </c>
      <c r="C133" s="6" t="s">
        <v>1605</v>
      </c>
      <c r="D133" s="6" t="s">
        <v>1778</v>
      </c>
    </row>
    <row r="134" ht="22" customHeight="1" spans="1:4">
      <c r="A134" s="6" t="s">
        <v>1601</v>
      </c>
      <c r="B134" s="6" t="s">
        <v>1779</v>
      </c>
      <c r="C134" s="6" t="s">
        <v>1573</v>
      </c>
      <c r="D134" s="6" t="s">
        <v>275</v>
      </c>
    </row>
    <row r="135" ht="22" customHeight="1" spans="1:4">
      <c r="A135" s="6" t="s">
        <v>1601</v>
      </c>
      <c r="B135" s="6" t="s">
        <v>1780</v>
      </c>
      <c r="C135" s="6" t="s">
        <v>1605</v>
      </c>
      <c r="D135" s="6" t="s">
        <v>1634</v>
      </c>
    </row>
    <row r="136" ht="22" customHeight="1" spans="1:4">
      <c r="A136" s="6" t="s">
        <v>1601</v>
      </c>
      <c r="B136" s="6" t="s">
        <v>1781</v>
      </c>
      <c r="C136" s="6" t="s">
        <v>1605</v>
      </c>
      <c r="D136" s="6" t="s">
        <v>898</v>
      </c>
    </row>
    <row r="137" ht="22" customHeight="1" spans="1:4">
      <c r="A137" s="6" t="s">
        <v>1601</v>
      </c>
      <c r="B137" s="6" t="s">
        <v>1782</v>
      </c>
      <c r="C137" s="6" t="s">
        <v>1605</v>
      </c>
      <c r="D137" s="6" t="s">
        <v>1783</v>
      </c>
    </row>
    <row r="138" ht="22" customHeight="1" spans="1:4">
      <c r="A138" s="6" t="s">
        <v>1601</v>
      </c>
      <c r="B138" s="6" t="s">
        <v>1784</v>
      </c>
      <c r="C138" s="6" t="s">
        <v>1599</v>
      </c>
      <c r="D138" s="6" t="s">
        <v>1785</v>
      </c>
    </row>
    <row r="139" ht="22" customHeight="1" spans="1:4">
      <c r="A139" s="6" t="s">
        <v>1601</v>
      </c>
      <c r="B139" s="6" t="s">
        <v>1786</v>
      </c>
      <c r="C139" s="6" t="s">
        <v>1605</v>
      </c>
      <c r="D139" s="6" t="s">
        <v>1657</v>
      </c>
    </row>
    <row r="140" ht="22" customHeight="1" spans="1:4">
      <c r="A140" s="6" t="s">
        <v>1601</v>
      </c>
      <c r="B140" s="6" t="s">
        <v>1787</v>
      </c>
      <c r="C140" s="6" t="s">
        <v>1599</v>
      </c>
      <c r="D140" s="6" t="s">
        <v>1788</v>
      </c>
    </row>
    <row r="141" ht="22" customHeight="1" spans="1:4">
      <c r="A141" s="6" t="s">
        <v>1601</v>
      </c>
      <c r="B141" s="6" t="s">
        <v>1789</v>
      </c>
      <c r="C141" s="6" t="s">
        <v>1573</v>
      </c>
      <c r="D141" s="6" t="s">
        <v>1623</v>
      </c>
    </row>
    <row r="142" ht="22" customHeight="1" spans="1:4">
      <c r="A142" s="6" t="s">
        <v>1601</v>
      </c>
      <c r="B142" s="6" t="s">
        <v>1790</v>
      </c>
      <c r="C142" s="6" t="s">
        <v>1573</v>
      </c>
      <c r="D142" s="6" t="s">
        <v>1706</v>
      </c>
    </row>
    <row r="143" ht="22" customHeight="1" spans="1:4">
      <c r="A143" s="6" t="s">
        <v>1601</v>
      </c>
      <c r="B143" s="6" t="s">
        <v>1791</v>
      </c>
      <c r="C143" s="6" t="s">
        <v>1599</v>
      </c>
      <c r="D143" s="6" t="s">
        <v>1792</v>
      </c>
    </row>
    <row r="144" ht="22" customHeight="1" spans="1:4">
      <c r="A144" s="6" t="s">
        <v>1601</v>
      </c>
      <c r="B144" s="6" t="s">
        <v>1793</v>
      </c>
      <c r="C144" s="6" t="s">
        <v>1570</v>
      </c>
      <c r="D144" s="6" t="s">
        <v>1571</v>
      </c>
    </row>
    <row r="145" ht="22" customHeight="1" spans="1:4">
      <c r="A145" s="6" t="s">
        <v>1601</v>
      </c>
      <c r="B145" s="6" t="s">
        <v>1794</v>
      </c>
      <c r="C145" s="6" t="s">
        <v>1599</v>
      </c>
      <c r="D145" s="6" t="s">
        <v>1795</v>
      </c>
    </row>
    <row r="146" ht="22" customHeight="1" spans="1:4">
      <c r="A146" s="6" t="s">
        <v>1601</v>
      </c>
      <c r="B146" s="6" t="s">
        <v>1796</v>
      </c>
      <c r="C146" s="6" t="s">
        <v>1570</v>
      </c>
      <c r="D146" s="6" t="s">
        <v>1571</v>
      </c>
    </row>
    <row r="147" ht="22" customHeight="1" spans="1:4">
      <c r="A147" s="6" t="s">
        <v>1601</v>
      </c>
      <c r="B147" s="6" t="s">
        <v>1797</v>
      </c>
      <c r="C147" s="6" t="s">
        <v>1573</v>
      </c>
      <c r="D147" s="6" t="s">
        <v>1725</v>
      </c>
    </row>
    <row r="148" ht="22" customHeight="1" spans="1:4">
      <c r="A148" s="6" t="s">
        <v>1601</v>
      </c>
      <c r="B148" s="6" t="s">
        <v>1798</v>
      </c>
      <c r="C148" s="6" t="s">
        <v>1605</v>
      </c>
      <c r="D148" s="6" t="s">
        <v>1659</v>
      </c>
    </row>
    <row r="149" ht="22" customHeight="1" spans="1:4">
      <c r="A149" s="6" t="s">
        <v>1601</v>
      </c>
      <c r="B149" s="6" t="s">
        <v>1799</v>
      </c>
      <c r="C149" s="6" t="s">
        <v>1605</v>
      </c>
      <c r="D149" s="6" t="s">
        <v>1659</v>
      </c>
    </row>
    <row r="150" ht="22" customHeight="1" spans="1:4">
      <c r="A150" s="6" t="s">
        <v>1601</v>
      </c>
      <c r="B150" s="6" t="s">
        <v>1800</v>
      </c>
      <c r="C150" s="6" t="s">
        <v>1605</v>
      </c>
      <c r="D150" s="6" t="s">
        <v>1673</v>
      </c>
    </row>
    <row r="151" ht="22" customHeight="1" spans="1:4">
      <c r="A151" s="6" t="s">
        <v>1601</v>
      </c>
      <c r="B151" s="6" t="s">
        <v>1801</v>
      </c>
      <c r="C151" s="6" t="s">
        <v>1573</v>
      </c>
      <c r="D151" s="6" t="s">
        <v>463</v>
      </c>
    </row>
    <row r="152" ht="22" customHeight="1" spans="1:4">
      <c r="A152" s="6" t="s">
        <v>1601</v>
      </c>
      <c r="B152" s="6" t="s">
        <v>1802</v>
      </c>
      <c r="C152" s="6" t="s">
        <v>1599</v>
      </c>
      <c r="D152" s="6" t="s">
        <v>1803</v>
      </c>
    </row>
    <row r="153" ht="22" customHeight="1" spans="1:4">
      <c r="A153" s="6" t="s">
        <v>1601</v>
      </c>
      <c r="B153" s="6" t="s">
        <v>1804</v>
      </c>
      <c r="C153" s="6" t="s">
        <v>1599</v>
      </c>
      <c r="D153" s="6" t="s">
        <v>1619</v>
      </c>
    </row>
    <row r="154" ht="22" customHeight="1" spans="1:4">
      <c r="A154" s="6" t="s">
        <v>1601</v>
      </c>
      <c r="B154" s="6" t="s">
        <v>1805</v>
      </c>
      <c r="C154" s="6" t="s">
        <v>1599</v>
      </c>
      <c r="D154" s="6" t="s">
        <v>1769</v>
      </c>
    </row>
    <row r="155" ht="22" customHeight="1" spans="1:4">
      <c r="A155" s="6" t="s">
        <v>1601</v>
      </c>
      <c r="B155" s="6" t="s">
        <v>1806</v>
      </c>
      <c r="C155" s="6" t="s">
        <v>1573</v>
      </c>
      <c r="D155" s="6" t="s">
        <v>1725</v>
      </c>
    </row>
    <row r="156" ht="22" customHeight="1" spans="1:4">
      <c r="A156" s="6" t="s">
        <v>1601</v>
      </c>
      <c r="B156" s="6" t="s">
        <v>1807</v>
      </c>
      <c r="C156" s="6" t="s">
        <v>1573</v>
      </c>
      <c r="D156" s="6" t="s">
        <v>1727</v>
      </c>
    </row>
    <row r="157" ht="22" customHeight="1" spans="1:4">
      <c r="A157" s="6" t="s">
        <v>1601</v>
      </c>
      <c r="B157" s="6" t="s">
        <v>1808</v>
      </c>
      <c r="C157" s="6" t="s">
        <v>1573</v>
      </c>
      <c r="D157" s="6" t="s">
        <v>1809</v>
      </c>
    </row>
    <row r="158" ht="22" customHeight="1" spans="1:4">
      <c r="A158" s="6" t="s">
        <v>1601</v>
      </c>
      <c r="B158" s="6" t="s">
        <v>1810</v>
      </c>
      <c r="C158" s="6" t="s">
        <v>1573</v>
      </c>
      <c r="D158" s="6" t="s">
        <v>1811</v>
      </c>
    </row>
    <row r="159" ht="22" customHeight="1" spans="1:4">
      <c r="A159" s="6" t="s">
        <v>1601</v>
      </c>
      <c r="B159" s="6" t="s">
        <v>1812</v>
      </c>
      <c r="C159" s="6" t="s">
        <v>1573</v>
      </c>
      <c r="D159" s="6" t="s">
        <v>1593</v>
      </c>
    </row>
    <row r="160" ht="22" customHeight="1" spans="1:4">
      <c r="A160" s="6" t="s">
        <v>1601</v>
      </c>
      <c r="B160" s="6" t="s">
        <v>1813</v>
      </c>
      <c r="C160" s="6" t="s">
        <v>1605</v>
      </c>
      <c r="D160" s="6" t="s">
        <v>1631</v>
      </c>
    </row>
    <row r="161" ht="22" customHeight="1" spans="1:4">
      <c r="A161" s="6" t="s">
        <v>1601</v>
      </c>
      <c r="B161" s="6" t="s">
        <v>1814</v>
      </c>
      <c r="C161" s="6" t="s">
        <v>1573</v>
      </c>
      <c r="D161" s="6" t="s">
        <v>275</v>
      </c>
    </row>
    <row r="162" ht="22" customHeight="1" spans="1:4">
      <c r="A162" s="6" t="s">
        <v>1601</v>
      </c>
      <c r="B162" s="6" t="s">
        <v>1815</v>
      </c>
      <c r="C162" s="6" t="s">
        <v>1605</v>
      </c>
      <c r="D162" s="6" t="s">
        <v>1816</v>
      </c>
    </row>
    <row r="163" ht="22" customHeight="1" spans="1:4">
      <c r="A163" s="6" t="s">
        <v>1601</v>
      </c>
      <c r="B163" s="6" t="s">
        <v>1817</v>
      </c>
      <c r="C163" s="6" t="s">
        <v>1605</v>
      </c>
      <c r="D163" s="6" t="s">
        <v>1699</v>
      </c>
    </row>
    <row r="164" ht="22" customHeight="1" spans="1:4">
      <c r="A164" s="6" t="s">
        <v>1601</v>
      </c>
      <c r="B164" s="6" t="s">
        <v>1818</v>
      </c>
      <c r="C164" s="6" t="s">
        <v>1605</v>
      </c>
      <c r="D164" s="6" t="s">
        <v>1783</v>
      </c>
    </row>
    <row r="165" ht="22" customHeight="1" spans="1:4">
      <c r="A165" s="6" t="s">
        <v>1601</v>
      </c>
      <c r="B165" s="6" t="s">
        <v>1819</v>
      </c>
      <c r="C165" s="6" t="s">
        <v>1599</v>
      </c>
      <c r="D165" s="6" t="s">
        <v>1820</v>
      </c>
    </row>
    <row r="166" ht="22" customHeight="1" spans="1:4">
      <c r="A166" s="6" t="s">
        <v>1601</v>
      </c>
      <c r="B166" s="6" t="s">
        <v>1821</v>
      </c>
      <c r="C166" s="6" t="s">
        <v>1605</v>
      </c>
      <c r="D166" s="6" t="s">
        <v>1822</v>
      </c>
    </row>
    <row r="167" ht="22" customHeight="1" spans="1:4">
      <c r="A167" s="6" t="s">
        <v>1601</v>
      </c>
      <c r="B167" s="6" t="s">
        <v>1823</v>
      </c>
      <c r="C167" s="6" t="s">
        <v>1605</v>
      </c>
      <c r="D167" s="6" t="s">
        <v>1701</v>
      </c>
    </row>
    <row r="168" ht="22" customHeight="1" spans="1:4">
      <c r="A168" s="6" t="s">
        <v>1601</v>
      </c>
      <c r="B168" s="6" t="s">
        <v>1824</v>
      </c>
      <c r="C168" s="6" t="s">
        <v>1605</v>
      </c>
      <c r="D168" s="6" t="s">
        <v>898</v>
      </c>
    </row>
    <row r="169" ht="22" customHeight="1" spans="1:4">
      <c r="A169" s="6" t="s">
        <v>1601</v>
      </c>
      <c r="B169" s="6" t="s">
        <v>1825</v>
      </c>
      <c r="C169" s="6" t="s">
        <v>1605</v>
      </c>
      <c r="D169" s="6" t="s">
        <v>1701</v>
      </c>
    </row>
    <row r="170" ht="22" customHeight="1" spans="1:4">
      <c r="A170" s="6" t="s">
        <v>1601</v>
      </c>
      <c r="B170" s="6" t="s">
        <v>1826</v>
      </c>
      <c r="C170" s="6" t="s">
        <v>1599</v>
      </c>
      <c r="D170" s="6" t="s">
        <v>1827</v>
      </c>
    </row>
    <row r="171" ht="22" customHeight="1" spans="1:4">
      <c r="A171" s="6" t="s">
        <v>1601</v>
      </c>
      <c r="B171" s="6" t="s">
        <v>1828</v>
      </c>
      <c r="C171" s="6" t="s">
        <v>1573</v>
      </c>
      <c r="D171" s="6" t="s">
        <v>1623</v>
      </c>
    </row>
    <row r="172" ht="22" customHeight="1" spans="1:4">
      <c r="A172" s="6" t="s">
        <v>1601</v>
      </c>
      <c r="B172" s="6" t="s">
        <v>1829</v>
      </c>
      <c r="C172" s="6" t="s">
        <v>1573</v>
      </c>
      <c r="D172" s="6" t="s">
        <v>1706</v>
      </c>
    </row>
    <row r="173" ht="22" customHeight="1" spans="1:4">
      <c r="A173" s="6" t="s">
        <v>1601</v>
      </c>
      <c r="B173" s="6" t="s">
        <v>1830</v>
      </c>
      <c r="C173" s="6" t="s">
        <v>1573</v>
      </c>
      <c r="D173" s="6" t="s">
        <v>1725</v>
      </c>
    </row>
    <row r="174" ht="22" customHeight="1" spans="1:4">
      <c r="A174" s="6" t="s">
        <v>1601</v>
      </c>
      <c r="B174" s="6" t="s">
        <v>1831</v>
      </c>
      <c r="C174" s="6" t="s">
        <v>1599</v>
      </c>
      <c r="D174" s="6" t="s">
        <v>1832</v>
      </c>
    </row>
    <row r="175" ht="22" customHeight="1" spans="1:4">
      <c r="A175" s="6" t="s">
        <v>1601</v>
      </c>
      <c r="B175" s="6" t="s">
        <v>1833</v>
      </c>
      <c r="C175" s="6" t="s">
        <v>1570</v>
      </c>
      <c r="D175" s="6" t="s">
        <v>1571</v>
      </c>
    </row>
    <row r="176" ht="22" customHeight="1" spans="1:4">
      <c r="A176" s="6" t="s">
        <v>1601</v>
      </c>
      <c r="B176" s="6" t="s">
        <v>1834</v>
      </c>
      <c r="C176" s="6" t="s">
        <v>1599</v>
      </c>
      <c r="D176" s="6" t="s">
        <v>1835</v>
      </c>
    </row>
    <row r="177" ht="22" customHeight="1" spans="1:4">
      <c r="A177" s="6" t="s">
        <v>1601</v>
      </c>
      <c r="B177" s="6" t="s">
        <v>1836</v>
      </c>
      <c r="C177" s="6" t="s">
        <v>1576</v>
      </c>
      <c r="D177" s="6" t="s">
        <v>1571</v>
      </c>
    </row>
    <row r="178" ht="22" customHeight="1" spans="1:4">
      <c r="A178" s="6" t="s">
        <v>1601</v>
      </c>
      <c r="B178" s="6" t="s">
        <v>1837</v>
      </c>
      <c r="C178" s="6" t="s">
        <v>1599</v>
      </c>
      <c r="D178" s="6" t="s">
        <v>1661</v>
      </c>
    </row>
    <row r="179" ht="22" customHeight="1" spans="1:4">
      <c r="A179" s="6" t="s">
        <v>1601</v>
      </c>
      <c r="B179" s="6" t="s">
        <v>1838</v>
      </c>
      <c r="C179" s="6" t="s">
        <v>1570</v>
      </c>
      <c r="D179" s="6" t="s">
        <v>1571</v>
      </c>
    </row>
    <row r="180" ht="22" customHeight="1" spans="1:4">
      <c r="A180" s="6" t="s">
        <v>1601</v>
      </c>
      <c r="B180" s="6" t="s">
        <v>1839</v>
      </c>
      <c r="C180" s="6" t="s">
        <v>1605</v>
      </c>
      <c r="D180" s="6" t="s">
        <v>1840</v>
      </c>
    </row>
    <row r="181" ht="22" customHeight="1" spans="1:4">
      <c r="A181" s="6" t="s">
        <v>1601</v>
      </c>
      <c r="B181" s="6" t="s">
        <v>1841</v>
      </c>
      <c r="C181" s="6" t="s">
        <v>1605</v>
      </c>
      <c r="D181" s="6" t="s">
        <v>1744</v>
      </c>
    </row>
    <row r="182" ht="22" customHeight="1" spans="1:4">
      <c r="A182" s="6" t="s">
        <v>1601</v>
      </c>
      <c r="B182" s="6" t="s">
        <v>1842</v>
      </c>
      <c r="C182" s="6" t="s">
        <v>1573</v>
      </c>
      <c r="D182" s="6" t="s">
        <v>1725</v>
      </c>
    </row>
    <row r="183" ht="22" customHeight="1" spans="1:4">
      <c r="A183" s="6" t="s">
        <v>1601</v>
      </c>
      <c r="B183" s="6" t="s">
        <v>1843</v>
      </c>
      <c r="C183" s="6" t="s">
        <v>1599</v>
      </c>
      <c r="D183" s="6" t="s">
        <v>1844</v>
      </c>
    </row>
    <row r="184" ht="22" customHeight="1" spans="1:4">
      <c r="A184" s="6" t="s">
        <v>1601</v>
      </c>
      <c r="B184" s="6" t="s">
        <v>1845</v>
      </c>
      <c r="C184" s="6" t="s">
        <v>1599</v>
      </c>
      <c r="D184" s="6" t="s">
        <v>1619</v>
      </c>
    </row>
    <row r="185" ht="22" customHeight="1" spans="1:4">
      <c r="A185" s="6" t="s">
        <v>1601</v>
      </c>
      <c r="B185" s="6" t="s">
        <v>1846</v>
      </c>
      <c r="C185" s="6" t="s">
        <v>1599</v>
      </c>
      <c r="D185" s="6" t="s">
        <v>1723</v>
      </c>
    </row>
    <row r="186" ht="22" customHeight="1" spans="1:4">
      <c r="A186" s="6" t="s">
        <v>1601</v>
      </c>
      <c r="B186" s="6" t="s">
        <v>1847</v>
      </c>
      <c r="C186" s="6" t="s">
        <v>1573</v>
      </c>
      <c r="D186" s="6" t="s">
        <v>1725</v>
      </c>
    </row>
    <row r="187" ht="22" customHeight="1" spans="1:4">
      <c r="A187" s="6" t="s">
        <v>1601</v>
      </c>
      <c r="B187" s="6" t="s">
        <v>1848</v>
      </c>
      <c r="C187" s="6" t="s">
        <v>1573</v>
      </c>
      <c r="D187" s="6" t="s">
        <v>1727</v>
      </c>
    </row>
    <row r="188" ht="22" customHeight="1" spans="1:4">
      <c r="A188" s="6" t="s">
        <v>1601</v>
      </c>
      <c r="B188" s="6" t="s">
        <v>1849</v>
      </c>
      <c r="C188" s="6" t="s">
        <v>1573</v>
      </c>
      <c r="D188" s="6" t="s">
        <v>1850</v>
      </c>
    </row>
    <row r="189" ht="22" customHeight="1" spans="1:4">
      <c r="A189" s="6" t="s">
        <v>1601</v>
      </c>
      <c r="B189" s="6" t="s">
        <v>1851</v>
      </c>
      <c r="C189" s="6" t="s">
        <v>1573</v>
      </c>
      <c r="D189" s="6" t="s">
        <v>1852</v>
      </c>
    </row>
    <row r="190" ht="22" customHeight="1" spans="1:4">
      <c r="A190" s="6" t="s">
        <v>1601</v>
      </c>
      <c r="B190" s="6" t="s">
        <v>1853</v>
      </c>
      <c r="C190" s="6" t="s">
        <v>1573</v>
      </c>
      <c r="D190" s="6" t="s">
        <v>1585</v>
      </c>
    </row>
    <row r="191" ht="22" customHeight="1" spans="1:4">
      <c r="A191" s="6" t="s">
        <v>1601</v>
      </c>
      <c r="B191" s="6" t="s">
        <v>1854</v>
      </c>
      <c r="C191" s="6" t="s">
        <v>1605</v>
      </c>
      <c r="D191" s="6" t="s">
        <v>1855</v>
      </c>
    </row>
    <row r="192" ht="22" customHeight="1" spans="1:4">
      <c r="A192" s="6" t="s">
        <v>1601</v>
      </c>
      <c r="B192" s="6" t="s">
        <v>1856</v>
      </c>
      <c r="C192" s="6" t="s">
        <v>1573</v>
      </c>
      <c r="D192" s="6" t="s">
        <v>1623</v>
      </c>
    </row>
    <row r="193" ht="22" customHeight="1" spans="1:4">
      <c r="A193" s="6" t="s">
        <v>1601</v>
      </c>
      <c r="B193" s="6" t="s">
        <v>1857</v>
      </c>
      <c r="C193" s="6" t="s">
        <v>1605</v>
      </c>
      <c r="D193" s="6" t="s">
        <v>1858</v>
      </c>
    </row>
    <row r="194" ht="22" customHeight="1" spans="1:4">
      <c r="A194" s="6" t="s">
        <v>1601</v>
      </c>
      <c r="B194" s="6" t="s">
        <v>1859</v>
      </c>
      <c r="C194" s="6" t="s">
        <v>1605</v>
      </c>
      <c r="D194" s="6" t="s">
        <v>1699</v>
      </c>
    </row>
    <row r="195" ht="22" customHeight="1" spans="1:4">
      <c r="A195" s="6" t="s">
        <v>1601</v>
      </c>
      <c r="B195" s="6" t="s">
        <v>1860</v>
      </c>
      <c r="C195" s="6" t="s">
        <v>1605</v>
      </c>
      <c r="D195" s="6" t="s">
        <v>1783</v>
      </c>
    </row>
    <row r="196" ht="22" customHeight="1" spans="1:4">
      <c r="A196" s="6" t="s">
        <v>1601</v>
      </c>
      <c r="B196" s="6" t="s">
        <v>1861</v>
      </c>
      <c r="C196" s="6" t="s">
        <v>1599</v>
      </c>
      <c r="D196" s="6" t="s">
        <v>1862</v>
      </c>
    </row>
    <row r="197" ht="22" customHeight="1" spans="1:4">
      <c r="A197" s="6" t="s">
        <v>1601</v>
      </c>
      <c r="B197" s="6" t="s">
        <v>1863</v>
      </c>
      <c r="C197" s="6" t="s">
        <v>1605</v>
      </c>
      <c r="D197" s="6" t="s">
        <v>1738</v>
      </c>
    </row>
    <row r="198" ht="22" customHeight="1" spans="1:4">
      <c r="A198" s="6" t="s">
        <v>1601</v>
      </c>
      <c r="B198" s="6" t="s">
        <v>1864</v>
      </c>
      <c r="C198" s="6" t="s">
        <v>1605</v>
      </c>
      <c r="D198" s="6" t="s">
        <v>1865</v>
      </c>
    </row>
    <row r="199" ht="22" customHeight="1" spans="1:4">
      <c r="A199" s="6" t="s">
        <v>1601</v>
      </c>
      <c r="B199" s="6" t="s">
        <v>1866</v>
      </c>
      <c r="C199" s="6" t="s">
        <v>1605</v>
      </c>
      <c r="D199" s="6" t="s">
        <v>1643</v>
      </c>
    </row>
    <row r="200" ht="22" customHeight="1" spans="1:4">
      <c r="A200" s="6" t="s">
        <v>1601</v>
      </c>
      <c r="B200" s="6" t="s">
        <v>1867</v>
      </c>
      <c r="C200" s="6" t="s">
        <v>1573</v>
      </c>
      <c r="D200" s="6" t="s">
        <v>463</v>
      </c>
    </row>
    <row r="201" ht="22" customHeight="1" spans="1:4">
      <c r="A201" s="6" t="s">
        <v>1601</v>
      </c>
      <c r="B201" s="6" t="s">
        <v>1868</v>
      </c>
      <c r="C201" s="6" t="s">
        <v>1599</v>
      </c>
      <c r="D201" s="6" t="s">
        <v>1869</v>
      </c>
    </row>
    <row r="202" ht="22" customHeight="1" spans="1:4">
      <c r="A202" s="6" t="s">
        <v>1601</v>
      </c>
      <c r="B202" s="6" t="s">
        <v>1870</v>
      </c>
      <c r="C202" s="6" t="s">
        <v>1573</v>
      </c>
      <c r="D202" s="6" t="s">
        <v>1623</v>
      </c>
    </row>
    <row r="203" ht="22" customHeight="1" spans="1:4">
      <c r="A203" s="6" t="s">
        <v>1601</v>
      </c>
      <c r="B203" s="6" t="s">
        <v>1871</v>
      </c>
      <c r="C203" s="6" t="s">
        <v>1573</v>
      </c>
      <c r="D203" s="6" t="s">
        <v>1706</v>
      </c>
    </row>
    <row r="204" ht="22" customHeight="1" spans="1:4">
      <c r="A204" s="6" t="s">
        <v>1601</v>
      </c>
      <c r="B204" s="6" t="s">
        <v>1872</v>
      </c>
      <c r="C204" s="6" t="s">
        <v>1599</v>
      </c>
      <c r="D204" s="6" t="s">
        <v>1873</v>
      </c>
    </row>
    <row r="205" ht="22" customHeight="1" spans="1:4">
      <c r="A205" s="6" t="s">
        <v>1601</v>
      </c>
      <c r="B205" s="6" t="s">
        <v>1874</v>
      </c>
      <c r="C205" s="6" t="s">
        <v>1570</v>
      </c>
      <c r="D205" s="6" t="s">
        <v>1571</v>
      </c>
    </row>
    <row r="206" ht="22" customHeight="1" spans="1:4">
      <c r="A206" s="6" t="s">
        <v>1601</v>
      </c>
      <c r="B206" s="6" t="s">
        <v>1875</v>
      </c>
      <c r="C206" s="6" t="s">
        <v>1599</v>
      </c>
      <c r="D206" s="6" t="s">
        <v>1876</v>
      </c>
    </row>
    <row r="207" ht="22" customHeight="1" spans="1:4">
      <c r="A207" s="6" t="s">
        <v>1601</v>
      </c>
      <c r="B207" s="6" t="s">
        <v>1877</v>
      </c>
      <c r="C207" s="6" t="s">
        <v>1570</v>
      </c>
      <c r="D207" s="6" t="s">
        <v>1571</v>
      </c>
    </row>
    <row r="208" ht="22" customHeight="1" spans="1:4">
      <c r="A208" s="6" t="s">
        <v>1601</v>
      </c>
      <c r="B208" s="6" t="s">
        <v>1878</v>
      </c>
      <c r="C208" s="6" t="s">
        <v>1605</v>
      </c>
      <c r="D208" s="6" t="s">
        <v>1879</v>
      </c>
    </row>
    <row r="209" ht="22" customHeight="1" spans="1:4">
      <c r="A209" s="6" t="s">
        <v>1601</v>
      </c>
      <c r="B209" s="6" t="s">
        <v>1880</v>
      </c>
      <c r="C209" s="6" t="s">
        <v>1573</v>
      </c>
      <c r="D209" s="6" t="s">
        <v>1593</v>
      </c>
    </row>
    <row r="210" ht="22" customHeight="1" spans="1:4">
      <c r="A210" s="6" t="s">
        <v>1601</v>
      </c>
      <c r="B210" s="6" t="s">
        <v>1881</v>
      </c>
      <c r="C210" s="6" t="s">
        <v>1573</v>
      </c>
      <c r="D210" s="6" t="s">
        <v>275</v>
      </c>
    </row>
    <row r="211" ht="22" customHeight="1" spans="1:4">
      <c r="A211" s="6" t="s">
        <v>1601</v>
      </c>
      <c r="B211" s="6" t="s">
        <v>1882</v>
      </c>
      <c r="C211" s="6" t="s">
        <v>1599</v>
      </c>
      <c r="D211" s="6" t="s">
        <v>1883</v>
      </c>
    </row>
    <row r="212" ht="22" customHeight="1" spans="1:4">
      <c r="A212" s="6" t="s">
        <v>1601</v>
      </c>
      <c r="B212" s="6" t="s">
        <v>1884</v>
      </c>
      <c r="C212" s="6" t="s">
        <v>1599</v>
      </c>
      <c r="D212" s="6" t="s">
        <v>1619</v>
      </c>
    </row>
    <row r="213" ht="22" customHeight="1" spans="1:4">
      <c r="A213" s="6" t="s">
        <v>1601</v>
      </c>
      <c r="B213" s="6" t="s">
        <v>1885</v>
      </c>
      <c r="C213" s="6" t="s">
        <v>1599</v>
      </c>
      <c r="D213" s="6" t="s">
        <v>1769</v>
      </c>
    </row>
    <row r="214" ht="22" customHeight="1" spans="1:4">
      <c r="A214" s="6" t="s">
        <v>1601</v>
      </c>
      <c r="B214" s="6" t="s">
        <v>1886</v>
      </c>
      <c r="C214" s="6" t="s">
        <v>1573</v>
      </c>
      <c r="D214" s="6" t="s">
        <v>921</v>
      </c>
    </row>
    <row r="215" ht="22" customHeight="1" spans="1:4">
      <c r="A215" s="6" t="s">
        <v>1601</v>
      </c>
      <c r="B215" s="6" t="s">
        <v>1887</v>
      </c>
      <c r="C215" s="6" t="s">
        <v>1573</v>
      </c>
      <c r="D215" s="6" t="s">
        <v>1888</v>
      </c>
    </row>
    <row r="216" ht="22" customHeight="1" spans="1:4">
      <c r="A216" s="6" t="s">
        <v>1601</v>
      </c>
      <c r="B216" s="6" t="s">
        <v>1889</v>
      </c>
      <c r="C216" s="6" t="s">
        <v>1573</v>
      </c>
      <c r="D216" s="6" t="s">
        <v>1890</v>
      </c>
    </row>
    <row r="217" ht="22" customHeight="1" spans="1:4">
      <c r="A217" s="6" t="s">
        <v>1601</v>
      </c>
      <c r="B217" s="6" t="s">
        <v>1891</v>
      </c>
      <c r="C217" s="6" t="s">
        <v>1573</v>
      </c>
      <c r="D217" s="6" t="s">
        <v>1892</v>
      </c>
    </row>
    <row r="218" ht="22" customHeight="1" spans="1:4">
      <c r="A218" s="6" t="s">
        <v>1601</v>
      </c>
      <c r="B218" s="6" t="s">
        <v>1893</v>
      </c>
      <c r="C218" s="6" t="s">
        <v>1573</v>
      </c>
      <c r="D218" s="6" t="s">
        <v>1587</v>
      </c>
    </row>
    <row r="219" ht="22" customHeight="1" spans="1:4">
      <c r="A219" s="6" t="s">
        <v>1601</v>
      </c>
      <c r="B219" s="6" t="s">
        <v>1894</v>
      </c>
      <c r="C219" s="6" t="s">
        <v>1605</v>
      </c>
      <c r="D219" s="6" t="s">
        <v>1895</v>
      </c>
    </row>
    <row r="220" ht="22" customHeight="1" spans="1:4">
      <c r="A220" s="6" t="s">
        <v>1601</v>
      </c>
      <c r="B220" s="6" t="s">
        <v>1896</v>
      </c>
      <c r="C220" s="6" t="s">
        <v>1573</v>
      </c>
      <c r="D220" s="6" t="s">
        <v>275</v>
      </c>
    </row>
    <row r="221" ht="22" customHeight="1" spans="1:4">
      <c r="A221" s="6" t="s">
        <v>1601</v>
      </c>
      <c r="B221" s="6" t="s">
        <v>1897</v>
      </c>
      <c r="C221" s="6" t="s">
        <v>1605</v>
      </c>
      <c r="D221" s="6" t="s">
        <v>1858</v>
      </c>
    </row>
    <row r="222" ht="22" customHeight="1" spans="1:4">
      <c r="A222" s="6" t="s">
        <v>1601</v>
      </c>
      <c r="B222" s="6" t="s">
        <v>1898</v>
      </c>
      <c r="C222" s="6" t="s">
        <v>1605</v>
      </c>
      <c r="D222" s="6" t="s">
        <v>898</v>
      </c>
    </row>
    <row r="223" ht="22" customHeight="1" spans="1:4">
      <c r="A223" s="6" t="s">
        <v>1601</v>
      </c>
      <c r="B223" s="6" t="s">
        <v>1899</v>
      </c>
      <c r="C223" s="6" t="s">
        <v>1605</v>
      </c>
      <c r="D223" s="6" t="s">
        <v>1900</v>
      </c>
    </row>
    <row r="224" ht="22" customHeight="1" spans="1:4">
      <c r="A224" s="6" t="s">
        <v>1601</v>
      </c>
      <c r="B224" s="6" t="s">
        <v>1901</v>
      </c>
      <c r="C224" s="6" t="s">
        <v>1599</v>
      </c>
      <c r="D224" s="6" t="s">
        <v>1902</v>
      </c>
    </row>
    <row r="225" ht="22" customHeight="1" spans="1:4">
      <c r="A225" s="6" t="s">
        <v>1601</v>
      </c>
      <c r="B225" s="6" t="s">
        <v>1903</v>
      </c>
      <c r="C225" s="6" t="s">
        <v>1605</v>
      </c>
      <c r="D225" s="6" t="s">
        <v>1697</v>
      </c>
    </row>
    <row r="226" ht="22" customHeight="1" spans="1:4">
      <c r="A226" s="6" t="s">
        <v>1601</v>
      </c>
      <c r="B226" s="6" t="s">
        <v>1904</v>
      </c>
      <c r="C226" s="6" t="s">
        <v>1605</v>
      </c>
      <c r="D226" s="6" t="s">
        <v>1615</v>
      </c>
    </row>
    <row r="227" ht="22" customHeight="1" spans="1:4">
      <c r="A227" s="6" t="s">
        <v>1601</v>
      </c>
      <c r="B227" s="6" t="s">
        <v>1905</v>
      </c>
      <c r="C227" s="6" t="s">
        <v>1605</v>
      </c>
      <c r="D227" s="6" t="s">
        <v>1697</v>
      </c>
    </row>
    <row r="228" ht="22" customHeight="1" spans="1:4">
      <c r="A228" s="6" t="s">
        <v>1601</v>
      </c>
      <c r="B228" s="6" t="s">
        <v>1906</v>
      </c>
      <c r="C228" s="6" t="s">
        <v>1714</v>
      </c>
      <c r="D228" s="6" t="s">
        <v>1715</v>
      </c>
    </row>
    <row r="229" ht="22" customHeight="1" spans="1:4">
      <c r="A229" s="6" t="s">
        <v>1601</v>
      </c>
      <c r="B229" s="6" t="s">
        <v>1907</v>
      </c>
      <c r="C229" s="6" t="s">
        <v>1599</v>
      </c>
      <c r="D229" s="6" t="s">
        <v>1908</v>
      </c>
    </row>
    <row r="230" ht="22" customHeight="1" spans="1:4">
      <c r="A230" s="6" t="s">
        <v>1601</v>
      </c>
      <c r="B230" s="6" t="s">
        <v>1909</v>
      </c>
      <c r="C230" s="6" t="s">
        <v>1573</v>
      </c>
      <c r="D230" s="6" t="s">
        <v>1623</v>
      </c>
    </row>
    <row r="231" ht="22" customHeight="1" spans="1:4">
      <c r="A231" s="6" t="s">
        <v>1601</v>
      </c>
      <c r="B231" s="6" t="s">
        <v>1910</v>
      </c>
      <c r="C231" s="6" t="s">
        <v>1573</v>
      </c>
      <c r="D231" s="6" t="s">
        <v>1706</v>
      </c>
    </row>
    <row r="232" ht="22" customHeight="1" spans="1:4">
      <c r="A232" s="6" t="s">
        <v>1601</v>
      </c>
      <c r="B232" s="6" t="s">
        <v>1911</v>
      </c>
      <c r="C232" s="6" t="s">
        <v>1599</v>
      </c>
      <c r="D232" s="6" t="s">
        <v>1912</v>
      </c>
    </row>
    <row r="233" ht="22" customHeight="1" spans="1:4">
      <c r="A233" s="6" t="s">
        <v>1601</v>
      </c>
      <c r="B233" s="6" t="s">
        <v>1913</v>
      </c>
      <c r="C233" s="6" t="s">
        <v>1570</v>
      </c>
      <c r="D233" s="6" t="s">
        <v>1571</v>
      </c>
    </row>
    <row r="234" ht="22" customHeight="1" spans="1:4">
      <c r="A234" s="6" t="s">
        <v>1601</v>
      </c>
      <c r="B234" s="6" t="s">
        <v>1914</v>
      </c>
      <c r="C234" s="6" t="s">
        <v>1599</v>
      </c>
      <c r="D234" s="6" t="s">
        <v>1915</v>
      </c>
    </row>
    <row r="235" ht="22" customHeight="1" spans="1:4">
      <c r="A235" s="6" t="s">
        <v>1601</v>
      </c>
      <c r="B235" s="6" t="s">
        <v>1916</v>
      </c>
      <c r="C235" s="6" t="s">
        <v>1570</v>
      </c>
      <c r="D235" s="6" t="s">
        <v>1571</v>
      </c>
    </row>
    <row r="236" ht="22" customHeight="1" spans="1:4">
      <c r="A236" s="6" t="s">
        <v>1601</v>
      </c>
      <c r="B236" s="6" t="s">
        <v>1917</v>
      </c>
      <c r="C236" s="6" t="s">
        <v>1605</v>
      </c>
      <c r="D236" s="6" t="s">
        <v>1634</v>
      </c>
    </row>
    <row r="237" ht="22" customHeight="1" spans="1:4">
      <c r="A237" s="6" t="s">
        <v>1601</v>
      </c>
      <c r="B237" s="6" t="s">
        <v>1918</v>
      </c>
      <c r="C237" s="6" t="s">
        <v>1605</v>
      </c>
      <c r="D237" s="6" t="s">
        <v>1919</v>
      </c>
    </row>
    <row r="238" ht="22" customHeight="1" spans="1:4">
      <c r="A238" s="6" t="s">
        <v>1601</v>
      </c>
      <c r="B238" s="6" t="s">
        <v>1920</v>
      </c>
      <c r="C238" s="6" t="s">
        <v>1573</v>
      </c>
      <c r="D238" s="6" t="s">
        <v>493</v>
      </c>
    </row>
    <row r="239" ht="22" customHeight="1" spans="1:4">
      <c r="A239" s="6" t="s">
        <v>1601</v>
      </c>
      <c r="B239" s="6" t="s">
        <v>1921</v>
      </c>
      <c r="C239" s="6" t="s">
        <v>1599</v>
      </c>
      <c r="D239" s="6" t="s">
        <v>1922</v>
      </c>
    </row>
    <row r="240" ht="22" customHeight="1" spans="1:4">
      <c r="A240" s="6" t="s">
        <v>1601</v>
      </c>
      <c r="B240" s="6" t="s">
        <v>1923</v>
      </c>
      <c r="C240" s="6" t="s">
        <v>1599</v>
      </c>
      <c r="D240" s="6" t="s">
        <v>1619</v>
      </c>
    </row>
    <row r="241" ht="22" customHeight="1" spans="1:4">
      <c r="A241" s="6" t="s">
        <v>1601</v>
      </c>
      <c r="B241" s="6" t="s">
        <v>1924</v>
      </c>
      <c r="C241" s="6" t="s">
        <v>1599</v>
      </c>
      <c r="D241" s="6" t="s">
        <v>1723</v>
      </c>
    </row>
    <row r="242" ht="22" customHeight="1" spans="1:4">
      <c r="A242" s="6" t="s">
        <v>1601</v>
      </c>
      <c r="B242" s="6" t="s">
        <v>1925</v>
      </c>
      <c r="C242" s="6" t="s">
        <v>1573</v>
      </c>
      <c r="D242" s="6" t="s">
        <v>921</v>
      </c>
    </row>
    <row r="243" ht="22" customHeight="1" spans="1:4">
      <c r="A243" s="6" t="s">
        <v>1601</v>
      </c>
      <c r="B243" s="6" t="s">
        <v>1926</v>
      </c>
      <c r="C243" s="6" t="s">
        <v>1573</v>
      </c>
      <c r="D243" s="6" t="s">
        <v>1888</v>
      </c>
    </row>
    <row r="244" ht="22" customHeight="1" spans="1:4">
      <c r="A244" s="6" t="s">
        <v>1601</v>
      </c>
      <c r="B244" s="6" t="s">
        <v>1927</v>
      </c>
      <c r="C244" s="6" t="s">
        <v>1573</v>
      </c>
      <c r="D244" s="6" t="s">
        <v>1928</v>
      </c>
    </row>
    <row r="245" ht="22" customHeight="1" spans="1:4">
      <c r="A245" s="6" t="s">
        <v>1601</v>
      </c>
      <c r="B245" s="6" t="s">
        <v>1929</v>
      </c>
      <c r="C245" s="6" t="s">
        <v>1573</v>
      </c>
      <c r="D245" s="6" t="s">
        <v>1930</v>
      </c>
    </row>
    <row r="246" ht="22" customHeight="1" spans="1:4">
      <c r="A246" s="6" t="s">
        <v>1601</v>
      </c>
      <c r="B246" s="6" t="s">
        <v>1931</v>
      </c>
      <c r="C246" s="6" t="s">
        <v>1573</v>
      </c>
      <c r="D246" s="6" t="s">
        <v>1596</v>
      </c>
    </row>
    <row r="247" ht="22" customHeight="1" spans="1:4">
      <c r="A247" s="6" t="s">
        <v>1601</v>
      </c>
      <c r="B247" s="6" t="s">
        <v>1932</v>
      </c>
      <c r="C247" s="6" t="s">
        <v>1605</v>
      </c>
      <c r="D247" s="6" t="s">
        <v>1933</v>
      </c>
    </row>
    <row r="248" ht="22" customHeight="1" spans="1:4">
      <c r="A248" s="6" t="s">
        <v>1601</v>
      </c>
      <c r="B248" s="6" t="s">
        <v>1934</v>
      </c>
      <c r="C248" s="6" t="s">
        <v>1573</v>
      </c>
      <c r="D248" s="6" t="s">
        <v>1623</v>
      </c>
    </row>
    <row r="249" ht="22" customHeight="1" spans="1:4">
      <c r="A249" s="6" t="s">
        <v>1601</v>
      </c>
      <c r="B249" s="6" t="s">
        <v>1935</v>
      </c>
      <c r="C249" s="6" t="s">
        <v>1605</v>
      </c>
      <c r="D249" s="6" t="s">
        <v>1738</v>
      </c>
    </row>
    <row r="250" ht="22" customHeight="1" spans="1:4">
      <c r="A250" s="6" t="s">
        <v>1601</v>
      </c>
      <c r="B250" s="6" t="s">
        <v>1936</v>
      </c>
      <c r="C250" s="6" t="s">
        <v>1605</v>
      </c>
      <c r="D250" s="6" t="s">
        <v>1937</v>
      </c>
    </row>
    <row r="251" ht="22" customHeight="1" spans="1:4">
      <c r="A251" s="6" t="s">
        <v>1601</v>
      </c>
      <c r="B251" s="6" t="s">
        <v>1938</v>
      </c>
      <c r="C251" s="6" t="s">
        <v>1605</v>
      </c>
      <c r="D251" s="6" t="s">
        <v>1900</v>
      </c>
    </row>
    <row r="252" ht="22" customHeight="1" spans="1:4">
      <c r="A252" s="6" t="s">
        <v>1601</v>
      </c>
      <c r="B252" s="6" t="s">
        <v>1939</v>
      </c>
      <c r="C252" s="6" t="s">
        <v>1599</v>
      </c>
      <c r="D252" s="6" t="s">
        <v>1940</v>
      </c>
    </row>
    <row r="253" ht="22" customHeight="1" spans="1:4">
      <c r="A253" s="6" t="s">
        <v>1601</v>
      </c>
      <c r="B253" s="6" t="s">
        <v>1941</v>
      </c>
      <c r="C253" s="6" t="s">
        <v>1605</v>
      </c>
      <c r="D253" s="6" t="s">
        <v>1942</v>
      </c>
    </row>
    <row r="254" ht="22" customHeight="1" spans="1:4">
      <c r="A254" s="6" t="s">
        <v>1601</v>
      </c>
      <c r="B254" s="6" t="s">
        <v>1943</v>
      </c>
      <c r="C254" s="6" t="s">
        <v>1605</v>
      </c>
      <c r="D254" s="6" t="s">
        <v>1783</v>
      </c>
    </row>
    <row r="255" ht="22" customHeight="1" spans="1:4">
      <c r="A255" s="6" t="s">
        <v>1601</v>
      </c>
      <c r="B255" s="6" t="s">
        <v>1944</v>
      </c>
      <c r="C255" s="6" t="s">
        <v>1605</v>
      </c>
      <c r="D255" s="6" t="s">
        <v>1699</v>
      </c>
    </row>
    <row r="256" ht="22" customHeight="1" spans="1:4">
      <c r="A256" s="6" t="s">
        <v>1601</v>
      </c>
      <c r="B256" s="6" t="s">
        <v>1945</v>
      </c>
      <c r="C256" s="6" t="s">
        <v>1573</v>
      </c>
      <c r="D256" s="6" t="s">
        <v>463</v>
      </c>
    </row>
    <row r="257" ht="22" customHeight="1" spans="1:4">
      <c r="A257" s="6" t="s">
        <v>1601</v>
      </c>
      <c r="B257" s="6" t="s">
        <v>1946</v>
      </c>
      <c r="C257" s="6" t="s">
        <v>1605</v>
      </c>
      <c r="D257" s="6" t="s">
        <v>1615</v>
      </c>
    </row>
    <row r="258" ht="22" customHeight="1" spans="1:4">
      <c r="A258" s="6" t="s">
        <v>1601</v>
      </c>
      <c r="B258" s="6" t="s">
        <v>1947</v>
      </c>
      <c r="C258" s="6" t="s">
        <v>1714</v>
      </c>
      <c r="D258" s="6" t="s">
        <v>1715</v>
      </c>
    </row>
    <row r="259" ht="22" customHeight="1" spans="1:4">
      <c r="A259" s="6" t="s">
        <v>1601</v>
      </c>
      <c r="B259" s="6" t="s">
        <v>1948</v>
      </c>
      <c r="C259" s="6" t="s">
        <v>1599</v>
      </c>
      <c r="D259" s="6" t="s">
        <v>1949</v>
      </c>
    </row>
    <row r="260" ht="22" customHeight="1" spans="1:4">
      <c r="A260" s="6" t="s">
        <v>1601</v>
      </c>
      <c r="B260" s="6" t="s">
        <v>1950</v>
      </c>
      <c r="C260" s="6" t="s">
        <v>1573</v>
      </c>
      <c r="D260" s="6" t="s">
        <v>1623</v>
      </c>
    </row>
    <row r="261" ht="22" customHeight="1" spans="1:4">
      <c r="A261" s="6" t="s">
        <v>1601</v>
      </c>
      <c r="B261" s="6" t="s">
        <v>1951</v>
      </c>
      <c r="C261" s="6" t="s">
        <v>1573</v>
      </c>
      <c r="D261" s="6" t="s">
        <v>1706</v>
      </c>
    </row>
    <row r="262" ht="22" customHeight="1" spans="1:4">
      <c r="A262" s="6" t="s">
        <v>1601</v>
      </c>
      <c r="B262" s="6" t="s">
        <v>1952</v>
      </c>
      <c r="C262" s="6" t="s">
        <v>1599</v>
      </c>
      <c r="D262" s="6" t="s">
        <v>1953</v>
      </c>
    </row>
    <row r="263" ht="22" customHeight="1" spans="1:4">
      <c r="A263" s="6" t="s">
        <v>1601</v>
      </c>
      <c r="B263" s="6" t="s">
        <v>1954</v>
      </c>
      <c r="C263" s="6" t="s">
        <v>1570</v>
      </c>
      <c r="D263" s="6" t="s">
        <v>1571</v>
      </c>
    </row>
    <row r="264" ht="22" customHeight="1" spans="1:4">
      <c r="A264" s="6" t="s">
        <v>1601</v>
      </c>
      <c r="B264" s="6" t="s">
        <v>1955</v>
      </c>
      <c r="C264" s="6" t="s">
        <v>1599</v>
      </c>
      <c r="D264" s="6" t="s">
        <v>1956</v>
      </c>
    </row>
    <row r="265" ht="22" customHeight="1" spans="1:4">
      <c r="A265" s="6" t="s">
        <v>1601</v>
      </c>
      <c r="B265" s="6" t="s">
        <v>1957</v>
      </c>
      <c r="C265" s="6" t="s">
        <v>1570</v>
      </c>
      <c r="D265" s="6" t="s">
        <v>1571</v>
      </c>
    </row>
    <row r="266" ht="22" customHeight="1" spans="1:4">
      <c r="A266" s="6" t="s">
        <v>1601</v>
      </c>
      <c r="B266" s="6" t="s">
        <v>1958</v>
      </c>
      <c r="C266" s="6" t="s">
        <v>1605</v>
      </c>
      <c r="D266" s="6" t="s">
        <v>1671</v>
      </c>
    </row>
    <row r="267" ht="22" customHeight="1" spans="1:4">
      <c r="A267" s="6" t="s">
        <v>1601</v>
      </c>
      <c r="B267" s="6" t="s">
        <v>1959</v>
      </c>
      <c r="C267" s="6" t="s">
        <v>1605</v>
      </c>
      <c r="D267" s="6" t="s">
        <v>1671</v>
      </c>
    </row>
    <row r="268" ht="22" customHeight="1" spans="1:4">
      <c r="A268" s="6" t="s">
        <v>1601</v>
      </c>
      <c r="B268" s="6" t="s">
        <v>1960</v>
      </c>
      <c r="C268" s="6" t="s">
        <v>1599</v>
      </c>
      <c r="D268" s="6" t="s">
        <v>1961</v>
      </c>
    </row>
    <row r="269" ht="22" customHeight="1" spans="1:4">
      <c r="A269" s="6" t="s">
        <v>1601</v>
      </c>
      <c r="B269" s="6" t="s">
        <v>1962</v>
      </c>
      <c r="C269" s="6" t="s">
        <v>1599</v>
      </c>
      <c r="D269" s="6" t="s">
        <v>1963</v>
      </c>
    </row>
    <row r="270" ht="22" customHeight="1" spans="1:4">
      <c r="A270" s="6" t="s">
        <v>1601</v>
      </c>
      <c r="B270" s="6" t="s">
        <v>1964</v>
      </c>
      <c r="C270" s="6" t="s">
        <v>1599</v>
      </c>
      <c r="D270" s="6" t="s">
        <v>1621</v>
      </c>
    </row>
    <row r="271" ht="22" customHeight="1" spans="1:4">
      <c r="A271" s="6" t="s">
        <v>1601</v>
      </c>
      <c r="B271" s="6" t="s">
        <v>1965</v>
      </c>
      <c r="C271" s="6" t="s">
        <v>1573</v>
      </c>
      <c r="D271" s="6" t="s">
        <v>1623</v>
      </c>
    </row>
    <row r="272" ht="22" customHeight="1" spans="1:4">
      <c r="A272" s="6" t="s">
        <v>1601</v>
      </c>
      <c r="B272" s="6" t="s">
        <v>1966</v>
      </c>
      <c r="C272" s="6" t="s">
        <v>1573</v>
      </c>
      <c r="D272" s="6" t="s">
        <v>1589</v>
      </c>
    </row>
    <row r="273" ht="22" customHeight="1" spans="1:4">
      <c r="A273" s="6" t="s">
        <v>1601</v>
      </c>
      <c r="B273" s="6" t="s">
        <v>1967</v>
      </c>
      <c r="C273" s="6" t="s">
        <v>1573</v>
      </c>
      <c r="D273" s="6" t="s">
        <v>1968</v>
      </c>
    </row>
    <row r="274" ht="22" customHeight="1" spans="1:4">
      <c r="A274" s="6" t="s">
        <v>1601</v>
      </c>
      <c r="B274" s="6" t="s">
        <v>1969</v>
      </c>
      <c r="C274" s="6" t="s">
        <v>1573</v>
      </c>
      <c r="D274" s="6" t="s">
        <v>1970</v>
      </c>
    </row>
    <row r="275" ht="22" customHeight="1" spans="1:4">
      <c r="A275" s="6" t="s">
        <v>1601</v>
      </c>
      <c r="B275" s="6" t="s">
        <v>1971</v>
      </c>
      <c r="C275" s="6" t="s">
        <v>1573</v>
      </c>
      <c r="D275" s="6" t="s">
        <v>275</v>
      </c>
    </row>
    <row r="276" ht="22" customHeight="1" spans="1:4">
      <c r="A276" s="6" t="s">
        <v>1601</v>
      </c>
      <c r="B276" s="6" t="s">
        <v>1972</v>
      </c>
      <c r="C276" s="6" t="s">
        <v>1605</v>
      </c>
      <c r="D276" s="6" t="s">
        <v>1973</v>
      </c>
    </row>
    <row r="277" ht="22" customHeight="1" spans="1:4">
      <c r="A277" s="6" t="s">
        <v>1601</v>
      </c>
      <c r="B277" s="6" t="s">
        <v>1974</v>
      </c>
      <c r="C277" s="6" t="s">
        <v>1573</v>
      </c>
      <c r="D277" s="6" t="s">
        <v>1623</v>
      </c>
    </row>
    <row r="278" ht="22" customHeight="1" spans="1:4">
      <c r="A278" s="6" t="s">
        <v>1601</v>
      </c>
      <c r="B278" s="6" t="s">
        <v>1975</v>
      </c>
      <c r="C278" s="6" t="s">
        <v>1605</v>
      </c>
      <c r="D278" s="6" t="s">
        <v>1976</v>
      </c>
    </row>
    <row r="279" ht="22" customHeight="1" spans="1:4">
      <c r="A279" s="6" t="s">
        <v>1601</v>
      </c>
      <c r="B279" s="6" t="s">
        <v>1977</v>
      </c>
      <c r="C279" s="6" t="s">
        <v>1605</v>
      </c>
      <c r="D279" s="6" t="s">
        <v>1636</v>
      </c>
    </row>
    <row r="280" ht="22" customHeight="1" spans="1:4">
      <c r="A280" s="6" t="s">
        <v>1601</v>
      </c>
      <c r="B280" s="6" t="s">
        <v>1978</v>
      </c>
      <c r="C280" s="6" t="s">
        <v>1605</v>
      </c>
      <c r="D280" s="6" t="s">
        <v>1606</v>
      </c>
    </row>
    <row r="281" ht="22" customHeight="1" spans="1:4">
      <c r="A281" s="6" t="s">
        <v>1601</v>
      </c>
      <c r="B281" s="6" t="s">
        <v>1979</v>
      </c>
      <c r="C281" s="6" t="s">
        <v>1599</v>
      </c>
      <c r="D281" s="6" t="s">
        <v>1980</v>
      </c>
    </row>
    <row r="282" ht="22" customHeight="1" spans="1:4">
      <c r="A282" s="6" t="s">
        <v>1601</v>
      </c>
      <c r="B282" s="6" t="s">
        <v>1981</v>
      </c>
      <c r="C282" s="6" t="s">
        <v>1605</v>
      </c>
      <c r="D282" s="6" t="s">
        <v>1699</v>
      </c>
    </row>
    <row r="283" ht="22" customHeight="1" spans="1:4">
      <c r="A283" s="6" t="s">
        <v>1601</v>
      </c>
      <c r="B283" s="6" t="s">
        <v>1982</v>
      </c>
      <c r="C283" s="6" t="s">
        <v>1605</v>
      </c>
      <c r="D283" s="6" t="s">
        <v>1699</v>
      </c>
    </row>
    <row r="284" ht="22" customHeight="1" spans="1:4">
      <c r="A284" s="6" t="s">
        <v>1601</v>
      </c>
      <c r="B284" s="6" t="s">
        <v>1983</v>
      </c>
      <c r="C284" s="6" t="s">
        <v>1605</v>
      </c>
      <c r="D284" s="6" t="s">
        <v>1641</v>
      </c>
    </row>
    <row r="285" ht="22" customHeight="1" spans="1:4">
      <c r="A285" s="6" t="s">
        <v>1601</v>
      </c>
      <c r="B285" s="6" t="s">
        <v>1984</v>
      </c>
      <c r="C285" s="6" t="s">
        <v>1573</v>
      </c>
      <c r="D285" s="6" t="s">
        <v>1725</v>
      </c>
    </row>
    <row r="286" ht="22" customHeight="1" spans="1:4">
      <c r="A286" s="6" t="s">
        <v>1601</v>
      </c>
      <c r="B286" s="6" t="s">
        <v>1985</v>
      </c>
      <c r="C286" s="6" t="s">
        <v>1599</v>
      </c>
      <c r="D286" s="6" t="s">
        <v>1986</v>
      </c>
    </row>
    <row r="287" ht="22" customHeight="1" spans="1:4">
      <c r="A287" s="6" t="s">
        <v>1601</v>
      </c>
      <c r="B287" s="6" t="s">
        <v>1987</v>
      </c>
      <c r="C287" s="6" t="s">
        <v>1599</v>
      </c>
      <c r="D287" s="6" t="s">
        <v>1988</v>
      </c>
    </row>
    <row r="288" ht="22" customHeight="1" spans="1:4">
      <c r="A288" s="6" t="s">
        <v>1601</v>
      </c>
      <c r="B288" s="6" t="s">
        <v>1989</v>
      </c>
      <c r="C288" s="6" t="s">
        <v>1599</v>
      </c>
      <c r="D288" s="6" t="s">
        <v>1990</v>
      </c>
    </row>
    <row r="289" ht="22" customHeight="1" spans="1:4">
      <c r="A289" s="6" t="s">
        <v>1601</v>
      </c>
      <c r="B289" s="6" t="s">
        <v>1991</v>
      </c>
      <c r="C289" s="6" t="s">
        <v>1599</v>
      </c>
      <c r="D289" s="6" t="s">
        <v>1655</v>
      </c>
    </row>
    <row r="290" ht="22" customHeight="1" spans="1:4">
      <c r="A290" s="6" t="s">
        <v>1601</v>
      </c>
      <c r="B290" s="6" t="s">
        <v>1992</v>
      </c>
      <c r="C290" s="6" t="s">
        <v>1605</v>
      </c>
      <c r="D290" s="6" t="s">
        <v>1645</v>
      </c>
    </row>
    <row r="291" ht="22" customHeight="1" spans="1:4">
      <c r="A291" s="6" t="s">
        <v>1601</v>
      </c>
      <c r="B291" s="6" t="s">
        <v>1993</v>
      </c>
      <c r="C291" s="6" t="s">
        <v>1605</v>
      </c>
      <c r="D291" s="6" t="s">
        <v>1895</v>
      </c>
    </row>
    <row r="292" ht="22" customHeight="1" spans="1:4">
      <c r="A292" s="6" t="s">
        <v>1601</v>
      </c>
      <c r="B292" s="6" t="s">
        <v>1994</v>
      </c>
      <c r="C292" s="6" t="s">
        <v>1573</v>
      </c>
      <c r="D292" s="6" t="s">
        <v>1706</v>
      </c>
    </row>
    <row r="293" ht="22" customHeight="1" spans="1:4">
      <c r="A293" s="6" t="s">
        <v>1601</v>
      </c>
      <c r="B293" s="6" t="s">
        <v>1995</v>
      </c>
      <c r="C293" s="6" t="s">
        <v>1599</v>
      </c>
      <c r="D293" s="6" t="s">
        <v>1996</v>
      </c>
    </row>
    <row r="294" ht="22" customHeight="1" spans="1:4">
      <c r="A294" s="6" t="s">
        <v>1601</v>
      </c>
      <c r="B294" s="6" t="s">
        <v>1997</v>
      </c>
      <c r="C294" s="6" t="s">
        <v>1570</v>
      </c>
      <c r="D294" s="6" t="s">
        <v>1571</v>
      </c>
    </row>
    <row r="295" ht="22" customHeight="1" spans="1:4">
      <c r="A295" s="6" t="s">
        <v>1601</v>
      </c>
      <c r="B295" s="6" t="s">
        <v>1998</v>
      </c>
      <c r="C295" s="6" t="s">
        <v>1599</v>
      </c>
      <c r="D295" s="6" t="s">
        <v>1999</v>
      </c>
    </row>
    <row r="296" ht="22" customHeight="1" spans="1:4">
      <c r="A296" s="6" t="s">
        <v>1601</v>
      </c>
      <c r="B296" s="6" t="s">
        <v>2000</v>
      </c>
      <c r="C296" s="6" t="s">
        <v>1570</v>
      </c>
      <c r="D296" s="6" t="s">
        <v>1571</v>
      </c>
    </row>
    <row r="297" ht="22" customHeight="1" spans="1:4">
      <c r="A297" s="6" t="s">
        <v>1601</v>
      </c>
      <c r="B297" s="6" t="s">
        <v>2001</v>
      </c>
      <c r="C297" s="6" t="s">
        <v>1605</v>
      </c>
      <c r="D297" s="6" t="s">
        <v>2002</v>
      </c>
    </row>
    <row r="298" ht="22" customHeight="1" spans="1:4">
      <c r="A298" s="6" t="s">
        <v>1601</v>
      </c>
      <c r="B298" s="6" t="s">
        <v>2003</v>
      </c>
      <c r="C298" s="6" t="s">
        <v>1573</v>
      </c>
      <c r="D298" s="6" t="s">
        <v>275</v>
      </c>
    </row>
    <row r="299" ht="22" customHeight="1" spans="1:4">
      <c r="A299" s="6" t="s">
        <v>1601</v>
      </c>
      <c r="B299" s="6" t="s">
        <v>2004</v>
      </c>
      <c r="C299" s="6" t="s">
        <v>1599</v>
      </c>
      <c r="D299" s="6" t="s">
        <v>2005</v>
      </c>
    </row>
    <row r="300" ht="22" customHeight="1" spans="1:4">
      <c r="A300" s="6" t="s">
        <v>1601</v>
      </c>
      <c r="B300" s="6" t="s">
        <v>2006</v>
      </c>
      <c r="C300" s="6" t="s">
        <v>1599</v>
      </c>
      <c r="D300" s="6" t="s">
        <v>1963</v>
      </c>
    </row>
    <row r="301" ht="22" customHeight="1" spans="1:4">
      <c r="A301" s="6" t="s">
        <v>1601</v>
      </c>
      <c r="B301" s="6" t="s">
        <v>2007</v>
      </c>
      <c r="C301" s="6" t="s">
        <v>1599</v>
      </c>
      <c r="D301" s="6" t="s">
        <v>1769</v>
      </c>
    </row>
    <row r="302" ht="22" customHeight="1" spans="1:4">
      <c r="A302" s="6" t="s">
        <v>1601</v>
      </c>
      <c r="B302" s="6" t="s">
        <v>2008</v>
      </c>
      <c r="C302" s="6" t="s">
        <v>1573</v>
      </c>
      <c r="D302" s="6" t="s">
        <v>1623</v>
      </c>
    </row>
    <row r="303" ht="22" customHeight="1" spans="1:4">
      <c r="A303" s="6" t="s">
        <v>1601</v>
      </c>
      <c r="B303" s="6" t="s">
        <v>2009</v>
      </c>
      <c r="C303" s="6" t="s">
        <v>1573</v>
      </c>
      <c r="D303" s="6" t="s">
        <v>1589</v>
      </c>
    </row>
    <row r="304" ht="22" customHeight="1" spans="1:4">
      <c r="A304" s="6" t="s">
        <v>1601</v>
      </c>
      <c r="B304" s="6" t="s">
        <v>2010</v>
      </c>
      <c r="C304" s="6" t="s">
        <v>1573</v>
      </c>
      <c r="D304" s="6" t="s">
        <v>2011</v>
      </c>
    </row>
    <row r="305" ht="22" customHeight="1" spans="1:4">
      <c r="A305" s="6" t="s">
        <v>1601</v>
      </c>
      <c r="B305" s="6" t="s">
        <v>2012</v>
      </c>
      <c r="C305" s="6" t="s">
        <v>1573</v>
      </c>
      <c r="D305" s="6" t="s">
        <v>1811</v>
      </c>
    </row>
    <row r="306" ht="22" customHeight="1" spans="1:4">
      <c r="A306" s="6" t="s">
        <v>1601</v>
      </c>
      <c r="B306" s="6" t="s">
        <v>2013</v>
      </c>
      <c r="C306" s="6" t="s">
        <v>1573</v>
      </c>
      <c r="D306" s="6" t="s">
        <v>921</v>
      </c>
    </row>
    <row r="307" ht="22" customHeight="1" spans="1:4">
      <c r="A307" s="6" t="s">
        <v>1601</v>
      </c>
      <c r="B307" s="6" t="s">
        <v>2014</v>
      </c>
      <c r="C307" s="6" t="s">
        <v>1605</v>
      </c>
      <c r="D307" s="6" t="s">
        <v>1688</v>
      </c>
    </row>
    <row r="308" ht="22" customHeight="1" spans="1:4">
      <c r="A308" s="6" t="s">
        <v>1601</v>
      </c>
      <c r="B308" s="6" t="s">
        <v>2015</v>
      </c>
      <c r="C308" s="6" t="s">
        <v>1573</v>
      </c>
      <c r="D308" s="6" t="s">
        <v>275</v>
      </c>
    </row>
    <row r="309" ht="22" customHeight="1" spans="1:4">
      <c r="A309" s="6" t="s">
        <v>1601</v>
      </c>
      <c r="B309" s="6" t="s">
        <v>2016</v>
      </c>
      <c r="C309" s="6" t="s">
        <v>1605</v>
      </c>
      <c r="D309" s="6" t="s">
        <v>1816</v>
      </c>
    </row>
    <row r="310" ht="22" customHeight="1" spans="1:4">
      <c r="A310" s="6" t="s">
        <v>1601</v>
      </c>
      <c r="B310" s="6" t="s">
        <v>2017</v>
      </c>
      <c r="C310" s="6" t="s">
        <v>1605</v>
      </c>
      <c r="D310" s="6" t="s">
        <v>1636</v>
      </c>
    </row>
    <row r="311" ht="22" customHeight="1" spans="1:4">
      <c r="A311" s="6" t="s">
        <v>1601</v>
      </c>
      <c r="B311" s="6" t="s">
        <v>2018</v>
      </c>
      <c r="C311" s="6" t="s">
        <v>1605</v>
      </c>
      <c r="D311" s="6" t="s">
        <v>1606</v>
      </c>
    </row>
    <row r="312" ht="22" customHeight="1" spans="1:4">
      <c r="A312" s="6" t="s">
        <v>1601</v>
      </c>
      <c r="B312" s="6" t="s">
        <v>2019</v>
      </c>
      <c r="C312" s="6" t="s">
        <v>1599</v>
      </c>
      <c r="D312" s="6" t="s">
        <v>2020</v>
      </c>
    </row>
    <row r="313" ht="22" customHeight="1" spans="1:4">
      <c r="A313" s="6" t="s">
        <v>1601</v>
      </c>
      <c r="B313" s="6" t="s">
        <v>2021</v>
      </c>
      <c r="C313" s="6" t="s">
        <v>1605</v>
      </c>
      <c r="D313" s="6" t="s">
        <v>1697</v>
      </c>
    </row>
    <row r="314" ht="22" customHeight="1" spans="1:4">
      <c r="A314" s="6" t="s">
        <v>1601</v>
      </c>
      <c r="B314" s="6" t="s">
        <v>2022</v>
      </c>
      <c r="C314" s="6" t="s">
        <v>1605</v>
      </c>
      <c r="D314" s="6" t="s">
        <v>1738</v>
      </c>
    </row>
    <row r="315" ht="22" customHeight="1" spans="1:4">
      <c r="A315" s="6" t="s">
        <v>1601</v>
      </c>
      <c r="B315" s="6" t="s">
        <v>2023</v>
      </c>
      <c r="C315" s="6" t="s">
        <v>1605</v>
      </c>
      <c r="D315" s="6" t="s">
        <v>2024</v>
      </c>
    </row>
    <row r="316" ht="22" customHeight="1" spans="1:4">
      <c r="A316" s="6" t="s">
        <v>1601</v>
      </c>
      <c r="B316" s="6" t="s">
        <v>2025</v>
      </c>
      <c r="C316" s="6" t="s">
        <v>1599</v>
      </c>
      <c r="D316" s="6" t="s">
        <v>2026</v>
      </c>
    </row>
    <row r="317" ht="22" customHeight="1" spans="1:4">
      <c r="A317" s="6" t="s">
        <v>1601</v>
      </c>
      <c r="B317" s="6" t="s">
        <v>2027</v>
      </c>
      <c r="C317" s="6" t="s">
        <v>1573</v>
      </c>
      <c r="D317" s="6" t="s">
        <v>1623</v>
      </c>
    </row>
    <row r="318" ht="22" customHeight="1" spans="1:4">
      <c r="A318" s="6" t="s">
        <v>1601</v>
      </c>
      <c r="B318" s="6" t="s">
        <v>2028</v>
      </c>
      <c r="C318" s="6" t="s">
        <v>1573</v>
      </c>
      <c r="D318" s="6" t="s">
        <v>1706</v>
      </c>
    </row>
    <row r="319" ht="22" customHeight="1" spans="1:4">
      <c r="A319" s="6" t="s">
        <v>1601</v>
      </c>
      <c r="B319" s="6" t="s">
        <v>2029</v>
      </c>
      <c r="C319" s="6" t="s">
        <v>1599</v>
      </c>
      <c r="D319" s="6" t="s">
        <v>1653</v>
      </c>
    </row>
    <row r="320" ht="22" customHeight="1" spans="1:4">
      <c r="A320" s="6" t="s">
        <v>1601</v>
      </c>
      <c r="B320" s="6" t="s">
        <v>2030</v>
      </c>
      <c r="C320" s="6" t="s">
        <v>1599</v>
      </c>
      <c r="D320" s="6" t="s">
        <v>1655</v>
      </c>
    </row>
    <row r="321" ht="22" customHeight="1" spans="1:4">
      <c r="A321" s="6" t="s">
        <v>1601</v>
      </c>
      <c r="B321" s="6" t="s">
        <v>2031</v>
      </c>
      <c r="C321" s="6" t="s">
        <v>1605</v>
      </c>
      <c r="D321" s="6" t="s">
        <v>1657</v>
      </c>
    </row>
    <row r="322" ht="22" customHeight="1" spans="1:4">
      <c r="A322" s="6" t="s">
        <v>1601</v>
      </c>
      <c r="B322" s="6" t="s">
        <v>2032</v>
      </c>
      <c r="C322" s="6" t="s">
        <v>1605</v>
      </c>
      <c r="D322" s="6" t="s">
        <v>1659</v>
      </c>
    </row>
    <row r="323" ht="22" customHeight="1" spans="1:4">
      <c r="A323" s="6" t="s">
        <v>1601</v>
      </c>
      <c r="B323" s="6" t="s">
        <v>2033</v>
      </c>
      <c r="C323" s="6" t="s">
        <v>1599</v>
      </c>
      <c r="D323" s="6" t="s">
        <v>1661</v>
      </c>
    </row>
    <row r="324" ht="22" customHeight="1" spans="1:4">
      <c r="A324" s="6" t="s">
        <v>1601</v>
      </c>
      <c r="B324" s="6" t="s">
        <v>2034</v>
      </c>
      <c r="C324" s="6" t="s">
        <v>1599</v>
      </c>
      <c r="D324" s="6" t="s">
        <v>2035</v>
      </c>
    </row>
    <row r="325" ht="22" customHeight="1" spans="1:4">
      <c r="A325" s="6" t="s">
        <v>1601</v>
      </c>
      <c r="B325" s="6" t="s">
        <v>2036</v>
      </c>
      <c r="C325" s="6" t="s">
        <v>1570</v>
      </c>
      <c r="D325" s="6" t="s">
        <v>1571</v>
      </c>
    </row>
    <row r="326" ht="22" customHeight="1" spans="1:4">
      <c r="A326" s="6" t="s">
        <v>1601</v>
      </c>
      <c r="B326" s="6" t="s">
        <v>2037</v>
      </c>
      <c r="C326" s="6" t="s">
        <v>1599</v>
      </c>
      <c r="D326" s="6" t="s">
        <v>2038</v>
      </c>
    </row>
    <row r="327" ht="22" customHeight="1" spans="1:4">
      <c r="A327" s="6" t="s">
        <v>1601</v>
      </c>
      <c r="B327" s="6" t="s">
        <v>2039</v>
      </c>
      <c r="C327" s="6" t="s">
        <v>1570</v>
      </c>
      <c r="D327" s="6" t="s">
        <v>1571</v>
      </c>
    </row>
    <row r="328" ht="22" customHeight="1" spans="1:4">
      <c r="A328" s="6" t="s">
        <v>1601</v>
      </c>
      <c r="B328" s="6" t="s">
        <v>2040</v>
      </c>
      <c r="C328" s="6" t="s">
        <v>1573</v>
      </c>
      <c r="D328" s="6" t="s">
        <v>921</v>
      </c>
    </row>
    <row r="329" ht="22" customHeight="1" spans="1:4">
      <c r="A329" s="6" t="s">
        <v>1601</v>
      </c>
      <c r="B329" s="6" t="s">
        <v>2041</v>
      </c>
      <c r="C329" s="6" t="s">
        <v>1573</v>
      </c>
      <c r="D329" s="6" t="s">
        <v>275</v>
      </c>
    </row>
    <row r="330" ht="22" customHeight="1" spans="1:4">
      <c r="A330" s="6" t="s">
        <v>1601</v>
      </c>
      <c r="B330" s="6" t="s">
        <v>2042</v>
      </c>
      <c r="C330" s="6" t="s">
        <v>1599</v>
      </c>
      <c r="D330" s="6" t="s">
        <v>2043</v>
      </c>
    </row>
    <row r="331" ht="22" customHeight="1" spans="1:4">
      <c r="A331" s="6" t="s">
        <v>1601</v>
      </c>
      <c r="B331" s="6" t="s">
        <v>2044</v>
      </c>
      <c r="C331" s="6" t="s">
        <v>1599</v>
      </c>
      <c r="D331" s="6" t="s">
        <v>1963</v>
      </c>
    </row>
    <row r="332" ht="22" customHeight="1" spans="1:4">
      <c r="A332" s="6" t="s">
        <v>1601</v>
      </c>
      <c r="B332" s="6" t="s">
        <v>2045</v>
      </c>
      <c r="C332" s="6" t="s">
        <v>1599</v>
      </c>
      <c r="D332" s="6" t="s">
        <v>1723</v>
      </c>
    </row>
    <row r="333" ht="22" customHeight="1" spans="1:4">
      <c r="A333" s="6" t="s">
        <v>1601</v>
      </c>
      <c r="B333" s="6" t="s">
        <v>2046</v>
      </c>
      <c r="C333" s="6" t="s">
        <v>1573</v>
      </c>
      <c r="D333" s="6" t="s">
        <v>1725</v>
      </c>
    </row>
    <row r="334" ht="22" customHeight="1" spans="1:4">
      <c r="A334" s="6" t="s">
        <v>1601</v>
      </c>
      <c r="B334" s="6" t="s">
        <v>2047</v>
      </c>
      <c r="C334" s="6" t="s">
        <v>1573</v>
      </c>
      <c r="D334" s="6" t="s">
        <v>1727</v>
      </c>
    </row>
    <row r="335" ht="22" customHeight="1" spans="1:4">
      <c r="A335" s="6" t="s">
        <v>1601</v>
      </c>
      <c r="B335" s="6" t="s">
        <v>2048</v>
      </c>
      <c r="C335" s="6" t="s">
        <v>1573</v>
      </c>
      <c r="D335" s="6" t="s">
        <v>2049</v>
      </c>
    </row>
    <row r="336" ht="22" customHeight="1" spans="1:4">
      <c r="A336" s="6" t="s">
        <v>1601</v>
      </c>
      <c r="B336" s="6" t="s">
        <v>2050</v>
      </c>
      <c r="C336" s="6" t="s">
        <v>1573</v>
      </c>
      <c r="D336" s="6" t="s">
        <v>2051</v>
      </c>
    </row>
    <row r="337" ht="22" customHeight="1" spans="1:4">
      <c r="A337" s="6" t="s">
        <v>1601</v>
      </c>
      <c r="B337" s="6" t="s">
        <v>2052</v>
      </c>
      <c r="C337" s="6" t="s">
        <v>1573</v>
      </c>
      <c r="D337" s="6" t="s">
        <v>2053</v>
      </c>
    </row>
    <row r="338" ht="22" customHeight="1" spans="1:4">
      <c r="A338" s="6" t="s">
        <v>1601</v>
      </c>
      <c r="B338" s="6" t="s">
        <v>2054</v>
      </c>
      <c r="C338" s="6" t="s">
        <v>1605</v>
      </c>
      <c r="D338" s="6" t="s">
        <v>2055</v>
      </c>
    </row>
    <row r="339" ht="22" customHeight="1" spans="1:4">
      <c r="A339" s="6" t="s">
        <v>1601</v>
      </c>
      <c r="B339" s="6" t="s">
        <v>2056</v>
      </c>
      <c r="C339" s="6" t="s">
        <v>1573</v>
      </c>
      <c r="D339" s="6" t="s">
        <v>1623</v>
      </c>
    </row>
    <row r="340" ht="22" customHeight="1" spans="1:4">
      <c r="A340" s="6" t="s">
        <v>1601</v>
      </c>
      <c r="B340" s="6" t="s">
        <v>2057</v>
      </c>
      <c r="C340" s="6" t="s">
        <v>1605</v>
      </c>
      <c r="D340" s="6" t="s">
        <v>1691</v>
      </c>
    </row>
    <row r="341" ht="22" customHeight="1" spans="1:4">
      <c r="A341" s="6" t="s">
        <v>1601</v>
      </c>
      <c r="B341" s="6" t="s">
        <v>2058</v>
      </c>
      <c r="C341" s="6" t="s">
        <v>1605</v>
      </c>
      <c r="D341" s="6" t="s">
        <v>1699</v>
      </c>
    </row>
    <row r="342" ht="22" customHeight="1" spans="1:4">
      <c r="A342" s="6" t="s">
        <v>1601</v>
      </c>
      <c r="B342" s="6" t="s">
        <v>2059</v>
      </c>
      <c r="C342" s="6" t="s">
        <v>1605</v>
      </c>
      <c r="D342" s="6" t="s">
        <v>1783</v>
      </c>
    </row>
    <row r="343" ht="22" customHeight="1" spans="1:4">
      <c r="A343" s="6" t="s">
        <v>1601</v>
      </c>
      <c r="B343" s="6" t="s">
        <v>2060</v>
      </c>
      <c r="C343" s="6" t="s">
        <v>1599</v>
      </c>
      <c r="D343" s="6" t="s">
        <v>2061</v>
      </c>
    </row>
    <row r="344" ht="22" customHeight="1" spans="1:4">
      <c r="A344" s="6" t="s">
        <v>1601</v>
      </c>
      <c r="B344" s="6" t="s">
        <v>2062</v>
      </c>
      <c r="C344" s="6" t="s">
        <v>1605</v>
      </c>
      <c r="D344" s="6" t="s">
        <v>1697</v>
      </c>
    </row>
    <row r="345" ht="22" customHeight="1" spans="1:4">
      <c r="A345" s="6" t="s">
        <v>1601</v>
      </c>
      <c r="B345" s="6" t="s">
        <v>2063</v>
      </c>
      <c r="C345" s="6" t="s">
        <v>1605</v>
      </c>
      <c r="D345" s="6" t="s">
        <v>2064</v>
      </c>
    </row>
    <row r="346" ht="22" customHeight="1" spans="1:4">
      <c r="A346" s="6" t="s">
        <v>1601</v>
      </c>
      <c r="B346" s="6" t="s">
        <v>2065</v>
      </c>
      <c r="C346" s="6" t="s">
        <v>1599</v>
      </c>
      <c r="D346" s="6" t="s">
        <v>2066</v>
      </c>
    </row>
    <row r="347" ht="22" customHeight="1" spans="1:4">
      <c r="A347" s="6" t="s">
        <v>1601</v>
      </c>
      <c r="B347" s="6" t="s">
        <v>2067</v>
      </c>
      <c r="C347" s="6" t="s">
        <v>1573</v>
      </c>
      <c r="D347" s="6" t="s">
        <v>1623</v>
      </c>
    </row>
    <row r="348" ht="22" customHeight="1" spans="1:4">
      <c r="A348" s="6" t="s">
        <v>1601</v>
      </c>
      <c r="B348" s="6" t="s">
        <v>2068</v>
      </c>
      <c r="C348" s="6" t="s">
        <v>1573</v>
      </c>
      <c r="D348" s="6" t="s">
        <v>1706</v>
      </c>
    </row>
    <row r="349" ht="22" customHeight="1" spans="1:4">
      <c r="A349" s="6" t="s">
        <v>1601</v>
      </c>
      <c r="B349" s="6" t="s">
        <v>2069</v>
      </c>
      <c r="C349" s="6" t="s">
        <v>1599</v>
      </c>
      <c r="D349" s="6" t="s">
        <v>2070</v>
      </c>
    </row>
    <row r="350" ht="22" customHeight="1" spans="1:4">
      <c r="A350" s="6" t="s">
        <v>1601</v>
      </c>
      <c r="B350" s="6" t="s">
        <v>2071</v>
      </c>
      <c r="C350" s="6" t="s">
        <v>1570</v>
      </c>
      <c r="D350" s="6" t="s">
        <v>1571</v>
      </c>
    </row>
    <row r="351" ht="22" customHeight="1" spans="1:4">
      <c r="A351" s="6" t="s">
        <v>1601</v>
      </c>
      <c r="B351" s="6" t="s">
        <v>2072</v>
      </c>
      <c r="C351" s="6" t="s">
        <v>1599</v>
      </c>
      <c r="D351" s="6" t="s">
        <v>2073</v>
      </c>
    </row>
    <row r="352" ht="22" customHeight="1" spans="1:4">
      <c r="A352" s="6" t="s">
        <v>1601</v>
      </c>
      <c r="B352" s="6" t="s">
        <v>2074</v>
      </c>
      <c r="C352" s="6" t="s">
        <v>1570</v>
      </c>
      <c r="D352" s="6" t="s">
        <v>1571</v>
      </c>
    </row>
    <row r="353" ht="22" customHeight="1" spans="1:4">
      <c r="A353" s="6" t="s">
        <v>1601</v>
      </c>
      <c r="B353" s="6" t="s">
        <v>2075</v>
      </c>
      <c r="C353" s="6" t="s">
        <v>1605</v>
      </c>
      <c r="D353" s="6" t="s">
        <v>1750</v>
      </c>
    </row>
    <row r="354" ht="22" customHeight="1" spans="1:4">
      <c r="A354" s="6" t="s">
        <v>1601</v>
      </c>
      <c r="B354" s="6" t="s">
        <v>2076</v>
      </c>
      <c r="C354" s="6" t="s">
        <v>1573</v>
      </c>
      <c r="D354" s="6" t="s">
        <v>493</v>
      </c>
    </row>
    <row r="355" ht="22" customHeight="1" spans="1:4">
      <c r="A355" s="6" t="s">
        <v>1601</v>
      </c>
      <c r="B355" s="6" t="s">
        <v>2077</v>
      </c>
      <c r="C355" s="6" t="s">
        <v>1599</v>
      </c>
      <c r="D355" s="6" t="s">
        <v>2078</v>
      </c>
    </row>
    <row r="356" ht="22" customHeight="1" spans="1:4">
      <c r="A356" s="6" t="s">
        <v>1601</v>
      </c>
      <c r="B356" s="6" t="s">
        <v>2079</v>
      </c>
      <c r="C356" s="6" t="s">
        <v>1599</v>
      </c>
      <c r="D356" s="6" t="s">
        <v>1963</v>
      </c>
    </row>
    <row r="357" ht="22" customHeight="1" spans="1:4">
      <c r="A357" s="6" t="s">
        <v>1601</v>
      </c>
      <c r="B357" s="6" t="s">
        <v>2080</v>
      </c>
      <c r="C357" s="6" t="s">
        <v>1599</v>
      </c>
      <c r="D357" s="6" t="s">
        <v>1769</v>
      </c>
    </row>
    <row r="358" ht="22" customHeight="1" spans="1:4">
      <c r="A358" s="6" t="s">
        <v>1601</v>
      </c>
      <c r="B358" s="6" t="s">
        <v>2081</v>
      </c>
      <c r="C358" s="6" t="s">
        <v>1573</v>
      </c>
      <c r="D358" s="6" t="s">
        <v>1725</v>
      </c>
    </row>
    <row r="359" ht="22" customHeight="1" spans="1:4">
      <c r="A359" s="6" t="s">
        <v>1601</v>
      </c>
      <c r="B359" s="6" t="s">
        <v>2082</v>
      </c>
      <c r="C359" s="6" t="s">
        <v>1573</v>
      </c>
      <c r="D359" s="6" t="s">
        <v>1727</v>
      </c>
    </row>
    <row r="360" ht="22" customHeight="1" spans="1:4">
      <c r="A360" s="6" t="s">
        <v>1601</v>
      </c>
      <c r="B360" s="6" t="s">
        <v>2083</v>
      </c>
      <c r="C360" s="6" t="s">
        <v>1573</v>
      </c>
      <c r="D360" s="6" t="s">
        <v>2084</v>
      </c>
    </row>
    <row r="361" ht="22" customHeight="1" spans="1:4">
      <c r="A361" s="6" t="s">
        <v>1601</v>
      </c>
      <c r="B361" s="6" t="s">
        <v>2085</v>
      </c>
      <c r="C361" s="6" t="s">
        <v>1573</v>
      </c>
      <c r="D361" s="6" t="s">
        <v>2086</v>
      </c>
    </row>
    <row r="362" ht="22" customHeight="1" spans="1:4">
      <c r="A362" s="6" t="s">
        <v>1601</v>
      </c>
      <c r="B362" s="6" t="s">
        <v>2087</v>
      </c>
      <c r="C362" s="6" t="s">
        <v>1573</v>
      </c>
      <c r="D362" s="6" t="s">
        <v>1593</v>
      </c>
    </row>
    <row r="363" ht="22" customHeight="1" spans="1:4">
      <c r="A363" s="6" t="s">
        <v>1601</v>
      </c>
      <c r="B363" s="6" t="s">
        <v>2088</v>
      </c>
      <c r="C363" s="6" t="s">
        <v>1605</v>
      </c>
      <c r="D363" s="6" t="s">
        <v>1649</v>
      </c>
    </row>
    <row r="364" ht="22" customHeight="1" spans="1:4">
      <c r="A364" s="6" t="s">
        <v>1601</v>
      </c>
      <c r="B364" s="6" t="s">
        <v>2089</v>
      </c>
      <c r="C364" s="6" t="s">
        <v>1573</v>
      </c>
      <c r="D364" s="6" t="s">
        <v>1725</v>
      </c>
    </row>
    <row r="365" ht="22" customHeight="1" spans="1:4">
      <c r="A365" s="6" t="s">
        <v>1601</v>
      </c>
      <c r="B365" s="6" t="s">
        <v>2090</v>
      </c>
      <c r="C365" s="6" t="s">
        <v>1605</v>
      </c>
      <c r="D365" s="6" t="s">
        <v>1634</v>
      </c>
    </row>
    <row r="366" ht="22" customHeight="1" spans="1:4">
      <c r="A366" s="6" t="s">
        <v>1601</v>
      </c>
      <c r="B366" s="6" t="s">
        <v>2091</v>
      </c>
      <c r="C366" s="6" t="s">
        <v>1605</v>
      </c>
      <c r="D366" s="6" t="s">
        <v>1699</v>
      </c>
    </row>
    <row r="367" ht="22" customHeight="1" spans="1:4">
      <c r="A367" s="6" t="s">
        <v>1601</v>
      </c>
      <c r="B367" s="6" t="s">
        <v>2092</v>
      </c>
      <c r="C367" s="6" t="s">
        <v>1605</v>
      </c>
      <c r="D367" s="6" t="s">
        <v>1783</v>
      </c>
    </row>
    <row r="368" ht="22" customHeight="1" spans="1:4">
      <c r="A368" s="6" t="s">
        <v>1601</v>
      </c>
      <c r="B368" s="6" t="s">
        <v>2093</v>
      </c>
      <c r="C368" s="6" t="s">
        <v>1599</v>
      </c>
      <c r="D368" s="6" t="s">
        <v>2094</v>
      </c>
    </row>
    <row r="369" ht="22" customHeight="1" spans="1:4">
      <c r="A369" s="6" t="s">
        <v>1601</v>
      </c>
      <c r="B369" s="6" t="s">
        <v>2095</v>
      </c>
      <c r="C369" s="6" t="s">
        <v>1605</v>
      </c>
      <c r="D369" s="6" t="s">
        <v>1744</v>
      </c>
    </row>
    <row r="370" ht="22" customHeight="1" spans="1:4">
      <c r="A370" s="6" t="s">
        <v>1601</v>
      </c>
      <c r="B370" s="6" t="s">
        <v>2096</v>
      </c>
      <c r="C370" s="6" t="s">
        <v>1573</v>
      </c>
      <c r="D370" s="6" t="s">
        <v>275</v>
      </c>
    </row>
    <row r="371" ht="22" customHeight="1" spans="1:4">
      <c r="A371" s="6" t="s">
        <v>1601</v>
      </c>
      <c r="B371" s="6" t="s">
        <v>2097</v>
      </c>
      <c r="C371" s="6" t="s">
        <v>1599</v>
      </c>
      <c r="D371" s="6" t="s">
        <v>2098</v>
      </c>
    </row>
    <row r="372" ht="22" customHeight="1" spans="1:4">
      <c r="A372" s="6" t="s">
        <v>1601</v>
      </c>
      <c r="B372" s="6" t="s">
        <v>2099</v>
      </c>
      <c r="C372" s="6" t="s">
        <v>1573</v>
      </c>
      <c r="D372" s="6" t="s">
        <v>1623</v>
      </c>
    </row>
    <row r="373" ht="22" customHeight="1" spans="1:4">
      <c r="A373" s="6" t="s">
        <v>1601</v>
      </c>
      <c r="B373" s="6" t="s">
        <v>2100</v>
      </c>
      <c r="C373" s="6" t="s">
        <v>1573</v>
      </c>
      <c r="D373" s="6" t="s">
        <v>1706</v>
      </c>
    </row>
    <row r="374" ht="22" customHeight="1" spans="1:4">
      <c r="A374" s="6" t="s">
        <v>1601</v>
      </c>
      <c r="B374" s="6" t="s">
        <v>2101</v>
      </c>
      <c r="C374" s="6" t="s">
        <v>1599</v>
      </c>
      <c r="D374" s="6" t="s">
        <v>2102</v>
      </c>
    </row>
    <row r="375" ht="22" customHeight="1" spans="1:4">
      <c r="A375" s="6" t="s">
        <v>1601</v>
      </c>
      <c r="B375" s="6" t="s">
        <v>2103</v>
      </c>
      <c r="C375" s="6" t="s">
        <v>1570</v>
      </c>
      <c r="D375" s="6" t="s">
        <v>1571</v>
      </c>
    </row>
    <row r="376" ht="22" customHeight="1" spans="1:4">
      <c r="A376" s="6" t="s">
        <v>1601</v>
      </c>
      <c r="B376" s="6" t="s">
        <v>2104</v>
      </c>
      <c r="C376" s="6" t="s">
        <v>1599</v>
      </c>
      <c r="D376" s="6" t="s">
        <v>2105</v>
      </c>
    </row>
    <row r="377" ht="22" customHeight="1" spans="1:4">
      <c r="A377" s="6" t="s">
        <v>1601</v>
      </c>
      <c r="B377" s="6" t="s">
        <v>2106</v>
      </c>
      <c r="C377" s="6" t="s">
        <v>1576</v>
      </c>
      <c r="D377" s="6" t="s">
        <v>1571</v>
      </c>
    </row>
    <row r="378" ht="22" customHeight="1" spans="1:4">
      <c r="A378" s="6" t="s">
        <v>1601</v>
      </c>
      <c r="B378" s="6" t="s">
        <v>2107</v>
      </c>
      <c r="C378" s="6" t="s">
        <v>1599</v>
      </c>
      <c r="D378" s="6" t="s">
        <v>1653</v>
      </c>
    </row>
    <row r="379" ht="22" customHeight="1" spans="1:4">
      <c r="A379" s="6" t="s">
        <v>1601</v>
      </c>
      <c r="B379" s="6" t="s">
        <v>2108</v>
      </c>
      <c r="C379" s="6" t="s">
        <v>1570</v>
      </c>
      <c r="D379" s="6" t="s">
        <v>1571</v>
      </c>
    </row>
    <row r="380" ht="22" customHeight="1" spans="1:4">
      <c r="A380" s="6" t="s">
        <v>1601</v>
      </c>
      <c r="B380" s="6" t="s">
        <v>2109</v>
      </c>
      <c r="C380" s="6" t="s">
        <v>1605</v>
      </c>
      <c r="D380" s="6" t="s">
        <v>1645</v>
      </c>
    </row>
    <row r="381" ht="22" customHeight="1" spans="1:4">
      <c r="A381" s="6" t="s">
        <v>1601</v>
      </c>
      <c r="B381" s="6" t="s">
        <v>2110</v>
      </c>
      <c r="C381" s="6" t="s">
        <v>1573</v>
      </c>
      <c r="D381" s="6" t="s">
        <v>463</v>
      </c>
    </row>
    <row r="382" ht="22" customHeight="1" spans="1:4">
      <c r="A382" s="6" t="s">
        <v>1601</v>
      </c>
      <c r="B382" s="6" t="s">
        <v>2111</v>
      </c>
      <c r="C382" s="6" t="s">
        <v>1599</v>
      </c>
      <c r="D382" s="6" t="s">
        <v>2112</v>
      </c>
    </row>
    <row r="383" ht="22" customHeight="1" spans="1:4">
      <c r="A383" s="6" t="s">
        <v>1601</v>
      </c>
      <c r="B383" s="6" t="s">
        <v>2113</v>
      </c>
      <c r="C383" s="6" t="s">
        <v>1599</v>
      </c>
      <c r="D383" s="6" t="s">
        <v>1963</v>
      </c>
    </row>
    <row r="384" ht="22" customHeight="1" spans="1:4">
      <c r="A384" s="6" t="s">
        <v>1601</v>
      </c>
      <c r="B384" s="6" t="s">
        <v>2114</v>
      </c>
      <c r="C384" s="6" t="s">
        <v>1599</v>
      </c>
      <c r="D384" s="6" t="s">
        <v>1621</v>
      </c>
    </row>
    <row r="385" ht="22" customHeight="1" spans="1:4">
      <c r="A385" s="6" t="s">
        <v>1601</v>
      </c>
      <c r="B385" s="6" t="s">
        <v>2115</v>
      </c>
      <c r="C385" s="6" t="s">
        <v>1573</v>
      </c>
      <c r="D385" s="6" t="s">
        <v>1725</v>
      </c>
    </row>
    <row r="386" ht="22" customHeight="1" spans="1:4">
      <c r="A386" s="6" t="s">
        <v>1601</v>
      </c>
      <c r="B386" s="6" t="s">
        <v>2116</v>
      </c>
      <c r="C386" s="6" t="s">
        <v>1573</v>
      </c>
      <c r="D386" s="6" t="s">
        <v>1727</v>
      </c>
    </row>
    <row r="387" ht="22" customHeight="1" spans="1:4">
      <c r="A387" s="6" t="s">
        <v>1601</v>
      </c>
      <c r="B387" s="6" t="s">
        <v>2117</v>
      </c>
      <c r="C387" s="6" t="s">
        <v>1573</v>
      </c>
      <c r="D387" s="6" t="s">
        <v>2118</v>
      </c>
    </row>
    <row r="388" ht="22" customHeight="1" spans="1:4">
      <c r="A388" s="6" t="s">
        <v>1601</v>
      </c>
      <c r="B388" s="6" t="s">
        <v>2119</v>
      </c>
      <c r="C388" s="6" t="s">
        <v>1573</v>
      </c>
      <c r="D388" s="6" t="s">
        <v>2120</v>
      </c>
    </row>
    <row r="389" ht="22" customHeight="1" spans="1:4">
      <c r="A389" s="6" t="s">
        <v>1601</v>
      </c>
      <c r="B389" s="6" t="s">
        <v>2121</v>
      </c>
      <c r="C389" s="6" t="s">
        <v>1573</v>
      </c>
      <c r="D389" s="6" t="s">
        <v>493</v>
      </c>
    </row>
    <row r="390" ht="22" customHeight="1" spans="1:4">
      <c r="A390" s="6" t="s">
        <v>1601</v>
      </c>
      <c r="B390" s="6" t="s">
        <v>2122</v>
      </c>
      <c r="C390" s="6" t="s">
        <v>1605</v>
      </c>
      <c r="D390" s="6" t="s">
        <v>2123</v>
      </c>
    </row>
    <row r="391" ht="22" customHeight="1" spans="1:4">
      <c r="A391" s="6" t="s">
        <v>1601</v>
      </c>
      <c r="B391" s="6" t="s">
        <v>2124</v>
      </c>
      <c r="C391" s="6" t="s">
        <v>1573</v>
      </c>
      <c r="D391" s="6" t="s">
        <v>1623</v>
      </c>
    </row>
    <row r="392" ht="22" customHeight="1" spans="1:4">
      <c r="A392" s="6" t="s">
        <v>1601</v>
      </c>
      <c r="B392" s="6" t="s">
        <v>2125</v>
      </c>
      <c r="C392" s="6" t="s">
        <v>1605</v>
      </c>
      <c r="D392" s="6" t="s">
        <v>2126</v>
      </c>
    </row>
    <row r="393" ht="22" customHeight="1" spans="1:4">
      <c r="A393" s="6" t="s">
        <v>1601</v>
      </c>
      <c r="B393" s="6" t="s">
        <v>2127</v>
      </c>
      <c r="C393" s="6" t="s">
        <v>1605</v>
      </c>
      <c r="D393" s="6" t="s">
        <v>1937</v>
      </c>
    </row>
    <row r="394" ht="22" customHeight="1" spans="1:4">
      <c r="A394" s="6" t="s">
        <v>1601</v>
      </c>
      <c r="B394" s="6" t="s">
        <v>2128</v>
      </c>
      <c r="C394" s="6" t="s">
        <v>1605</v>
      </c>
      <c r="D394" s="6" t="s">
        <v>1783</v>
      </c>
    </row>
    <row r="395" ht="22" customHeight="1" spans="1:4">
      <c r="A395" s="6" t="s">
        <v>1601</v>
      </c>
      <c r="B395" s="6" t="s">
        <v>2129</v>
      </c>
      <c r="C395" s="6" t="s">
        <v>1599</v>
      </c>
      <c r="D395" s="6" t="s">
        <v>2130</v>
      </c>
    </row>
    <row r="396" ht="22" customHeight="1" spans="1:4">
      <c r="A396" s="6" t="s">
        <v>1601</v>
      </c>
      <c r="B396" s="6" t="s">
        <v>2131</v>
      </c>
      <c r="C396" s="6" t="s">
        <v>1605</v>
      </c>
      <c r="D396" s="6" t="s">
        <v>909</v>
      </c>
    </row>
    <row r="397" ht="22" customHeight="1" spans="1:4">
      <c r="A397" s="6" t="s">
        <v>1601</v>
      </c>
      <c r="B397" s="6" t="s">
        <v>2132</v>
      </c>
      <c r="C397" s="6" t="s">
        <v>1714</v>
      </c>
      <c r="D397" s="6" t="s">
        <v>1715</v>
      </c>
    </row>
    <row r="398" ht="22" customHeight="1" spans="1:4">
      <c r="A398" s="6" t="s">
        <v>1601</v>
      </c>
      <c r="B398" s="6" t="s">
        <v>2133</v>
      </c>
      <c r="C398" s="6" t="s">
        <v>1599</v>
      </c>
      <c r="D398" s="6" t="s">
        <v>2134</v>
      </c>
    </row>
    <row r="399" ht="22" customHeight="1" spans="1:4">
      <c r="A399" s="6" t="s">
        <v>1601</v>
      </c>
      <c r="B399" s="6" t="s">
        <v>2135</v>
      </c>
      <c r="C399" s="6" t="s">
        <v>1573</v>
      </c>
      <c r="D399" s="6" t="s">
        <v>1623</v>
      </c>
    </row>
    <row r="400" ht="22" customHeight="1" spans="1:4">
      <c r="A400" s="6" t="s">
        <v>1601</v>
      </c>
      <c r="B400" s="6" t="s">
        <v>2136</v>
      </c>
      <c r="C400" s="6" t="s">
        <v>1573</v>
      </c>
      <c r="D400" s="6" t="s">
        <v>1706</v>
      </c>
    </row>
    <row r="401" ht="22" customHeight="1" spans="1:4">
      <c r="A401" s="6" t="s">
        <v>1601</v>
      </c>
      <c r="B401" s="6" t="s">
        <v>2137</v>
      </c>
      <c r="C401" s="6" t="s">
        <v>1599</v>
      </c>
      <c r="D401" s="6" t="s">
        <v>2138</v>
      </c>
    </row>
    <row r="402" ht="22" customHeight="1" spans="1:4">
      <c r="A402" s="6" t="s">
        <v>1601</v>
      </c>
      <c r="B402" s="6" t="s">
        <v>2139</v>
      </c>
      <c r="C402" s="6" t="s">
        <v>1570</v>
      </c>
      <c r="D402" s="6" t="s">
        <v>1571</v>
      </c>
    </row>
    <row r="403" ht="22" customHeight="1" spans="1:4">
      <c r="A403" s="6" t="s">
        <v>1601</v>
      </c>
      <c r="B403" s="6" t="s">
        <v>2140</v>
      </c>
      <c r="C403" s="6" t="s">
        <v>1599</v>
      </c>
      <c r="D403" s="6" t="s">
        <v>2141</v>
      </c>
    </row>
    <row r="404" ht="22" customHeight="1" spans="1:4">
      <c r="A404" s="6" t="s">
        <v>1601</v>
      </c>
      <c r="B404" s="6" t="s">
        <v>2142</v>
      </c>
      <c r="C404" s="6" t="s">
        <v>1570</v>
      </c>
      <c r="D404" s="6" t="s">
        <v>1571</v>
      </c>
    </row>
    <row r="405" ht="22" customHeight="1" spans="1:4">
      <c r="A405" s="6" t="s">
        <v>1601</v>
      </c>
      <c r="B405" s="6" t="s">
        <v>2143</v>
      </c>
      <c r="C405" s="6" t="s">
        <v>1605</v>
      </c>
      <c r="D405" s="6" t="s">
        <v>2064</v>
      </c>
    </row>
    <row r="406" ht="22" customHeight="1" spans="1:4">
      <c r="A406" s="6" t="s">
        <v>1601</v>
      </c>
      <c r="B406" s="6" t="s">
        <v>2144</v>
      </c>
      <c r="C406" s="6" t="s">
        <v>1605</v>
      </c>
      <c r="D406" s="6" t="s">
        <v>942</v>
      </c>
    </row>
    <row r="407" ht="22" customHeight="1" spans="1:4">
      <c r="A407" s="6" t="s">
        <v>1601</v>
      </c>
      <c r="B407" s="6" t="s">
        <v>2145</v>
      </c>
      <c r="C407" s="6" t="s">
        <v>1599</v>
      </c>
      <c r="D407" s="6" t="s">
        <v>2146</v>
      </c>
    </row>
    <row r="408" ht="22" customHeight="1" spans="1:4">
      <c r="A408" s="6" t="s">
        <v>1601</v>
      </c>
      <c r="B408" s="6" t="s">
        <v>2147</v>
      </c>
      <c r="C408" s="6" t="s">
        <v>1599</v>
      </c>
      <c r="D408" s="6" t="s">
        <v>1963</v>
      </c>
    </row>
    <row r="409" ht="22" customHeight="1" spans="1:4">
      <c r="A409" s="6" t="s">
        <v>1601</v>
      </c>
      <c r="B409" s="6" t="s">
        <v>2148</v>
      </c>
      <c r="C409" s="6" t="s">
        <v>1599</v>
      </c>
      <c r="D409" s="6" t="s">
        <v>1621</v>
      </c>
    </row>
    <row r="410" ht="22" customHeight="1" spans="1:4">
      <c r="A410" s="6" t="s">
        <v>1601</v>
      </c>
      <c r="B410" s="6" t="s">
        <v>2149</v>
      </c>
      <c r="C410" s="6" t="s">
        <v>1573</v>
      </c>
      <c r="D410" s="6" t="s">
        <v>1725</v>
      </c>
    </row>
    <row r="411" ht="22" customHeight="1" spans="1:4">
      <c r="A411" s="6" t="s">
        <v>1601</v>
      </c>
      <c r="B411" s="6" t="s">
        <v>2150</v>
      </c>
      <c r="C411" s="6" t="s">
        <v>1573</v>
      </c>
      <c r="D411" s="6" t="s">
        <v>1727</v>
      </c>
    </row>
    <row r="412" ht="22" customHeight="1" spans="1:4">
      <c r="A412" s="6" t="s">
        <v>1601</v>
      </c>
      <c r="B412" s="6" t="s">
        <v>2151</v>
      </c>
      <c r="C412" s="6" t="s">
        <v>1573</v>
      </c>
      <c r="D412" s="6" t="s">
        <v>2152</v>
      </c>
    </row>
    <row r="413" ht="22" customHeight="1" spans="1:4">
      <c r="A413" s="6" t="s">
        <v>1601</v>
      </c>
      <c r="B413" s="6" t="s">
        <v>2153</v>
      </c>
      <c r="C413" s="6" t="s">
        <v>1573</v>
      </c>
      <c r="D413" s="6" t="s">
        <v>2154</v>
      </c>
    </row>
    <row r="414" ht="22" customHeight="1" spans="1:4">
      <c r="A414" s="6" t="s">
        <v>1601</v>
      </c>
      <c r="B414" s="6" t="s">
        <v>2155</v>
      </c>
      <c r="C414" s="6" t="s">
        <v>1573</v>
      </c>
      <c r="D414" s="6" t="s">
        <v>2053</v>
      </c>
    </row>
    <row r="415" ht="22" customHeight="1" spans="1:4">
      <c r="A415" s="6" t="s">
        <v>1601</v>
      </c>
      <c r="B415" s="6" t="s">
        <v>2156</v>
      </c>
      <c r="C415" s="6" t="s">
        <v>1605</v>
      </c>
      <c r="D415" s="6" t="s">
        <v>1649</v>
      </c>
    </row>
    <row r="416" ht="22" customHeight="1" spans="1:4">
      <c r="A416" s="6" t="s">
        <v>1601</v>
      </c>
      <c r="B416" s="6" t="s">
        <v>2157</v>
      </c>
      <c r="C416" s="6" t="s">
        <v>1605</v>
      </c>
      <c r="D416" s="6" t="s">
        <v>1738</v>
      </c>
    </row>
    <row r="417" ht="22" customHeight="1" spans="1:4">
      <c r="A417" s="6" t="s">
        <v>1601</v>
      </c>
      <c r="B417" s="6" t="s">
        <v>2158</v>
      </c>
      <c r="C417" s="6" t="s">
        <v>1605</v>
      </c>
      <c r="D417" s="6" t="s">
        <v>1816</v>
      </c>
    </row>
    <row r="418" ht="22" customHeight="1" spans="1:4">
      <c r="A418" s="6" t="s">
        <v>1601</v>
      </c>
      <c r="B418" s="6" t="s">
        <v>2159</v>
      </c>
      <c r="C418" s="6" t="s">
        <v>1605</v>
      </c>
      <c r="D418" s="6" t="s">
        <v>1699</v>
      </c>
    </row>
    <row r="419" ht="22" customHeight="1" spans="1:4">
      <c r="A419" s="6" t="s">
        <v>1601</v>
      </c>
      <c r="B419" s="6" t="s">
        <v>2160</v>
      </c>
      <c r="C419" s="6" t="s">
        <v>1605</v>
      </c>
      <c r="D419" s="6" t="s">
        <v>1783</v>
      </c>
    </row>
    <row r="420" ht="22" customHeight="1" spans="1:4">
      <c r="A420" s="6" t="s">
        <v>1601</v>
      </c>
      <c r="B420" s="6" t="s">
        <v>2161</v>
      </c>
      <c r="C420" s="6" t="s">
        <v>1599</v>
      </c>
      <c r="D420" s="6" t="s">
        <v>2162</v>
      </c>
    </row>
    <row r="421" ht="22" customHeight="1" spans="1:4">
      <c r="A421" s="6" t="s">
        <v>1601</v>
      </c>
      <c r="B421" s="6" t="s">
        <v>2163</v>
      </c>
      <c r="C421" s="6" t="s">
        <v>1605</v>
      </c>
      <c r="D421" s="6" t="s">
        <v>2164</v>
      </c>
    </row>
    <row r="422" ht="22" customHeight="1" spans="1:4">
      <c r="A422" s="6" t="s">
        <v>1601</v>
      </c>
      <c r="B422" s="6" t="s">
        <v>2165</v>
      </c>
      <c r="C422" s="6" t="s">
        <v>1605</v>
      </c>
      <c r="D422" s="6" t="s">
        <v>1606</v>
      </c>
    </row>
    <row r="423" ht="22" customHeight="1" spans="1:4">
      <c r="A423" s="6" t="s">
        <v>1601</v>
      </c>
      <c r="B423" s="6" t="s">
        <v>2166</v>
      </c>
      <c r="C423" s="6" t="s">
        <v>1605</v>
      </c>
      <c r="D423" s="6" t="s">
        <v>1606</v>
      </c>
    </row>
    <row r="424" ht="22" customHeight="1" spans="1:4">
      <c r="A424" s="6" t="s">
        <v>1601</v>
      </c>
      <c r="B424" s="6" t="s">
        <v>2167</v>
      </c>
      <c r="C424" s="6" t="s">
        <v>1599</v>
      </c>
      <c r="D424" s="6" t="s">
        <v>2168</v>
      </c>
    </row>
    <row r="425" ht="22" customHeight="1" spans="1:4">
      <c r="A425" s="6" t="s">
        <v>1601</v>
      </c>
      <c r="B425" s="6" t="s">
        <v>2169</v>
      </c>
      <c r="C425" s="6" t="s">
        <v>1573</v>
      </c>
      <c r="D425" s="6" t="s">
        <v>1623</v>
      </c>
    </row>
    <row r="426" ht="22" customHeight="1" spans="1:4">
      <c r="A426" s="6" t="s">
        <v>1601</v>
      </c>
      <c r="B426" s="6" t="s">
        <v>2170</v>
      </c>
      <c r="C426" s="6" t="s">
        <v>1573</v>
      </c>
      <c r="D426" s="6" t="s">
        <v>1706</v>
      </c>
    </row>
    <row r="427" ht="22" customHeight="1" spans="1:4">
      <c r="A427" s="6" t="s">
        <v>1601</v>
      </c>
      <c r="B427" s="6" t="s">
        <v>2171</v>
      </c>
      <c r="C427" s="6" t="s">
        <v>1599</v>
      </c>
      <c r="D427" s="6" t="s">
        <v>1653</v>
      </c>
    </row>
    <row r="428" ht="22" customHeight="1" spans="1:4">
      <c r="A428" s="6" t="s">
        <v>1601</v>
      </c>
      <c r="B428" s="6" t="s">
        <v>2172</v>
      </c>
      <c r="C428" s="6" t="s">
        <v>1599</v>
      </c>
      <c r="D428" s="6" t="s">
        <v>1655</v>
      </c>
    </row>
    <row r="429" ht="22" customHeight="1" spans="1:4">
      <c r="A429" s="6" t="s">
        <v>1601</v>
      </c>
      <c r="B429" s="6" t="s">
        <v>2173</v>
      </c>
      <c r="C429" s="6" t="s">
        <v>1605</v>
      </c>
      <c r="D429" s="6" t="s">
        <v>1657</v>
      </c>
    </row>
    <row r="430" ht="22" customHeight="1" spans="1:4">
      <c r="A430" s="6" t="s">
        <v>1601</v>
      </c>
      <c r="B430" s="6" t="s">
        <v>2174</v>
      </c>
      <c r="C430" s="6" t="s">
        <v>1605</v>
      </c>
      <c r="D430" s="6" t="s">
        <v>1659</v>
      </c>
    </row>
    <row r="431" ht="22" customHeight="1" spans="1:4">
      <c r="A431" s="6" t="s">
        <v>1601</v>
      </c>
      <c r="B431" s="6" t="s">
        <v>2175</v>
      </c>
      <c r="C431" s="6" t="s">
        <v>1599</v>
      </c>
      <c r="D431" s="6" t="s">
        <v>1661</v>
      </c>
    </row>
    <row r="432" ht="22" customHeight="1" spans="1:4">
      <c r="A432" s="6" t="s">
        <v>1601</v>
      </c>
      <c r="B432" s="6" t="s">
        <v>2176</v>
      </c>
      <c r="C432" s="6" t="s">
        <v>1599</v>
      </c>
      <c r="D432" s="6" t="s">
        <v>2177</v>
      </c>
    </row>
    <row r="433" ht="22" customHeight="1" spans="1:4">
      <c r="A433" s="6" t="s">
        <v>1601</v>
      </c>
      <c r="B433" s="6" t="s">
        <v>2178</v>
      </c>
      <c r="C433" s="6" t="s">
        <v>1570</v>
      </c>
      <c r="D433" s="6" t="s">
        <v>1571</v>
      </c>
    </row>
    <row r="434" ht="22" customHeight="1" spans="1:4">
      <c r="A434" s="6" t="s">
        <v>1601</v>
      </c>
      <c r="B434" s="6" t="s">
        <v>2179</v>
      </c>
      <c r="C434" s="6" t="s">
        <v>1599</v>
      </c>
      <c r="D434" s="6" t="s">
        <v>2180</v>
      </c>
    </row>
    <row r="435" ht="22" customHeight="1" spans="1:4">
      <c r="A435" s="6" t="s">
        <v>1601</v>
      </c>
      <c r="B435" s="6" t="s">
        <v>2181</v>
      </c>
      <c r="C435" s="6" t="s">
        <v>1576</v>
      </c>
      <c r="D435" s="6" t="s">
        <v>1571</v>
      </c>
    </row>
    <row r="436" ht="22" customHeight="1" spans="1:4">
      <c r="A436" s="6" t="s">
        <v>1601</v>
      </c>
      <c r="B436" s="6" t="s">
        <v>2182</v>
      </c>
      <c r="C436" s="6" t="s">
        <v>1599</v>
      </c>
      <c r="D436" s="6" t="s">
        <v>1661</v>
      </c>
    </row>
    <row r="437" ht="22" customHeight="1" spans="1:4">
      <c r="A437" s="6" t="s">
        <v>1601</v>
      </c>
      <c r="B437" s="6" t="s">
        <v>2183</v>
      </c>
      <c r="C437" s="6" t="s">
        <v>1570</v>
      </c>
      <c r="D437" s="6" t="s">
        <v>1571</v>
      </c>
    </row>
    <row r="438" ht="22" customHeight="1" spans="1:4">
      <c r="A438" s="6" t="s">
        <v>1601</v>
      </c>
      <c r="B438" s="6" t="s">
        <v>2184</v>
      </c>
      <c r="C438" s="6" t="s">
        <v>1605</v>
      </c>
      <c r="D438" s="6" t="s">
        <v>2185</v>
      </c>
    </row>
    <row r="439" ht="22" customHeight="1" spans="1:4">
      <c r="A439" s="6" t="s">
        <v>1601</v>
      </c>
      <c r="B439" s="6" t="s">
        <v>2186</v>
      </c>
      <c r="C439" s="6" t="s">
        <v>1599</v>
      </c>
      <c r="D439" s="6" t="s">
        <v>2187</v>
      </c>
    </row>
    <row r="440" ht="22" customHeight="1" spans="1:4">
      <c r="A440" s="6" t="s">
        <v>1601</v>
      </c>
      <c r="B440" s="6" t="s">
        <v>2188</v>
      </c>
      <c r="C440" s="6" t="s">
        <v>1599</v>
      </c>
      <c r="D440" s="6" t="s">
        <v>1963</v>
      </c>
    </row>
    <row r="441" ht="22" customHeight="1" spans="1:4">
      <c r="A441" s="6" t="s">
        <v>1601</v>
      </c>
      <c r="B441" s="6" t="s">
        <v>2189</v>
      </c>
      <c r="C441" s="6" t="s">
        <v>1599</v>
      </c>
      <c r="D441" s="6" t="s">
        <v>1723</v>
      </c>
    </row>
    <row r="442" ht="22" customHeight="1" spans="1:4">
      <c r="A442" s="6" t="s">
        <v>1601</v>
      </c>
      <c r="B442" s="6" t="s">
        <v>2190</v>
      </c>
      <c r="C442" s="6" t="s">
        <v>1573</v>
      </c>
      <c r="D442" s="6" t="s">
        <v>921</v>
      </c>
    </row>
    <row r="443" ht="22" customHeight="1" spans="1:4">
      <c r="A443" s="6" t="s">
        <v>1601</v>
      </c>
      <c r="B443" s="6" t="s">
        <v>2191</v>
      </c>
      <c r="C443" s="6" t="s">
        <v>1573</v>
      </c>
      <c r="D443" s="6" t="s">
        <v>1888</v>
      </c>
    </row>
    <row r="444" ht="22" customHeight="1" spans="1:4">
      <c r="A444" s="6" t="s">
        <v>1601</v>
      </c>
      <c r="B444" s="6" t="s">
        <v>2192</v>
      </c>
      <c r="C444" s="6" t="s">
        <v>1573</v>
      </c>
      <c r="D444" s="6" t="s">
        <v>2193</v>
      </c>
    </row>
    <row r="445" ht="22" customHeight="1" spans="1:4">
      <c r="A445" s="6" t="s">
        <v>1601</v>
      </c>
      <c r="B445" s="6" t="s">
        <v>2194</v>
      </c>
      <c r="C445" s="6" t="s">
        <v>1573</v>
      </c>
      <c r="D445" s="6" t="s">
        <v>2195</v>
      </c>
    </row>
    <row r="446" ht="22" customHeight="1" spans="1:4">
      <c r="A446" s="6" t="s">
        <v>1601</v>
      </c>
      <c r="B446" s="6" t="s">
        <v>2196</v>
      </c>
      <c r="C446" s="6" t="s">
        <v>1573</v>
      </c>
      <c r="D446" s="6" t="s">
        <v>1596</v>
      </c>
    </row>
    <row r="447" ht="22" customHeight="1" spans="1:4">
      <c r="A447" s="6" t="s">
        <v>1601</v>
      </c>
      <c r="B447" s="6" t="s">
        <v>2197</v>
      </c>
      <c r="C447" s="6" t="s">
        <v>1605</v>
      </c>
      <c r="D447" s="6" t="s">
        <v>2198</v>
      </c>
    </row>
    <row r="448" ht="22" customHeight="1" spans="1:4">
      <c r="A448" s="6" t="s">
        <v>1601</v>
      </c>
      <c r="B448" s="6" t="s">
        <v>2199</v>
      </c>
      <c r="C448" s="6" t="s">
        <v>1573</v>
      </c>
      <c r="D448" s="6" t="s">
        <v>1623</v>
      </c>
    </row>
    <row r="449" ht="22" customHeight="1" spans="1:4">
      <c r="A449" s="6" t="s">
        <v>1601</v>
      </c>
      <c r="B449" s="6" t="s">
        <v>2200</v>
      </c>
      <c r="C449" s="6" t="s">
        <v>1605</v>
      </c>
      <c r="D449" s="6" t="s">
        <v>1738</v>
      </c>
    </row>
    <row r="450" ht="22" customHeight="1" spans="1:4">
      <c r="A450" s="6" t="s">
        <v>1601</v>
      </c>
      <c r="B450" s="6" t="s">
        <v>2201</v>
      </c>
      <c r="C450" s="6" t="s">
        <v>1605</v>
      </c>
      <c r="D450" s="6" t="s">
        <v>898</v>
      </c>
    </row>
    <row r="451" ht="22" customHeight="1" spans="1:4">
      <c r="A451" s="6" t="s">
        <v>1601</v>
      </c>
      <c r="B451" s="6" t="s">
        <v>2202</v>
      </c>
      <c r="C451" s="6" t="s">
        <v>1605</v>
      </c>
      <c r="D451" s="6" t="s">
        <v>1900</v>
      </c>
    </row>
    <row r="452" ht="22" customHeight="1" spans="1:4">
      <c r="A452" s="6" t="s">
        <v>1601</v>
      </c>
      <c r="B452" s="6" t="s">
        <v>2203</v>
      </c>
      <c r="C452" s="6" t="s">
        <v>1599</v>
      </c>
      <c r="D452" s="6" t="s">
        <v>2204</v>
      </c>
    </row>
    <row r="453" ht="22" customHeight="1" spans="1:4">
      <c r="A453" s="6" t="s">
        <v>1601</v>
      </c>
      <c r="B453" s="6" t="s">
        <v>2205</v>
      </c>
      <c r="C453" s="6" t="s">
        <v>1714</v>
      </c>
      <c r="D453" s="6" t="s">
        <v>1715</v>
      </c>
    </row>
    <row r="454" ht="22" customHeight="1" spans="1:4">
      <c r="A454" s="6" t="s">
        <v>1601</v>
      </c>
      <c r="B454" s="6" t="s">
        <v>2206</v>
      </c>
      <c r="C454" s="6" t="s">
        <v>1714</v>
      </c>
      <c r="D454" s="6" t="s">
        <v>1715</v>
      </c>
    </row>
    <row r="455" ht="22" customHeight="1" spans="1:4">
      <c r="A455" s="6" t="s">
        <v>1601</v>
      </c>
      <c r="B455" s="6" t="s">
        <v>2207</v>
      </c>
      <c r="C455" s="6" t="s">
        <v>1599</v>
      </c>
      <c r="D455" s="6" t="s">
        <v>2208</v>
      </c>
    </row>
    <row r="456" ht="22" customHeight="1" spans="1:4">
      <c r="A456" s="6" t="s">
        <v>1601</v>
      </c>
      <c r="B456" s="6" t="s">
        <v>2209</v>
      </c>
      <c r="C456" s="6" t="s">
        <v>1573</v>
      </c>
      <c r="D456" s="6" t="s">
        <v>1623</v>
      </c>
    </row>
    <row r="457" ht="22" customHeight="1" spans="1:4">
      <c r="A457" s="6" t="s">
        <v>1601</v>
      </c>
      <c r="B457" s="6" t="s">
        <v>2210</v>
      </c>
      <c r="C457" s="6" t="s">
        <v>1573</v>
      </c>
      <c r="D457" s="6" t="s">
        <v>1706</v>
      </c>
    </row>
    <row r="458" ht="22" customHeight="1" spans="1:4">
      <c r="A458" s="6" t="s">
        <v>1601</v>
      </c>
      <c r="B458" s="6" t="s">
        <v>2211</v>
      </c>
      <c r="C458" s="6" t="s">
        <v>1599</v>
      </c>
      <c r="D458" s="6" t="s">
        <v>2212</v>
      </c>
    </row>
    <row r="459" ht="22" customHeight="1" spans="1:4">
      <c r="A459" s="6" t="s">
        <v>1601</v>
      </c>
      <c r="B459" s="6" t="s">
        <v>2213</v>
      </c>
      <c r="C459" s="6" t="s">
        <v>1570</v>
      </c>
      <c r="D459" s="6" t="s">
        <v>1571</v>
      </c>
    </row>
    <row r="460" ht="22" customHeight="1" spans="1:4">
      <c r="A460" s="6" t="s">
        <v>1601</v>
      </c>
      <c r="B460" s="6" t="s">
        <v>2214</v>
      </c>
      <c r="C460" s="6" t="s">
        <v>1599</v>
      </c>
      <c r="D460" s="6" t="s">
        <v>2215</v>
      </c>
    </row>
    <row r="461" ht="22" customHeight="1" spans="1:4">
      <c r="A461" s="6" t="s">
        <v>1601</v>
      </c>
      <c r="B461" s="6" t="s">
        <v>2216</v>
      </c>
      <c r="C461" s="6" t="s">
        <v>1576</v>
      </c>
      <c r="D461" s="6" t="s">
        <v>1571</v>
      </c>
    </row>
    <row r="462" ht="22" customHeight="1" spans="1:4">
      <c r="A462" s="6" t="s">
        <v>1601</v>
      </c>
      <c r="B462" s="6" t="s">
        <v>2217</v>
      </c>
      <c r="C462" s="6" t="s">
        <v>1599</v>
      </c>
      <c r="D462" s="6" t="s">
        <v>1653</v>
      </c>
    </row>
    <row r="463" ht="22" customHeight="1" spans="1:4">
      <c r="A463" s="6" t="s">
        <v>1601</v>
      </c>
      <c r="B463" s="6" t="s">
        <v>2218</v>
      </c>
      <c r="C463" s="6" t="s">
        <v>1570</v>
      </c>
      <c r="D463" s="6" t="s">
        <v>1571</v>
      </c>
    </row>
    <row r="464" ht="22" customHeight="1" spans="1:4">
      <c r="A464" s="6" t="s">
        <v>1601</v>
      </c>
      <c r="B464" s="6" t="s">
        <v>2219</v>
      </c>
      <c r="C464" s="6" t="s">
        <v>1573</v>
      </c>
      <c r="D464" s="6" t="s">
        <v>1725</v>
      </c>
    </row>
    <row r="465" ht="22" customHeight="1" spans="1:4">
      <c r="A465" s="6" t="s">
        <v>1601</v>
      </c>
      <c r="B465" s="6" t="s">
        <v>2220</v>
      </c>
      <c r="C465" s="6" t="s">
        <v>1605</v>
      </c>
      <c r="D465" s="6" t="s">
        <v>1840</v>
      </c>
    </row>
    <row r="466" ht="22" customHeight="1" spans="1:4">
      <c r="A466" s="6" t="s">
        <v>1601</v>
      </c>
      <c r="B466" s="6" t="s">
        <v>2221</v>
      </c>
      <c r="C466" s="6" t="s">
        <v>1599</v>
      </c>
      <c r="D466" s="6" t="s">
        <v>2222</v>
      </c>
    </row>
    <row r="467" ht="22" customHeight="1" spans="1:4">
      <c r="A467" s="6" t="s">
        <v>1601</v>
      </c>
      <c r="B467" s="6" t="s">
        <v>2223</v>
      </c>
      <c r="C467" s="6" t="s">
        <v>1599</v>
      </c>
      <c r="D467" s="6" t="s">
        <v>1963</v>
      </c>
    </row>
    <row r="468" ht="22" customHeight="1" spans="1:4">
      <c r="A468" s="6" t="s">
        <v>1601</v>
      </c>
      <c r="B468" s="6" t="s">
        <v>2224</v>
      </c>
      <c r="C468" s="6" t="s">
        <v>1599</v>
      </c>
      <c r="D468" s="6" t="s">
        <v>1769</v>
      </c>
    </row>
    <row r="469" ht="22" customHeight="1" spans="1:4">
      <c r="A469" s="6" t="s">
        <v>1601</v>
      </c>
      <c r="B469" s="6" t="s">
        <v>2225</v>
      </c>
      <c r="C469" s="6" t="s">
        <v>1573</v>
      </c>
      <c r="D469" s="6" t="s">
        <v>921</v>
      </c>
    </row>
    <row r="470" ht="22" customHeight="1" spans="1:4">
      <c r="A470" s="6" t="s">
        <v>1601</v>
      </c>
      <c r="B470" s="6" t="s">
        <v>2226</v>
      </c>
      <c r="C470" s="6" t="s">
        <v>1573</v>
      </c>
      <c r="D470" s="6" t="s">
        <v>1888</v>
      </c>
    </row>
    <row r="471" ht="22" customHeight="1" spans="1:4">
      <c r="A471" s="6" t="s">
        <v>1601</v>
      </c>
      <c r="B471" s="6" t="s">
        <v>2227</v>
      </c>
      <c r="C471" s="6" t="s">
        <v>1573</v>
      </c>
      <c r="D471" s="6" t="s">
        <v>1928</v>
      </c>
    </row>
    <row r="472" ht="22" customHeight="1" spans="1:4">
      <c r="A472" s="6" t="s">
        <v>1601</v>
      </c>
      <c r="B472" s="6" t="s">
        <v>2228</v>
      </c>
      <c r="C472" s="6" t="s">
        <v>1573</v>
      </c>
      <c r="D472" s="6" t="s">
        <v>2229</v>
      </c>
    </row>
    <row r="473" ht="22" customHeight="1" spans="1:4">
      <c r="A473" s="6" t="s">
        <v>1601</v>
      </c>
      <c r="B473" s="6" t="s">
        <v>2230</v>
      </c>
      <c r="C473" s="6" t="s">
        <v>1573</v>
      </c>
      <c r="D473" s="6" t="s">
        <v>1733</v>
      </c>
    </row>
    <row r="474" ht="22" customHeight="1" spans="1:4">
      <c r="A474" s="6" t="s">
        <v>1601</v>
      </c>
      <c r="B474" s="6" t="s">
        <v>2231</v>
      </c>
      <c r="C474" s="6" t="s">
        <v>1605</v>
      </c>
      <c r="D474" s="6" t="s">
        <v>1895</v>
      </c>
    </row>
    <row r="475" ht="22" customHeight="1" spans="1:4">
      <c r="A475" s="6" t="s">
        <v>1601</v>
      </c>
      <c r="B475" s="6" t="s">
        <v>2232</v>
      </c>
      <c r="C475" s="6" t="s">
        <v>1573</v>
      </c>
      <c r="D475" s="6" t="s">
        <v>1623</v>
      </c>
    </row>
    <row r="476" ht="22" customHeight="1" spans="1:4">
      <c r="A476" s="6" t="s">
        <v>1601</v>
      </c>
      <c r="B476" s="6" t="s">
        <v>2233</v>
      </c>
      <c r="C476" s="6" t="s">
        <v>1605</v>
      </c>
      <c r="D476" s="6" t="s">
        <v>2234</v>
      </c>
    </row>
    <row r="477" ht="22" customHeight="1" spans="1:4">
      <c r="A477" s="6" t="s">
        <v>1601</v>
      </c>
      <c r="B477" s="6" t="s">
        <v>2235</v>
      </c>
      <c r="C477" s="6" t="s">
        <v>1605</v>
      </c>
      <c r="D477" s="6" t="s">
        <v>1937</v>
      </c>
    </row>
    <row r="478" ht="22" customHeight="1" spans="1:4">
      <c r="A478" s="6" t="s">
        <v>1601</v>
      </c>
      <c r="B478" s="6" t="s">
        <v>2236</v>
      </c>
      <c r="C478" s="6" t="s">
        <v>1605</v>
      </c>
      <c r="D478" s="6" t="s">
        <v>2237</v>
      </c>
    </row>
    <row r="479" ht="22" customHeight="1" spans="1:4">
      <c r="A479" s="6" t="s">
        <v>1601</v>
      </c>
      <c r="B479" s="6" t="s">
        <v>2238</v>
      </c>
      <c r="C479" s="6" t="s">
        <v>1599</v>
      </c>
      <c r="D479" s="6" t="s">
        <v>2239</v>
      </c>
    </row>
    <row r="480" ht="22" customHeight="1" spans="1:4">
      <c r="A480" s="6" t="s">
        <v>1601</v>
      </c>
      <c r="B480" s="6" t="s">
        <v>2240</v>
      </c>
      <c r="C480" s="6" t="s">
        <v>1573</v>
      </c>
      <c r="D480" s="6" t="s">
        <v>1623</v>
      </c>
    </row>
    <row r="481" ht="22" customHeight="1" spans="1:4">
      <c r="A481" s="6" t="s">
        <v>1601</v>
      </c>
      <c r="B481" s="6" t="s">
        <v>2241</v>
      </c>
      <c r="C481" s="6" t="s">
        <v>1605</v>
      </c>
      <c r="D481" s="6" t="s">
        <v>1865</v>
      </c>
    </row>
    <row r="482" ht="22" customHeight="1" spans="1:4">
      <c r="A482" s="6" t="s">
        <v>1601</v>
      </c>
      <c r="B482" s="6" t="s">
        <v>2242</v>
      </c>
      <c r="C482" s="6" t="s">
        <v>1714</v>
      </c>
      <c r="D482" s="6" t="s">
        <v>1715</v>
      </c>
    </row>
    <row r="483" ht="22" customHeight="1" spans="1:4">
      <c r="A483" s="6" t="s">
        <v>1601</v>
      </c>
      <c r="B483" s="6" t="s">
        <v>2243</v>
      </c>
      <c r="C483" s="6" t="s">
        <v>1599</v>
      </c>
      <c r="D483" s="6" t="s">
        <v>2244</v>
      </c>
    </row>
    <row r="484" ht="22" customHeight="1" spans="1:4">
      <c r="A484" s="6" t="s">
        <v>1601</v>
      </c>
      <c r="B484" s="6" t="s">
        <v>2245</v>
      </c>
      <c r="C484" s="6" t="s">
        <v>1573</v>
      </c>
      <c r="D484" s="6" t="s">
        <v>1623</v>
      </c>
    </row>
    <row r="485" ht="22" customHeight="1" spans="1:4">
      <c r="A485" s="6" t="s">
        <v>1601</v>
      </c>
      <c r="B485" s="6" t="s">
        <v>2246</v>
      </c>
      <c r="C485" s="6" t="s">
        <v>1573</v>
      </c>
      <c r="D485" s="6" t="s">
        <v>1706</v>
      </c>
    </row>
    <row r="486" ht="22" customHeight="1" spans="1:4">
      <c r="A486" s="6" t="s">
        <v>1601</v>
      </c>
      <c r="B486" s="6" t="s">
        <v>2247</v>
      </c>
      <c r="C486" s="6" t="s">
        <v>1599</v>
      </c>
      <c r="D486" s="6" t="s">
        <v>1653</v>
      </c>
    </row>
    <row r="487" ht="22" customHeight="1" spans="1:4">
      <c r="A487" s="6" t="s">
        <v>1601</v>
      </c>
      <c r="B487" s="6" t="s">
        <v>2248</v>
      </c>
      <c r="C487" s="6" t="s">
        <v>1599</v>
      </c>
      <c r="D487" s="6" t="s">
        <v>1655</v>
      </c>
    </row>
    <row r="488" ht="22" customHeight="1" spans="1:4">
      <c r="A488" s="6" t="s">
        <v>1601</v>
      </c>
      <c r="B488" s="6" t="s">
        <v>2249</v>
      </c>
      <c r="C488" s="6" t="s">
        <v>1605</v>
      </c>
      <c r="D488" s="6" t="s">
        <v>1657</v>
      </c>
    </row>
    <row r="489" ht="22" customHeight="1" spans="1:4">
      <c r="A489" s="6" t="s">
        <v>1601</v>
      </c>
      <c r="B489" s="6" t="s">
        <v>2250</v>
      </c>
      <c r="C489" s="6" t="s">
        <v>1605</v>
      </c>
      <c r="D489" s="6" t="s">
        <v>1673</v>
      </c>
    </row>
    <row r="490" ht="22" customHeight="1" spans="1:4">
      <c r="A490" s="6" t="s">
        <v>1601</v>
      </c>
      <c r="B490" s="6" t="s">
        <v>2251</v>
      </c>
      <c r="C490" s="6" t="s">
        <v>1599</v>
      </c>
      <c r="D490" s="6" t="s">
        <v>1661</v>
      </c>
    </row>
    <row r="491" ht="22" customHeight="1" spans="1:4">
      <c r="A491" s="6" t="s">
        <v>1601</v>
      </c>
      <c r="B491" s="6" t="s">
        <v>2252</v>
      </c>
      <c r="C491" s="6" t="s">
        <v>1599</v>
      </c>
      <c r="D491" s="6" t="s">
        <v>2253</v>
      </c>
    </row>
    <row r="492" ht="22" customHeight="1" spans="1:4">
      <c r="A492" s="6" t="s">
        <v>1601</v>
      </c>
      <c r="B492" s="6" t="s">
        <v>2254</v>
      </c>
      <c r="C492" s="6" t="s">
        <v>1570</v>
      </c>
      <c r="D492" s="6" t="s">
        <v>1571</v>
      </c>
    </row>
    <row r="493" ht="22" customHeight="1" spans="1:4">
      <c r="A493" s="6" t="s">
        <v>1601</v>
      </c>
      <c r="B493" s="6" t="s">
        <v>2255</v>
      </c>
      <c r="C493" s="6" t="s">
        <v>1599</v>
      </c>
      <c r="D493" s="6" t="s">
        <v>2256</v>
      </c>
    </row>
    <row r="494" ht="22" customHeight="1" spans="1:4">
      <c r="A494" s="6" t="s">
        <v>1601</v>
      </c>
      <c r="B494" s="6" t="s">
        <v>2257</v>
      </c>
      <c r="C494" s="6" t="s">
        <v>1576</v>
      </c>
      <c r="D494" s="6" t="s">
        <v>1571</v>
      </c>
    </row>
    <row r="495" ht="22" customHeight="1" spans="1:4">
      <c r="A495" s="6" t="s">
        <v>1601</v>
      </c>
      <c r="B495" s="6" t="s">
        <v>2258</v>
      </c>
      <c r="C495" s="6" t="s">
        <v>1599</v>
      </c>
      <c r="D495" s="6" t="s">
        <v>1655</v>
      </c>
    </row>
    <row r="496" ht="22" customHeight="1" spans="1:4">
      <c r="A496" s="6" t="s">
        <v>1601</v>
      </c>
      <c r="B496" s="6" t="s">
        <v>2259</v>
      </c>
      <c r="C496" s="6" t="s">
        <v>1599</v>
      </c>
      <c r="D496" s="6" t="s">
        <v>1653</v>
      </c>
    </row>
    <row r="497" ht="22" customHeight="1" spans="1:4">
      <c r="A497" s="6" t="s">
        <v>1601</v>
      </c>
      <c r="B497" s="6" t="s">
        <v>2260</v>
      </c>
      <c r="C497" s="6" t="s">
        <v>1599</v>
      </c>
      <c r="D497" s="6" t="s">
        <v>2261</v>
      </c>
    </row>
    <row r="498" ht="22" customHeight="1" spans="1:4">
      <c r="A498" s="6" t="s">
        <v>1601</v>
      </c>
      <c r="B498" s="6" t="s">
        <v>2262</v>
      </c>
      <c r="C498" s="6" t="s">
        <v>1599</v>
      </c>
      <c r="D498" s="6" t="s">
        <v>2263</v>
      </c>
    </row>
    <row r="499" ht="22" customHeight="1" spans="1:4">
      <c r="A499" s="6" t="s">
        <v>1601</v>
      </c>
      <c r="B499" s="6" t="s">
        <v>2264</v>
      </c>
      <c r="C499" s="6" t="s">
        <v>1599</v>
      </c>
      <c r="D499" s="6" t="s">
        <v>1769</v>
      </c>
    </row>
    <row r="500" ht="22" customHeight="1" spans="1:4">
      <c r="A500" s="6" t="s">
        <v>1601</v>
      </c>
      <c r="B500" s="6" t="s">
        <v>2265</v>
      </c>
      <c r="C500" s="6" t="s">
        <v>1573</v>
      </c>
      <c r="D500" s="6" t="s">
        <v>1623</v>
      </c>
    </row>
    <row r="501" ht="22" customHeight="1" spans="1:4">
      <c r="A501" s="6" t="s">
        <v>1601</v>
      </c>
      <c r="B501" s="6" t="s">
        <v>2266</v>
      </c>
      <c r="C501" s="6" t="s">
        <v>1573</v>
      </c>
      <c r="D501" s="6" t="s">
        <v>1585</v>
      </c>
    </row>
    <row r="502" ht="22" customHeight="1" spans="1:4">
      <c r="A502" s="6" t="s">
        <v>1601</v>
      </c>
      <c r="B502" s="6" t="s">
        <v>2267</v>
      </c>
      <c r="C502" s="6" t="s">
        <v>1573</v>
      </c>
      <c r="D502" s="6" t="s">
        <v>1683</v>
      </c>
    </row>
    <row r="503" ht="22" customHeight="1" spans="1:4">
      <c r="A503" s="6" t="s">
        <v>1601</v>
      </c>
      <c r="B503" s="6" t="s">
        <v>2268</v>
      </c>
      <c r="C503" s="6" t="s">
        <v>1573</v>
      </c>
      <c r="D503" s="6" t="s">
        <v>2269</v>
      </c>
    </row>
    <row r="504" ht="22" customHeight="1" spans="1:4">
      <c r="A504" s="6" t="s">
        <v>1601</v>
      </c>
      <c r="B504" s="6" t="s">
        <v>2270</v>
      </c>
      <c r="C504" s="6" t="s">
        <v>1573</v>
      </c>
      <c r="D504" s="6" t="s">
        <v>1725</v>
      </c>
    </row>
    <row r="505" ht="22" customHeight="1" spans="1:4">
      <c r="A505" s="6" t="s">
        <v>1601</v>
      </c>
      <c r="B505" s="6" t="s">
        <v>2271</v>
      </c>
      <c r="C505" s="6" t="s">
        <v>1605</v>
      </c>
      <c r="D505" s="6" t="s">
        <v>2272</v>
      </c>
    </row>
    <row r="506" ht="22" customHeight="1" spans="1:4">
      <c r="A506" s="6" t="s">
        <v>1601</v>
      </c>
      <c r="B506" s="6" t="s">
        <v>2273</v>
      </c>
      <c r="C506" s="6" t="s">
        <v>1573</v>
      </c>
      <c r="D506" s="6" t="s">
        <v>1623</v>
      </c>
    </row>
    <row r="507" ht="22" customHeight="1" spans="1:4">
      <c r="A507" s="6" t="s">
        <v>1601</v>
      </c>
      <c r="B507" s="6" t="s">
        <v>2274</v>
      </c>
      <c r="C507" s="6" t="s">
        <v>1605</v>
      </c>
      <c r="D507" s="6" t="s">
        <v>2275</v>
      </c>
    </row>
    <row r="508" ht="22" customHeight="1" spans="1:4">
      <c r="A508" s="6" t="s">
        <v>1601</v>
      </c>
      <c r="B508" s="6" t="s">
        <v>2276</v>
      </c>
      <c r="C508" s="6" t="s">
        <v>1605</v>
      </c>
      <c r="D508" s="6" t="s">
        <v>1636</v>
      </c>
    </row>
    <row r="509" ht="22" customHeight="1" spans="1:4">
      <c r="A509" s="6" t="s">
        <v>1601</v>
      </c>
      <c r="B509" s="6" t="s">
        <v>2277</v>
      </c>
      <c r="C509" s="6" t="s">
        <v>1605</v>
      </c>
      <c r="D509" s="6" t="s">
        <v>1606</v>
      </c>
    </row>
    <row r="510" ht="22" customHeight="1" spans="1:4">
      <c r="A510" s="6" t="s">
        <v>1601</v>
      </c>
      <c r="B510" s="6" t="s">
        <v>2278</v>
      </c>
      <c r="C510" s="6" t="s">
        <v>1605</v>
      </c>
      <c r="D510" s="6" t="s">
        <v>1606</v>
      </c>
    </row>
    <row r="511" ht="22" customHeight="1" spans="1:4">
      <c r="A511" s="6" t="s">
        <v>1601</v>
      </c>
      <c r="B511" s="6" t="s">
        <v>2279</v>
      </c>
      <c r="C511" s="6" t="s">
        <v>1599</v>
      </c>
      <c r="D511" s="6" t="s">
        <v>2280</v>
      </c>
    </row>
    <row r="512" ht="22" customHeight="1" spans="1:4">
      <c r="A512" s="6" t="s">
        <v>1601</v>
      </c>
      <c r="B512" s="6" t="s">
        <v>2281</v>
      </c>
      <c r="C512" s="6" t="s">
        <v>1599</v>
      </c>
      <c r="D512" s="6" t="s">
        <v>2282</v>
      </c>
    </row>
    <row r="513" ht="22" customHeight="1" spans="1:4">
      <c r="A513" s="6" t="s">
        <v>1601</v>
      </c>
      <c r="B513" s="6" t="s">
        <v>2283</v>
      </c>
      <c r="C513" s="6" t="s">
        <v>1573</v>
      </c>
      <c r="D513" s="6" t="s">
        <v>1623</v>
      </c>
    </row>
    <row r="514" ht="22" customHeight="1" spans="1:4">
      <c r="A514" s="6" t="s">
        <v>1601</v>
      </c>
      <c r="B514" s="6" t="s">
        <v>2284</v>
      </c>
      <c r="C514" s="6" t="s">
        <v>1573</v>
      </c>
      <c r="D514" s="6" t="s">
        <v>1706</v>
      </c>
    </row>
    <row r="515" ht="22" customHeight="1" spans="1:4">
      <c r="A515" s="6" t="s">
        <v>1601</v>
      </c>
      <c r="B515" s="6" t="s">
        <v>2285</v>
      </c>
      <c r="C515" s="6" t="s">
        <v>1599</v>
      </c>
      <c r="D515" s="6" t="s">
        <v>1653</v>
      </c>
    </row>
    <row r="516" ht="22" customHeight="1" spans="1:4">
      <c r="A516" s="6" t="s">
        <v>1601</v>
      </c>
      <c r="B516" s="6" t="s">
        <v>2286</v>
      </c>
      <c r="C516" s="6" t="s">
        <v>1599</v>
      </c>
      <c r="D516" s="6" t="s">
        <v>1655</v>
      </c>
    </row>
    <row r="517" ht="22" customHeight="1" spans="1:4">
      <c r="A517" s="6" t="s">
        <v>1601</v>
      </c>
      <c r="B517" s="6" t="s">
        <v>2287</v>
      </c>
      <c r="C517" s="6" t="s">
        <v>1605</v>
      </c>
      <c r="D517" s="6" t="s">
        <v>1657</v>
      </c>
    </row>
    <row r="518" ht="22" customHeight="1" spans="1:4">
      <c r="A518" s="6" t="s">
        <v>1601</v>
      </c>
      <c r="B518" s="6" t="s">
        <v>2288</v>
      </c>
      <c r="C518" s="6" t="s">
        <v>1605</v>
      </c>
      <c r="D518" s="6" t="s">
        <v>1659</v>
      </c>
    </row>
    <row r="519" ht="22" customHeight="1" spans="1:4">
      <c r="A519" s="6" t="s">
        <v>1601</v>
      </c>
      <c r="B519" s="6" t="s">
        <v>2289</v>
      </c>
      <c r="C519" s="6" t="s">
        <v>1599</v>
      </c>
      <c r="D519" s="6" t="s">
        <v>1661</v>
      </c>
    </row>
    <row r="520" ht="22" customHeight="1" spans="1:4">
      <c r="A520" s="6" t="s">
        <v>1601</v>
      </c>
      <c r="B520" s="6" t="s">
        <v>2290</v>
      </c>
      <c r="C520" s="6" t="s">
        <v>1599</v>
      </c>
      <c r="D520" s="6" t="s">
        <v>2291</v>
      </c>
    </row>
    <row r="521" ht="22" customHeight="1" spans="1:4">
      <c r="A521" s="6" t="s">
        <v>1601</v>
      </c>
      <c r="B521" s="6" t="s">
        <v>2292</v>
      </c>
      <c r="C521" s="6" t="s">
        <v>1570</v>
      </c>
      <c r="D521" s="6" t="s">
        <v>1571</v>
      </c>
    </row>
    <row r="522" ht="22" customHeight="1" spans="1:4">
      <c r="A522" s="6" t="s">
        <v>1601</v>
      </c>
      <c r="B522" s="6" t="s">
        <v>2293</v>
      </c>
      <c r="C522" s="6" t="s">
        <v>1599</v>
      </c>
      <c r="D522" s="6" t="s">
        <v>2294</v>
      </c>
    </row>
    <row r="523" ht="22" customHeight="1" spans="1:4">
      <c r="A523" s="6" t="s">
        <v>1601</v>
      </c>
      <c r="B523" s="6" t="s">
        <v>2295</v>
      </c>
      <c r="C523" s="6" t="s">
        <v>1605</v>
      </c>
      <c r="D523" s="6" t="s">
        <v>2296</v>
      </c>
    </row>
    <row r="524" ht="22" customHeight="1" spans="1:4">
      <c r="A524" s="6" t="s">
        <v>1601</v>
      </c>
      <c r="B524" s="6" t="s">
        <v>2297</v>
      </c>
      <c r="C524" s="6" t="s">
        <v>1573</v>
      </c>
      <c r="D524" s="6" t="s">
        <v>275</v>
      </c>
    </row>
    <row r="525" ht="22" customHeight="1" spans="1:4">
      <c r="A525" s="6" t="s">
        <v>1601</v>
      </c>
      <c r="B525" s="6" t="s">
        <v>2298</v>
      </c>
      <c r="C525" s="6" t="s">
        <v>1570</v>
      </c>
      <c r="D525" s="6" t="s">
        <v>1571</v>
      </c>
    </row>
    <row r="526" ht="22" customHeight="1" spans="1:4">
      <c r="A526" s="6" t="s">
        <v>1601</v>
      </c>
      <c r="B526" s="6" t="s">
        <v>2299</v>
      </c>
      <c r="C526" s="6" t="s">
        <v>1605</v>
      </c>
      <c r="D526" s="6" t="s">
        <v>1643</v>
      </c>
    </row>
    <row r="527" ht="22" customHeight="1" spans="1:4">
      <c r="A527" s="6" t="s">
        <v>1601</v>
      </c>
      <c r="B527" s="6" t="s">
        <v>2300</v>
      </c>
      <c r="C527" s="6" t="s">
        <v>1573</v>
      </c>
      <c r="D527" s="6" t="s">
        <v>493</v>
      </c>
    </row>
    <row r="528" ht="22" customHeight="1" spans="1:4">
      <c r="A528" s="6" t="s">
        <v>1601</v>
      </c>
      <c r="B528" s="6" t="s">
        <v>2301</v>
      </c>
      <c r="C528" s="6" t="s">
        <v>1599</v>
      </c>
      <c r="D528" s="6" t="s">
        <v>2302</v>
      </c>
    </row>
    <row r="529" ht="22" customHeight="1" spans="1:4">
      <c r="A529" s="6" t="s">
        <v>1601</v>
      </c>
      <c r="B529" s="6" t="s">
        <v>2303</v>
      </c>
      <c r="C529" s="6" t="s">
        <v>1599</v>
      </c>
      <c r="D529" s="6" t="s">
        <v>2263</v>
      </c>
    </row>
    <row r="530" ht="22" customHeight="1" spans="1:4">
      <c r="A530" s="6" t="s">
        <v>1601</v>
      </c>
      <c r="B530" s="6" t="s">
        <v>2304</v>
      </c>
      <c r="C530" s="6" t="s">
        <v>1599</v>
      </c>
      <c r="D530" s="6" t="s">
        <v>1621</v>
      </c>
    </row>
    <row r="531" ht="22" customHeight="1" spans="1:4">
      <c r="A531" s="6" t="s">
        <v>1601</v>
      </c>
      <c r="B531" s="6" t="s">
        <v>2305</v>
      </c>
      <c r="C531" s="6" t="s">
        <v>1573</v>
      </c>
      <c r="D531" s="6" t="s">
        <v>1623</v>
      </c>
    </row>
    <row r="532" ht="22" customHeight="1" spans="1:4">
      <c r="A532" s="6" t="s">
        <v>1601</v>
      </c>
      <c r="B532" s="6" t="s">
        <v>2306</v>
      </c>
      <c r="C532" s="6" t="s">
        <v>1573</v>
      </c>
      <c r="D532" s="6" t="s">
        <v>1589</v>
      </c>
    </row>
    <row r="533" ht="22" customHeight="1" spans="1:4">
      <c r="A533" s="6" t="s">
        <v>1601</v>
      </c>
      <c r="B533" s="6" t="s">
        <v>2307</v>
      </c>
      <c r="C533" s="6" t="s">
        <v>1573</v>
      </c>
      <c r="D533" s="6" t="s">
        <v>2308</v>
      </c>
    </row>
    <row r="534" ht="22" customHeight="1" spans="1:4">
      <c r="A534" s="6" t="s">
        <v>1601</v>
      </c>
      <c r="B534" s="6" t="s">
        <v>2309</v>
      </c>
      <c r="C534" s="6" t="s">
        <v>1573</v>
      </c>
      <c r="D534" s="6" t="s">
        <v>2310</v>
      </c>
    </row>
    <row r="535" ht="22" customHeight="1" spans="1:4">
      <c r="A535" s="6" t="s">
        <v>1601</v>
      </c>
      <c r="B535" s="6" t="s">
        <v>2311</v>
      </c>
      <c r="C535" s="6" t="s">
        <v>1573</v>
      </c>
      <c r="D535" s="6" t="s">
        <v>463</v>
      </c>
    </row>
    <row r="536" ht="22" customHeight="1" spans="1:4">
      <c r="A536" s="6" t="s">
        <v>1601</v>
      </c>
      <c r="B536" s="6" t="s">
        <v>2312</v>
      </c>
      <c r="C536" s="6" t="s">
        <v>1605</v>
      </c>
      <c r="D536" s="6" t="s">
        <v>1649</v>
      </c>
    </row>
    <row r="537" ht="22" customHeight="1" spans="1:4">
      <c r="A537" s="6" t="s">
        <v>1601</v>
      </c>
      <c r="B537" s="6" t="s">
        <v>2313</v>
      </c>
      <c r="C537" s="6" t="s">
        <v>1573</v>
      </c>
      <c r="D537" s="6" t="s">
        <v>1623</v>
      </c>
    </row>
    <row r="538" ht="22" customHeight="1" spans="1:4">
      <c r="A538" s="6" t="s">
        <v>1601</v>
      </c>
      <c r="B538" s="6" t="s">
        <v>2314</v>
      </c>
      <c r="C538" s="6" t="s">
        <v>1605</v>
      </c>
      <c r="D538" s="6" t="s">
        <v>2315</v>
      </c>
    </row>
    <row r="539" ht="22" customHeight="1" spans="1:4">
      <c r="A539" s="6" t="s">
        <v>1601</v>
      </c>
      <c r="B539" s="6" t="s">
        <v>2316</v>
      </c>
      <c r="C539" s="6" t="s">
        <v>1605</v>
      </c>
      <c r="D539" s="6" t="s">
        <v>1636</v>
      </c>
    </row>
    <row r="540" ht="22" customHeight="1" spans="1:4">
      <c r="A540" s="6" t="s">
        <v>1601</v>
      </c>
      <c r="B540" s="6" t="s">
        <v>2317</v>
      </c>
      <c r="C540" s="6" t="s">
        <v>1605</v>
      </c>
      <c r="D540" s="6" t="s">
        <v>1606</v>
      </c>
    </row>
    <row r="541" ht="22" customHeight="1" spans="1:4">
      <c r="A541" s="6" t="s">
        <v>1601</v>
      </c>
      <c r="B541" s="6" t="s">
        <v>2318</v>
      </c>
      <c r="C541" s="6" t="s">
        <v>1599</v>
      </c>
      <c r="D541" s="6" t="s">
        <v>2319</v>
      </c>
    </row>
    <row r="542" ht="22" customHeight="1" spans="1:4">
      <c r="A542" s="6" t="s">
        <v>1601</v>
      </c>
      <c r="B542" s="6" t="s">
        <v>2320</v>
      </c>
      <c r="C542" s="6" t="s">
        <v>1599</v>
      </c>
      <c r="D542" s="6" t="s">
        <v>2321</v>
      </c>
    </row>
    <row r="543" ht="22" customHeight="1" spans="1:4">
      <c r="A543" s="6" t="s">
        <v>1601</v>
      </c>
      <c r="B543" s="6" t="s">
        <v>2322</v>
      </c>
      <c r="C543" s="6" t="s">
        <v>1573</v>
      </c>
      <c r="D543" s="6" t="s">
        <v>1623</v>
      </c>
    </row>
    <row r="544" ht="22" customHeight="1" spans="1:4">
      <c r="A544" s="6" t="s">
        <v>1601</v>
      </c>
      <c r="B544" s="6" t="s">
        <v>2323</v>
      </c>
      <c r="C544" s="6" t="s">
        <v>1573</v>
      </c>
      <c r="D544" s="6" t="s">
        <v>1706</v>
      </c>
    </row>
    <row r="545" ht="22" customHeight="1" spans="1:4">
      <c r="A545" s="6" t="s">
        <v>1601</v>
      </c>
      <c r="B545" s="6" t="s">
        <v>2324</v>
      </c>
      <c r="C545" s="6" t="s">
        <v>1599</v>
      </c>
      <c r="D545" s="6" t="s">
        <v>2325</v>
      </c>
    </row>
    <row r="546" ht="22" customHeight="1" spans="1:4">
      <c r="A546" s="6" t="s">
        <v>1601</v>
      </c>
      <c r="B546" s="6" t="s">
        <v>2326</v>
      </c>
      <c r="C546" s="6" t="s">
        <v>1570</v>
      </c>
      <c r="D546" s="6" t="s">
        <v>1571</v>
      </c>
    </row>
    <row r="547" ht="22" customHeight="1" spans="1:4">
      <c r="A547" s="6" t="s">
        <v>1601</v>
      </c>
      <c r="B547" s="6" t="s">
        <v>2327</v>
      </c>
      <c r="C547" s="6" t="s">
        <v>1599</v>
      </c>
      <c r="D547" s="6" t="s">
        <v>2328</v>
      </c>
    </row>
    <row r="548" ht="22" customHeight="1" spans="1:4">
      <c r="A548" s="6" t="s">
        <v>1601</v>
      </c>
      <c r="B548" s="6" t="s">
        <v>2329</v>
      </c>
      <c r="C548" s="6" t="s">
        <v>1576</v>
      </c>
      <c r="D548" s="6" t="s">
        <v>1571</v>
      </c>
    </row>
    <row r="549" ht="22" customHeight="1" spans="1:4">
      <c r="A549" s="6" t="s">
        <v>1601</v>
      </c>
      <c r="B549" s="6" t="s">
        <v>2330</v>
      </c>
      <c r="C549" s="6" t="s">
        <v>1599</v>
      </c>
      <c r="D549" s="6" t="s">
        <v>1661</v>
      </c>
    </row>
    <row r="550" ht="22" customHeight="1" spans="1:4">
      <c r="A550" s="6" t="s">
        <v>1601</v>
      </c>
      <c r="B550" s="6" t="s">
        <v>2331</v>
      </c>
      <c r="C550" s="6" t="s">
        <v>1570</v>
      </c>
      <c r="D550" s="6" t="s">
        <v>1571</v>
      </c>
    </row>
    <row r="551" ht="22" customHeight="1" spans="1:4">
      <c r="A551" s="6" t="s">
        <v>1601</v>
      </c>
      <c r="B551" s="6" t="s">
        <v>2332</v>
      </c>
      <c r="C551" s="6" t="s">
        <v>1605</v>
      </c>
      <c r="D551" s="6" t="s">
        <v>1615</v>
      </c>
    </row>
    <row r="552" ht="22" customHeight="1" spans="1:4">
      <c r="A552" s="6" t="s">
        <v>1601</v>
      </c>
      <c r="B552" s="6" t="s">
        <v>2333</v>
      </c>
      <c r="C552" s="6" t="s">
        <v>1605</v>
      </c>
      <c r="D552" s="6" t="s">
        <v>1735</v>
      </c>
    </row>
    <row r="553" ht="22" customHeight="1" spans="1:4">
      <c r="A553" s="6" t="s">
        <v>1601</v>
      </c>
      <c r="B553" s="6" t="s">
        <v>2334</v>
      </c>
      <c r="C553" s="6" t="s">
        <v>1599</v>
      </c>
      <c r="D553" s="6" t="s">
        <v>2335</v>
      </c>
    </row>
    <row r="554" ht="22" customHeight="1" spans="1:4">
      <c r="A554" s="6" t="s">
        <v>1601</v>
      </c>
      <c r="B554" s="6" t="s">
        <v>2336</v>
      </c>
      <c r="C554" s="6" t="s">
        <v>1599</v>
      </c>
      <c r="D554" s="6" t="s">
        <v>2263</v>
      </c>
    </row>
    <row r="555" ht="22" customHeight="1" spans="1:4">
      <c r="A555" s="6" t="s">
        <v>1601</v>
      </c>
      <c r="B555" s="6" t="s">
        <v>2337</v>
      </c>
      <c r="C555" s="6" t="s">
        <v>1599</v>
      </c>
      <c r="D555" s="6" t="s">
        <v>1621</v>
      </c>
    </row>
    <row r="556" ht="22" customHeight="1" spans="1:4">
      <c r="A556" s="6" t="s">
        <v>1601</v>
      </c>
      <c r="B556" s="6" t="s">
        <v>2338</v>
      </c>
      <c r="C556" s="6" t="s">
        <v>1573</v>
      </c>
      <c r="D556" s="6" t="s">
        <v>1725</v>
      </c>
    </row>
    <row r="557" ht="22" customHeight="1" spans="1:4">
      <c r="A557" s="6" t="s">
        <v>1601</v>
      </c>
      <c r="B557" s="6" t="s">
        <v>2339</v>
      </c>
      <c r="C557" s="6" t="s">
        <v>1573</v>
      </c>
      <c r="D557" s="6" t="s">
        <v>1727</v>
      </c>
    </row>
    <row r="558" ht="22" customHeight="1" spans="1:4">
      <c r="A558" s="6" t="s">
        <v>1601</v>
      </c>
      <c r="B558" s="6" t="s">
        <v>2340</v>
      </c>
      <c r="C558" s="6" t="s">
        <v>1573</v>
      </c>
      <c r="D558" s="6" t="s">
        <v>2049</v>
      </c>
    </row>
    <row r="559" ht="22" customHeight="1" spans="1:4">
      <c r="A559" s="6" t="s">
        <v>1601</v>
      </c>
      <c r="B559" s="6" t="s">
        <v>2341</v>
      </c>
      <c r="C559" s="6" t="s">
        <v>1573</v>
      </c>
      <c r="D559" s="6" t="s">
        <v>2342</v>
      </c>
    </row>
    <row r="560" ht="22" customHeight="1" spans="1:4">
      <c r="A560" s="6" t="s">
        <v>1601</v>
      </c>
      <c r="B560" s="6" t="s">
        <v>2343</v>
      </c>
      <c r="C560" s="6" t="s">
        <v>1573</v>
      </c>
      <c r="D560" s="6" t="s">
        <v>2053</v>
      </c>
    </row>
    <row r="561" ht="22" customHeight="1" spans="1:4">
      <c r="A561" s="6" t="s">
        <v>1601</v>
      </c>
      <c r="B561" s="6" t="s">
        <v>2344</v>
      </c>
      <c r="C561" s="6" t="s">
        <v>1605</v>
      </c>
      <c r="D561" s="6" t="s">
        <v>1688</v>
      </c>
    </row>
    <row r="562" ht="22" customHeight="1" spans="1:4">
      <c r="A562" s="6" t="s">
        <v>1601</v>
      </c>
      <c r="B562" s="6" t="s">
        <v>2345</v>
      </c>
      <c r="C562" s="6" t="s">
        <v>1573</v>
      </c>
      <c r="D562" s="6" t="s">
        <v>1623</v>
      </c>
    </row>
    <row r="563" ht="22" customHeight="1" spans="1:4">
      <c r="A563" s="6" t="s">
        <v>1601</v>
      </c>
      <c r="B563" s="6" t="s">
        <v>2346</v>
      </c>
      <c r="C563" s="6" t="s">
        <v>1605</v>
      </c>
      <c r="D563" s="6" t="s">
        <v>1691</v>
      </c>
    </row>
    <row r="564" ht="22" customHeight="1" spans="1:4">
      <c r="A564" s="6" t="s">
        <v>1601</v>
      </c>
      <c r="B564" s="6" t="s">
        <v>2347</v>
      </c>
      <c r="C564" s="6" t="s">
        <v>1605</v>
      </c>
      <c r="D564" s="6" t="s">
        <v>1699</v>
      </c>
    </row>
    <row r="565" ht="22" customHeight="1" spans="1:4">
      <c r="A565" s="6" t="s">
        <v>1601</v>
      </c>
      <c r="B565" s="6" t="s">
        <v>2348</v>
      </c>
      <c r="C565" s="6" t="s">
        <v>1605</v>
      </c>
      <c r="D565" s="6" t="s">
        <v>1783</v>
      </c>
    </row>
    <row r="566" ht="22" customHeight="1" spans="1:4">
      <c r="A566" s="6" t="s">
        <v>1601</v>
      </c>
      <c r="B566" s="6" t="s">
        <v>2349</v>
      </c>
      <c r="C566" s="6" t="s">
        <v>1599</v>
      </c>
      <c r="D566" s="6" t="s">
        <v>2350</v>
      </c>
    </row>
    <row r="567" ht="22" customHeight="1" spans="1:4">
      <c r="A567" s="6" t="s">
        <v>1601</v>
      </c>
      <c r="B567" s="6" t="s">
        <v>2351</v>
      </c>
      <c r="C567" s="6" t="s">
        <v>1605</v>
      </c>
      <c r="D567" s="6" t="s">
        <v>1744</v>
      </c>
    </row>
    <row r="568" ht="22" customHeight="1" spans="1:4">
      <c r="A568" s="6" t="s">
        <v>1601</v>
      </c>
      <c r="B568" s="6" t="s">
        <v>2352</v>
      </c>
      <c r="C568" s="6" t="s">
        <v>1605</v>
      </c>
      <c r="D568" s="6" t="s">
        <v>1615</v>
      </c>
    </row>
    <row r="569" ht="22" customHeight="1" spans="1:4">
      <c r="A569" s="6" t="s">
        <v>1601</v>
      </c>
      <c r="B569" s="6" t="s">
        <v>2353</v>
      </c>
      <c r="C569" s="6" t="s">
        <v>1599</v>
      </c>
      <c r="D569" s="6" t="s">
        <v>2354</v>
      </c>
    </row>
    <row r="570" ht="22" customHeight="1" spans="1:4">
      <c r="A570" s="6" t="s">
        <v>1601</v>
      </c>
      <c r="B570" s="6" t="s">
        <v>2355</v>
      </c>
      <c r="C570" s="6" t="s">
        <v>1573</v>
      </c>
      <c r="D570" s="6" t="s">
        <v>1623</v>
      </c>
    </row>
    <row r="571" ht="22" customHeight="1" spans="1:4">
      <c r="A571" s="6" t="s">
        <v>1601</v>
      </c>
      <c r="B571" s="6" t="s">
        <v>2356</v>
      </c>
      <c r="C571" s="6" t="s">
        <v>1573</v>
      </c>
      <c r="D571" s="6" t="s">
        <v>1706</v>
      </c>
    </row>
    <row r="572" ht="22" customHeight="1" spans="1:4">
      <c r="A572" s="6" t="s">
        <v>1601</v>
      </c>
      <c r="B572" s="6" t="s">
        <v>2357</v>
      </c>
      <c r="C572" s="6" t="s">
        <v>1599</v>
      </c>
      <c r="D572" s="6" t="s">
        <v>2358</v>
      </c>
    </row>
    <row r="573" ht="22" customHeight="1" spans="1:4">
      <c r="A573" s="6" t="s">
        <v>1601</v>
      </c>
      <c r="B573" s="6" t="s">
        <v>2359</v>
      </c>
      <c r="C573" s="6" t="s">
        <v>1570</v>
      </c>
      <c r="D573" s="6" t="s">
        <v>1571</v>
      </c>
    </row>
    <row r="574" ht="22" customHeight="1" spans="1:4">
      <c r="A574" s="6" t="s">
        <v>1601</v>
      </c>
      <c r="B574" s="6" t="s">
        <v>2360</v>
      </c>
      <c r="C574" s="6" t="s">
        <v>1599</v>
      </c>
      <c r="D574" s="6" t="s">
        <v>2361</v>
      </c>
    </row>
    <row r="575" ht="22" customHeight="1" spans="1:4">
      <c r="A575" s="6" t="s">
        <v>1601</v>
      </c>
      <c r="B575" s="6" t="s">
        <v>2362</v>
      </c>
      <c r="C575" s="6" t="s">
        <v>1570</v>
      </c>
      <c r="D575" s="6" t="s">
        <v>1571</v>
      </c>
    </row>
    <row r="576" ht="22" customHeight="1" spans="1:4">
      <c r="A576" s="6" t="s">
        <v>1601</v>
      </c>
      <c r="B576" s="6" t="s">
        <v>2363</v>
      </c>
      <c r="C576" s="6" t="s">
        <v>1573</v>
      </c>
      <c r="D576" s="6" t="s">
        <v>1593</v>
      </c>
    </row>
    <row r="577" ht="22" customHeight="1" spans="1:4">
      <c r="A577" s="6" t="s">
        <v>1601</v>
      </c>
      <c r="B577" s="6" t="s">
        <v>2364</v>
      </c>
      <c r="C577" s="6" t="s">
        <v>1605</v>
      </c>
      <c r="D577" s="6" t="s">
        <v>2365</v>
      </c>
    </row>
    <row r="578" ht="22" customHeight="1" spans="1:4">
      <c r="A578" s="6" t="s">
        <v>1601</v>
      </c>
      <c r="B578" s="6" t="s">
        <v>2366</v>
      </c>
      <c r="C578" s="6" t="s">
        <v>1599</v>
      </c>
      <c r="D578" s="6" t="s">
        <v>2367</v>
      </c>
    </row>
    <row r="579" ht="22" customHeight="1" spans="1:4">
      <c r="A579" s="6" t="s">
        <v>1601</v>
      </c>
      <c r="B579" s="6" t="s">
        <v>2368</v>
      </c>
      <c r="C579" s="6" t="s">
        <v>1599</v>
      </c>
      <c r="D579" s="6" t="s">
        <v>2263</v>
      </c>
    </row>
    <row r="580" ht="22" customHeight="1" spans="1:4">
      <c r="A580" s="6" t="s">
        <v>1601</v>
      </c>
      <c r="B580" s="6" t="s">
        <v>2369</v>
      </c>
      <c r="C580" s="6" t="s">
        <v>1599</v>
      </c>
      <c r="D580" s="6" t="s">
        <v>1769</v>
      </c>
    </row>
    <row r="581" ht="22" customHeight="1" spans="1:4">
      <c r="A581" s="6" t="s">
        <v>1601</v>
      </c>
      <c r="B581" s="6" t="s">
        <v>2370</v>
      </c>
      <c r="C581" s="6" t="s">
        <v>1573</v>
      </c>
      <c r="D581" s="6" t="s">
        <v>1725</v>
      </c>
    </row>
    <row r="582" ht="22" customHeight="1" spans="1:4">
      <c r="A582" s="6" t="s">
        <v>1601</v>
      </c>
      <c r="B582" s="6" t="s">
        <v>2371</v>
      </c>
      <c r="C582" s="6" t="s">
        <v>1573</v>
      </c>
      <c r="D582" s="6" t="s">
        <v>1727</v>
      </c>
    </row>
    <row r="583" ht="22" customHeight="1" spans="1:4">
      <c r="A583" s="6" t="s">
        <v>1601</v>
      </c>
      <c r="B583" s="6" t="s">
        <v>2372</v>
      </c>
      <c r="C583" s="6" t="s">
        <v>1573</v>
      </c>
      <c r="D583" s="6" t="s">
        <v>2373</v>
      </c>
    </row>
    <row r="584" ht="22" customHeight="1" spans="1:4">
      <c r="A584" s="6" t="s">
        <v>1601</v>
      </c>
      <c r="B584" s="6" t="s">
        <v>2374</v>
      </c>
      <c r="C584" s="6" t="s">
        <v>1573</v>
      </c>
      <c r="D584" s="6" t="s">
        <v>2375</v>
      </c>
    </row>
    <row r="585" ht="22" customHeight="1" spans="1:4">
      <c r="A585" s="6" t="s">
        <v>1601</v>
      </c>
      <c r="B585" s="6" t="s">
        <v>2376</v>
      </c>
      <c r="C585" s="6" t="s">
        <v>1573</v>
      </c>
      <c r="D585" s="6" t="s">
        <v>493</v>
      </c>
    </row>
    <row r="586" ht="22" customHeight="1" spans="1:4">
      <c r="A586" s="6" t="s">
        <v>1601</v>
      </c>
      <c r="B586" s="6" t="s">
        <v>2377</v>
      </c>
      <c r="C586" s="6" t="s">
        <v>1605</v>
      </c>
      <c r="D586" s="6" t="s">
        <v>2272</v>
      </c>
    </row>
    <row r="587" ht="22" customHeight="1" spans="1:4">
      <c r="A587" s="6" t="s">
        <v>1601</v>
      </c>
      <c r="B587" s="6" t="s">
        <v>2378</v>
      </c>
      <c r="C587" s="6" t="s">
        <v>1573</v>
      </c>
      <c r="D587" s="6" t="s">
        <v>275</v>
      </c>
    </row>
    <row r="588" ht="22" customHeight="1" spans="1:4">
      <c r="A588" s="6" t="s">
        <v>1601</v>
      </c>
      <c r="B588" s="6" t="s">
        <v>2379</v>
      </c>
      <c r="C588" s="6" t="s">
        <v>1605</v>
      </c>
      <c r="D588" s="6" t="s">
        <v>1816</v>
      </c>
    </row>
    <row r="589" ht="22" customHeight="1" spans="1:4">
      <c r="A589" s="6" t="s">
        <v>1601</v>
      </c>
      <c r="B589" s="6" t="s">
        <v>2380</v>
      </c>
      <c r="C589" s="6" t="s">
        <v>1605</v>
      </c>
      <c r="D589" s="6" t="s">
        <v>1701</v>
      </c>
    </row>
    <row r="590" ht="22" customHeight="1" spans="1:4">
      <c r="A590" s="6" t="s">
        <v>1601</v>
      </c>
      <c r="B590" s="6" t="s">
        <v>2381</v>
      </c>
      <c r="C590" s="6" t="s">
        <v>1605</v>
      </c>
      <c r="D590" s="6" t="s">
        <v>1783</v>
      </c>
    </row>
    <row r="591" ht="22" customHeight="1" spans="1:4">
      <c r="A591" s="6" t="s">
        <v>1601</v>
      </c>
      <c r="B591" s="6" t="s">
        <v>2382</v>
      </c>
      <c r="C591" s="6" t="s">
        <v>1599</v>
      </c>
      <c r="D591" s="6" t="s">
        <v>2383</v>
      </c>
    </row>
    <row r="592" ht="22" customHeight="1" spans="1:4">
      <c r="A592" s="6" t="s">
        <v>1601</v>
      </c>
      <c r="B592" s="6" t="s">
        <v>2384</v>
      </c>
      <c r="C592" s="6" t="s">
        <v>1605</v>
      </c>
      <c r="D592" s="6" t="s">
        <v>2385</v>
      </c>
    </row>
    <row r="593" ht="22" customHeight="1" spans="1:4">
      <c r="A593" s="6" t="s">
        <v>1601</v>
      </c>
      <c r="B593" s="6" t="s">
        <v>2386</v>
      </c>
      <c r="C593" s="6" t="s">
        <v>1605</v>
      </c>
      <c r="D593" s="6" t="s">
        <v>2164</v>
      </c>
    </row>
    <row r="594" ht="22" customHeight="1" spans="1:4">
      <c r="A594" s="6" t="s">
        <v>1601</v>
      </c>
      <c r="B594" s="6" t="s">
        <v>2387</v>
      </c>
      <c r="C594" s="6" t="s">
        <v>1599</v>
      </c>
      <c r="D594" s="6" t="s">
        <v>2388</v>
      </c>
    </row>
    <row r="595" ht="22" customHeight="1" spans="1:4">
      <c r="A595" s="6" t="s">
        <v>1601</v>
      </c>
      <c r="B595" s="6" t="s">
        <v>2389</v>
      </c>
      <c r="C595" s="6" t="s">
        <v>1573</v>
      </c>
      <c r="D595" s="6" t="s">
        <v>1623</v>
      </c>
    </row>
    <row r="596" ht="22" customHeight="1" spans="1:4">
      <c r="A596" s="6" t="s">
        <v>1601</v>
      </c>
      <c r="B596" s="6" t="s">
        <v>2390</v>
      </c>
      <c r="C596" s="6" t="s">
        <v>1573</v>
      </c>
      <c r="D596" s="6" t="s">
        <v>1706</v>
      </c>
    </row>
    <row r="597" ht="22" customHeight="1" spans="1:4">
      <c r="A597" s="6" t="s">
        <v>1601</v>
      </c>
      <c r="B597" s="6" t="s">
        <v>2391</v>
      </c>
      <c r="C597" s="6" t="s">
        <v>1599</v>
      </c>
      <c r="D597" s="6" t="s">
        <v>2392</v>
      </c>
    </row>
    <row r="598" ht="22" customHeight="1" spans="1:4">
      <c r="A598" s="6" t="s">
        <v>1601</v>
      </c>
      <c r="B598" s="6" t="s">
        <v>2393</v>
      </c>
      <c r="C598" s="6" t="s">
        <v>1570</v>
      </c>
      <c r="D598" s="6" t="s">
        <v>1571</v>
      </c>
    </row>
    <row r="599" ht="22" customHeight="1" spans="1:4">
      <c r="A599" s="6" t="s">
        <v>1601</v>
      </c>
      <c r="B599" s="6" t="s">
        <v>2394</v>
      </c>
      <c r="C599" s="6" t="s">
        <v>1599</v>
      </c>
      <c r="D599" s="6" t="s">
        <v>2395</v>
      </c>
    </row>
    <row r="600" ht="22" customHeight="1" spans="1:4">
      <c r="A600" s="6" t="s">
        <v>1601</v>
      </c>
      <c r="B600" s="6" t="s">
        <v>2396</v>
      </c>
      <c r="C600" s="6" t="s">
        <v>1576</v>
      </c>
      <c r="D600" s="6" t="s">
        <v>1571</v>
      </c>
    </row>
    <row r="601" ht="22" customHeight="1" spans="1:4">
      <c r="A601" s="6" t="s">
        <v>1601</v>
      </c>
      <c r="B601" s="6" t="s">
        <v>2397</v>
      </c>
      <c r="C601" s="6" t="s">
        <v>1599</v>
      </c>
      <c r="D601" s="6" t="s">
        <v>1661</v>
      </c>
    </row>
    <row r="602" ht="22" customHeight="1" spans="1:4">
      <c r="A602" s="6" t="s">
        <v>1601</v>
      </c>
      <c r="B602" s="6" t="s">
        <v>2398</v>
      </c>
      <c r="C602" s="6" t="s">
        <v>1605</v>
      </c>
      <c r="D602" s="6" t="s">
        <v>2296</v>
      </c>
    </row>
    <row r="603" ht="22" customHeight="1" spans="1:4">
      <c r="A603" s="6" t="s">
        <v>1601</v>
      </c>
      <c r="B603" s="6" t="s">
        <v>2399</v>
      </c>
      <c r="C603" s="6" t="s">
        <v>1573</v>
      </c>
      <c r="D603" s="6" t="s">
        <v>275</v>
      </c>
    </row>
    <row r="604" ht="22" customHeight="1" spans="1:4">
      <c r="A604" s="6" t="s">
        <v>1601</v>
      </c>
      <c r="B604" s="6" t="s">
        <v>2400</v>
      </c>
      <c r="C604" s="6" t="s">
        <v>1570</v>
      </c>
      <c r="D604" s="6" t="s">
        <v>1571</v>
      </c>
    </row>
    <row r="605" ht="22" customHeight="1" spans="1:4">
      <c r="A605" s="6" t="s">
        <v>1601</v>
      </c>
      <c r="B605" s="6" t="s">
        <v>2401</v>
      </c>
      <c r="C605" s="6" t="s">
        <v>1605</v>
      </c>
      <c r="D605" s="6" t="s">
        <v>1643</v>
      </c>
    </row>
    <row r="606" ht="22" customHeight="1" spans="1:4">
      <c r="A606" s="6" t="s">
        <v>1601</v>
      </c>
      <c r="B606" s="6" t="s">
        <v>2402</v>
      </c>
      <c r="C606" s="6" t="s">
        <v>1573</v>
      </c>
      <c r="D606" s="6" t="s">
        <v>493</v>
      </c>
    </row>
    <row r="607" ht="22" customHeight="1" spans="1:4">
      <c r="A607" s="6" t="s">
        <v>1601</v>
      </c>
      <c r="B607" s="6" t="s">
        <v>2403</v>
      </c>
      <c r="C607" s="6" t="s">
        <v>1605</v>
      </c>
      <c r="D607" s="6" t="s">
        <v>1659</v>
      </c>
    </row>
    <row r="608" ht="22" customHeight="1" spans="1:4">
      <c r="A608" s="6" t="s">
        <v>1601</v>
      </c>
      <c r="B608" s="6" t="s">
        <v>2404</v>
      </c>
      <c r="C608" s="6" t="s">
        <v>1599</v>
      </c>
      <c r="D608" s="6" t="s">
        <v>2405</v>
      </c>
    </row>
    <row r="609" ht="22" customHeight="1" spans="1:4">
      <c r="A609" s="6" t="s">
        <v>1601</v>
      </c>
      <c r="B609" s="6" t="s">
        <v>2406</v>
      </c>
      <c r="C609" s="6" t="s">
        <v>1599</v>
      </c>
      <c r="D609" s="6" t="s">
        <v>2263</v>
      </c>
    </row>
    <row r="610" ht="22" customHeight="1" spans="1:4">
      <c r="A610" s="6" t="s">
        <v>1601</v>
      </c>
      <c r="B610" s="6" t="s">
        <v>2407</v>
      </c>
      <c r="C610" s="6" t="s">
        <v>1599</v>
      </c>
      <c r="D610" s="6" t="s">
        <v>1769</v>
      </c>
    </row>
    <row r="611" ht="22" customHeight="1" spans="1:4">
      <c r="A611" s="6" t="s">
        <v>1601</v>
      </c>
      <c r="B611" s="6" t="s">
        <v>2408</v>
      </c>
      <c r="C611" s="6" t="s">
        <v>1573</v>
      </c>
      <c r="D611" s="6" t="s">
        <v>1725</v>
      </c>
    </row>
    <row r="612" ht="22" customHeight="1" spans="1:4">
      <c r="A612" s="6" t="s">
        <v>1601</v>
      </c>
      <c r="B612" s="6" t="s">
        <v>2409</v>
      </c>
      <c r="C612" s="6" t="s">
        <v>1573</v>
      </c>
      <c r="D612" s="6" t="s">
        <v>1727</v>
      </c>
    </row>
    <row r="613" ht="22" customHeight="1" spans="1:4">
      <c r="A613" s="6" t="s">
        <v>1601</v>
      </c>
      <c r="B613" s="6" t="s">
        <v>2410</v>
      </c>
      <c r="C613" s="6" t="s">
        <v>1573</v>
      </c>
      <c r="D613" s="6" t="s">
        <v>2411</v>
      </c>
    </row>
    <row r="614" ht="22" customHeight="1" spans="1:4">
      <c r="A614" s="6" t="s">
        <v>1601</v>
      </c>
      <c r="B614" s="6" t="s">
        <v>2412</v>
      </c>
      <c r="C614" s="6" t="s">
        <v>1573</v>
      </c>
      <c r="D614" s="6" t="s">
        <v>2413</v>
      </c>
    </row>
    <row r="615" ht="22" customHeight="1" spans="1:4">
      <c r="A615" s="6" t="s">
        <v>1601</v>
      </c>
      <c r="B615" s="6" t="s">
        <v>2414</v>
      </c>
      <c r="C615" s="6" t="s">
        <v>1573</v>
      </c>
      <c r="D615" s="6" t="s">
        <v>275</v>
      </c>
    </row>
    <row r="616" ht="22" customHeight="1" spans="1:4">
      <c r="A616" s="6" t="s">
        <v>1601</v>
      </c>
      <c r="B616" s="6" t="s">
        <v>2415</v>
      </c>
      <c r="C616" s="6" t="s">
        <v>1605</v>
      </c>
      <c r="D616" s="6" t="s">
        <v>1778</v>
      </c>
    </row>
    <row r="617" ht="22" customHeight="1" spans="1:4">
      <c r="A617" s="6" t="s">
        <v>1601</v>
      </c>
      <c r="B617" s="6" t="s">
        <v>2416</v>
      </c>
      <c r="C617" s="6" t="s">
        <v>1573</v>
      </c>
      <c r="D617" s="6" t="s">
        <v>1623</v>
      </c>
    </row>
    <row r="618" ht="22" customHeight="1" spans="1:4">
      <c r="A618" s="6" t="s">
        <v>1601</v>
      </c>
      <c r="B618" s="6" t="s">
        <v>2417</v>
      </c>
      <c r="C618" s="6" t="s">
        <v>1605</v>
      </c>
      <c r="D618" s="6" t="s">
        <v>2126</v>
      </c>
    </row>
    <row r="619" ht="22" customHeight="1" spans="1:4">
      <c r="A619" s="6" t="s">
        <v>1601</v>
      </c>
      <c r="B619" s="6" t="s">
        <v>2418</v>
      </c>
      <c r="C619" s="6" t="s">
        <v>1605</v>
      </c>
      <c r="D619" s="6" t="s">
        <v>898</v>
      </c>
    </row>
    <row r="620" ht="22" customHeight="1" spans="1:4">
      <c r="A620" s="6" t="s">
        <v>1601</v>
      </c>
      <c r="B620" s="6" t="s">
        <v>2419</v>
      </c>
      <c r="C620" s="6" t="s">
        <v>1605</v>
      </c>
      <c r="D620" s="6" t="s">
        <v>1783</v>
      </c>
    </row>
    <row r="621" ht="22" customHeight="1" spans="1:4">
      <c r="A621" s="6" t="s">
        <v>1601</v>
      </c>
      <c r="B621" s="6" t="s">
        <v>2420</v>
      </c>
      <c r="C621" s="6" t="s">
        <v>1605</v>
      </c>
      <c r="D621" s="6" t="s">
        <v>1645</v>
      </c>
    </row>
    <row r="622" ht="22" customHeight="1" spans="1:4">
      <c r="A622" s="6" t="s">
        <v>1601</v>
      </c>
      <c r="B622" s="6" t="s">
        <v>2421</v>
      </c>
      <c r="C622" s="6" t="s">
        <v>1599</v>
      </c>
      <c r="D622" s="6" t="s">
        <v>2319</v>
      </c>
    </row>
    <row r="623" ht="22" customHeight="1" spans="1:4">
      <c r="A623" s="6" t="s">
        <v>1601</v>
      </c>
      <c r="B623" s="6" t="s">
        <v>2422</v>
      </c>
      <c r="C623" s="6" t="s">
        <v>1599</v>
      </c>
      <c r="D623" s="6" t="s">
        <v>2423</v>
      </c>
    </row>
    <row r="624" ht="22" customHeight="1" spans="1:4">
      <c r="A624" s="6" t="s">
        <v>1601</v>
      </c>
      <c r="B624" s="6" t="s">
        <v>2424</v>
      </c>
      <c r="C624" s="6" t="s">
        <v>1573</v>
      </c>
      <c r="D624" s="6" t="s">
        <v>1623</v>
      </c>
    </row>
    <row r="625" ht="22" customHeight="1" spans="1:4">
      <c r="A625" s="6" t="s">
        <v>1601</v>
      </c>
      <c r="B625" s="6" t="s">
        <v>2425</v>
      </c>
      <c r="C625" s="6" t="s">
        <v>1573</v>
      </c>
      <c r="D625" s="6" t="s">
        <v>1706</v>
      </c>
    </row>
    <row r="626" ht="22" customHeight="1" spans="1:4">
      <c r="A626" s="6" t="s">
        <v>1601</v>
      </c>
      <c r="B626" s="6" t="s">
        <v>2426</v>
      </c>
      <c r="C626" s="6" t="s">
        <v>1599</v>
      </c>
      <c r="D626" s="6" t="s">
        <v>2427</v>
      </c>
    </row>
    <row r="627" ht="22" customHeight="1" spans="1:4">
      <c r="A627" s="6" t="s">
        <v>1601</v>
      </c>
      <c r="B627" s="6" t="s">
        <v>2428</v>
      </c>
      <c r="C627" s="6" t="s">
        <v>1570</v>
      </c>
      <c r="D627" s="6" t="s">
        <v>1571</v>
      </c>
    </row>
    <row r="628" ht="22" customHeight="1" spans="1:4">
      <c r="A628" s="6" t="s">
        <v>1601</v>
      </c>
      <c r="B628" s="6" t="s">
        <v>2429</v>
      </c>
      <c r="C628" s="6" t="s">
        <v>1599</v>
      </c>
      <c r="D628" s="6" t="s">
        <v>2430</v>
      </c>
    </row>
    <row r="629" ht="22" customHeight="1" spans="1:4">
      <c r="A629" s="6" t="s">
        <v>1601</v>
      </c>
      <c r="B629" s="6" t="s">
        <v>2431</v>
      </c>
      <c r="C629" s="6" t="s">
        <v>1576</v>
      </c>
      <c r="D629" s="6" t="s">
        <v>1571</v>
      </c>
    </row>
    <row r="630" ht="22" customHeight="1" spans="1:4">
      <c r="A630" s="6" t="s">
        <v>1601</v>
      </c>
      <c r="B630" s="6" t="s">
        <v>2432</v>
      </c>
      <c r="C630" s="6" t="s">
        <v>1599</v>
      </c>
      <c r="D630" s="6" t="s">
        <v>1661</v>
      </c>
    </row>
    <row r="631" ht="22" customHeight="1" spans="1:4">
      <c r="A631" s="6" t="s">
        <v>1601</v>
      </c>
      <c r="B631" s="6" t="s">
        <v>2433</v>
      </c>
      <c r="C631" s="6" t="s">
        <v>1570</v>
      </c>
      <c r="D631" s="6" t="s">
        <v>1571</v>
      </c>
    </row>
    <row r="632" ht="22" customHeight="1" spans="1:4">
      <c r="A632" s="6" t="s">
        <v>1601</v>
      </c>
      <c r="B632" s="6" t="s">
        <v>2434</v>
      </c>
      <c r="C632" s="6" t="s">
        <v>1573</v>
      </c>
      <c r="D632" s="6" t="s">
        <v>463</v>
      </c>
    </row>
    <row r="633" ht="22" customHeight="1" spans="1:4">
      <c r="A633" s="6" t="s">
        <v>1601</v>
      </c>
      <c r="B633" s="6" t="s">
        <v>2435</v>
      </c>
      <c r="C633" s="6" t="s">
        <v>1599</v>
      </c>
      <c r="D633" s="6" t="s">
        <v>2436</v>
      </c>
    </row>
    <row r="634" ht="22" customHeight="1" spans="1:4">
      <c r="A634" s="6" t="s">
        <v>1601</v>
      </c>
      <c r="B634" s="6" t="s">
        <v>2437</v>
      </c>
      <c r="C634" s="6" t="s">
        <v>1599</v>
      </c>
      <c r="D634" s="6" t="s">
        <v>2263</v>
      </c>
    </row>
    <row r="635" ht="22" customHeight="1" spans="1:4">
      <c r="A635" s="6" t="s">
        <v>1601</v>
      </c>
      <c r="B635" s="6" t="s">
        <v>2438</v>
      </c>
      <c r="C635" s="6" t="s">
        <v>1599</v>
      </c>
      <c r="D635" s="6" t="s">
        <v>1621</v>
      </c>
    </row>
    <row r="636" ht="22" customHeight="1" spans="1:4">
      <c r="A636" s="6" t="s">
        <v>1601</v>
      </c>
      <c r="B636" s="6" t="s">
        <v>2439</v>
      </c>
      <c r="C636" s="6" t="s">
        <v>1573</v>
      </c>
      <c r="D636" s="6" t="s">
        <v>1725</v>
      </c>
    </row>
    <row r="637" ht="22" customHeight="1" spans="1:4">
      <c r="A637" s="6" t="s">
        <v>1601</v>
      </c>
      <c r="B637" s="6" t="s">
        <v>2440</v>
      </c>
      <c r="C637" s="6" t="s">
        <v>1573</v>
      </c>
      <c r="D637" s="6" t="s">
        <v>1727</v>
      </c>
    </row>
    <row r="638" ht="22" customHeight="1" spans="1:4">
      <c r="A638" s="6" t="s">
        <v>1601</v>
      </c>
      <c r="B638" s="6" t="s">
        <v>2441</v>
      </c>
      <c r="C638" s="6" t="s">
        <v>1573</v>
      </c>
      <c r="D638" s="6" t="s">
        <v>1683</v>
      </c>
    </row>
    <row r="639" ht="22" customHeight="1" spans="1:4">
      <c r="A639" s="6" t="s">
        <v>1601</v>
      </c>
      <c r="B639" s="6" t="s">
        <v>2442</v>
      </c>
      <c r="C639" s="6" t="s">
        <v>1573</v>
      </c>
      <c r="D639" s="6" t="s">
        <v>2443</v>
      </c>
    </row>
    <row r="640" ht="22" customHeight="1" spans="1:4">
      <c r="A640" s="6" t="s">
        <v>1601</v>
      </c>
      <c r="B640" s="6" t="s">
        <v>2444</v>
      </c>
      <c r="C640" s="6" t="s">
        <v>1573</v>
      </c>
      <c r="D640" s="6" t="s">
        <v>2445</v>
      </c>
    </row>
    <row r="641" ht="22" customHeight="1" spans="1:4">
      <c r="A641" s="6" t="s">
        <v>1601</v>
      </c>
      <c r="B641" s="6" t="s">
        <v>2446</v>
      </c>
      <c r="C641" s="6" t="s">
        <v>1605</v>
      </c>
      <c r="D641" s="6" t="s">
        <v>2447</v>
      </c>
    </row>
    <row r="642" ht="22" customHeight="1" spans="1:4">
      <c r="A642" s="6" t="s">
        <v>1601</v>
      </c>
      <c r="B642" s="6" t="s">
        <v>2448</v>
      </c>
      <c r="C642" s="6" t="s">
        <v>1573</v>
      </c>
      <c r="D642" s="6" t="s">
        <v>1623</v>
      </c>
    </row>
    <row r="643" ht="22" customHeight="1" spans="1:4">
      <c r="A643" s="6" t="s">
        <v>1601</v>
      </c>
      <c r="B643" s="6" t="s">
        <v>2449</v>
      </c>
      <c r="C643" s="6" t="s">
        <v>1605</v>
      </c>
      <c r="D643" s="6" t="s">
        <v>1738</v>
      </c>
    </row>
    <row r="644" ht="22" customHeight="1" spans="1:4">
      <c r="A644" s="6" t="s">
        <v>1601</v>
      </c>
      <c r="B644" s="6" t="s">
        <v>2450</v>
      </c>
      <c r="C644" s="6" t="s">
        <v>1605</v>
      </c>
      <c r="D644" s="6" t="s">
        <v>1699</v>
      </c>
    </row>
    <row r="645" ht="22" customHeight="1" spans="1:4">
      <c r="A645" s="6" t="s">
        <v>1601</v>
      </c>
      <c r="B645" s="6" t="s">
        <v>2451</v>
      </c>
      <c r="C645" s="6" t="s">
        <v>1605</v>
      </c>
      <c r="D645" s="6" t="s">
        <v>1783</v>
      </c>
    </row>
    <row r="646" ht="22" customHeight="1" spans="1:4">
      <c r="A646" s="6" t="s">
        <v>1601</v>
      </c>
      <c r="B646" s="6" t="s">
        <v>2452</v>
      </c>
      <c r="C646" s="6" t="s">
        <v>1599</v>
      </c>
      <c r="D646" s="6" t="s">
        <v>2453</v>
      </c>
    </row>
    <row r="647" ht="22" customHeight="1" spans="1:4">
      <c r="A647" s="6" t="s">
        <v>1601</v>
      </c>
      <c r="B647" s="6" t="s">
        <v>2454</v>
      </c>
      <c r="C647" s="6" t="s">
        <v>1605</v>
      </c>
      <c r="D647" s="6" t="s">
        <v>909</v>
      </c>
    </row>
    <row r="648" ht="22" customHeight="1" spans="1:4">
      <c r="A648" s="6" t="s">
        <v>1601</v>
      </c>
      <c r="B648" s="6" t="s">
        <v>2455</v>
      </c>
      <c r="C648" s="6" t="s">
        <v>1599</v>
      </c>
      <c r="D648" s="6" t="s">
        <v>2456</v>
      </c>
    </row>
    <row r="649" ht="22" customHeight="1" spans="1:4">
      <c r="A649" s="6" t="s">
        <v>1601</v>
      </c>
      <c r="B649" s="6" t="s">
        <v>2457</v>
      </c>
      <c r="C649" s="6" t="s">
        <v>1573</v>
      </c>
      <c r="D649" s="6" t="s">
        <v>1623</v>
      </c>
    </row>
    <row r="650" ht="22" customHeight="1" spans="1:4">
      <c r="A650" s="6" t="s">
        <v>1601</v>
      </c>
      <c r="B650" s="6" t="s">
        <v>2458</v>
      </c>
      <c r="C650" s="6" t="s">
        <v>1573</v>
      </c>
      <c r="D650" s="6" t="s">
        <v>1706</v>
      </c>
    </row>
    <row r="651" ht="22" customHeight="1" spans="1:4">
      <c r="A651" s="6" t="s">
        <v>1601</v>
      </c>
      <c r="B651" s="6" t="s">
        <v>2459</v>
      </c>
      <c r="C651" s="6" t="s">
        <v>1599</v>
      </c>
      <c r="D651" s="6" t="s">
        <v>2460</v>
      </c>
    </row>
    <row r="652" ht="22" customHeight="1" spans="1:4">
      <c r="A652" s="6" t="s">
        <v>1601</v>
      </c>
      <c r="B652" s="6" t="s">
        <v>2461</v>
      </c>
      <c r="C652" s="6" t="s">
        <v>1570</v>
      </c>
      <c r="D652" s="6" t="s">
        <v>1571</v>
      </c>
    </row>
    <row r="653" ht="22" customHeight="1" spans="1:4">
      <c r="A653" s="6" t="s">
        <v>1601</v>
      </c>
      <c r="B653" s="6" t="s">
        <v>2462</v>
      </c>
      <c r="C653" s="6" t="s">
        <v>1599</v>
      </c>
      <c r="D653" s="6" t="s">
        <v>2463</v>
      </c>
    </row>
    <row r="654" ht="22" customHeight="1" spans="1:4">
      <c r="A654" s="6" t="s">
        <v>1601</v>
      </c>
      <c r="B654" s="6" t="s">
        <v>2464</v>
      </c>
      <c r="C654" s="6" t="s">
        <v>1605</v>
      </c>
      <c r="D654" s="6" t="s">
        <v>2465</v>
      </c>
    </row>
    <row r="655" ht="22" customHeight="1" spans="1:4">
      <c r="A655" s="6" t="s">
        <v>1601</v>
      </c>
      <c r="B655" s="6" t="s">
        <v>2466</v>
      </c>
      <c r="C655" s="6" t="s">
        <v>1570</v>
      </c>
      <c r="D655" s="6" t="s">
        <v>1571</v>
      </c>
    </row>
    <row r="656" ht="22" customHeight="1" spans="1:4">
      <c r="A656" s="6" t="s">
        <v>1601</v>
      </c>
      <c r="B656" s="6" t="s">
        <v>2467</v>
      </c>
      <c r="C656" s="6" t="s">
        <v>1605</v>
      </c>
      <c r="D656" s="6" t="s">
        <v>2468</v>
      </c>
    </row>
    <row r="657" ht="22" customHeight="1" spans="1:4">
      <c r="A657" s="6" t="s">
        <v>1601</v>
      </c>
      <c r="B657" s="6" t="s">
        <v>2469</v>
      </c>
      <c r="C657" s="6" t="s">
        <v>1605</v>
      </c>
      <c r="D657" s="6" t="s">
        <v>2385</v>
      </c>
    </row>
    <row r="658" ht="22" customHeight="1" spans="1:4">
      <c r="A658" s="6" t="s">
        <v>1601</v>
      </c>
      <c r="B658" s="6" t="s">
        <v>2470</v>
      </c>
      <c r="C658" s="6" t="s">
        <v>1599</v>
      </c>
      <c r="D658" s="6" t="s">
        <v>2471</v>
      </c>
    </row>
    <row r="659" ht="22" customHeight="1" spans="1:4">
      <c r="A659" s="6" t="s">
        <v>1601</v>
      </c>
      <c r="B659" s="6" t="s">
        <v>2472</v>
      </c>
      <c r="C659" s="6" t="s">
        <v>1599</v>
      </c>
      <c r="D659" s="6" t="s">
        <v>2263</v>
      </c>
    </row>
    <row r="660" ht="22" customHeight="1" spans="1:4">
      <c r="A660" s="6" t="s">
        <v>1601</v>
      </c>
      <c r="B660" s="6" t="s">
        <v>2473</v>
      </c>
      <c r="C660" s="6" t="s">
        <v>1599</v>
      </c>
      <c r="D660" s="6" t="s">
        <v>1723</v>
      </c>
    </row>
    <row r="661" ht="22" customHeight="1" spans="1:4">
      <c r="A661" s="6" t="s">
        <v>1601</v>
      </c>
      <c r="B661" s="6" t="s">
        <v>2474</v>
      </c>
      <c r="C661" s="6" t="s">
        <v>1573</v>
      </c>
      <c r="D661" s="6" t="s">
        <v>1725</v>
      </c>
    </row>
    <row r="662" ht="22" customHeight="1" spans="1:4">
      <c r="A662" s="6" t="s">
        <v>1601</v>
      </c>
      <c r="B662" s="6" t="s">
        <v>2475</v>
      </c>
      <c r="C662" s="6" t="s">
        <v>1573</v>
      </c>
      <c r="D662" s="6" t="s">
        <v>1727</v>
      </c>
    </row>
    <row r="663" ht="22" customHeight="1" spans="1:4">
      <c r="A663" s="6" t="s">
        <v>1601</v>
      </c>
      <c r="B663" s="6" t="s">
        <v>2476</v>
      </c>
      <c r="C663" s="6" t="s">
        <v>1573</v>
      </c>
      <c r="D663" s="6" t="s">
        <v>2477</v>
      </c>
    </row>
    <row r="664" ht="22" customHeight="1" spans="1:4">
      <c r="A664" s="6" t="s">
        <v>1601</v>
      </c>
      <c r="B664" s="6" t="s">
        <v>2478</v>
      </c>
      <c r="C664" s="6" t="s">
        <v>1573</v>
      </c>
      <c r="D664" s="6" t="s">
        <v>1888</v>
      </c>
    </row>
    <row r="665" ht="22" customHeight="1" spans="1:4">
      <c r="A665" s="6" t="s">
        <v>1601</v>
      </c>
      <c r="B665" s="6" t="s">
        <v>2479</v>
      </c>
      <c r="C665" s="6" t="s">
        <v>1573</v>
      </c>
      <c r="D665" s="6" t="s">
        <v>1574</v>
      </c>
    </row>
    <row r="666" ht="22" customHeight="1" spans="1:4">
      <c r="A666" s="6" t="s">
        <v>1601</v>
      </c>
      <c r="B666" s="6" t="s">
        <v>2480</v>
      </c>
      <c r="C666" s="6" t="s">
        <v>1605</v>
      </c>
      <c r="D666" s="6" t="s">
        <v>1688</v>
      </c>
    </row>
    <row r="667" ht="22" customHeight="1" spans="1:4">
      <c r="A667" s="6" t="s">
        <v>1601</v>
      </c>
      <c r="B667" s="6" t="s">
        <v>2481</v>
      </c>
      <c r="C667" s="6" t="s">
        <v>1573</v>
      </c>
      <c r="D667" s="6" t="s">
        <v>1623</v>
      </c>
    </row>
    <row r="668" ht="22" customHeight="1" spans="1:4">
      <c r="A668" s="6" t="s">
        <v>1601</v>
      </c>
      <c r="B668" s="6" t="s">
        <v>2482</v>
      </c>
      <c r="C668" s="6" t="s">
        <v>1605</v>
      </c>
      <c r="D668" s="6" t="s">
        <v>2483</v>
      </c>
    </row>
    <row r="669" ht="22" customHeight="1" spans="1:4">
      <c r="A669" s="6" t="s">
        <v>1601</v>
      </c>
      <c r="B669" s="6" t="s">
        <v>2484</v>
      </c>
      <c r="C669" s="6" t="s">
        <v>1605</v>
      </c>
      <c r="D669" s="6" t="s">
        <v>1636</v>
      </c>
    </row>
    <row r="670" ht="22" customHeight="1" spans="1:4">
      <c r="A670" s="6" t="s">
        <v>1601</v>
      </c>
      <c r="B670" s="6" t="s">
        <v>2485</v>
      </c>
      <c r="C670" s="6" t="s">
        <v>1605</v>
      </c>
      <c r="D670" s="6" t="s">
        <v>1606</v>
      </c>
    </row>
    <row r="671" ht="22" customHeight="1" spans="1:4">
      <c r="A671" s="6" t="s">
        <v>1601</v>
      </c>
      <c r="B671" s="6" t="s">
        <v>2486</v>
      </c>
      <c r="C671" s="6" t="s">
        <v>1599</v>
      </c>
      <c r="D671" s="6" t="s">
        <v>2487</v>
      </c>
    </row>
    <row r="672" ht="22" customHeight="1" spans="1:4">
      <c r="A672" s="6" t="s">
        <v>1601</v>
      </c>
      <c r="B672" s="6" t="s">
        <v>2488</v>
      </c>
      <c r="C672" s="6" t="s">
        <v>1605</v>
      </c>
      <c r="D672" s="6" t="s">
        <v>1701</v>
      </c>
    </row>
    <row r="673" ht="22" customHeight="1" spans="1:4">
      <c r="A673" s="6" t="s">
        <v>1601</v>
      </c>
      <c r="B673" s="6" t="s">
        <v>2489</v>
      </c>
      <c r="C673" s="6" t="s">
        <v>1573</v>
      </c>
      <c r="D673" s="6" t="s">
        <v>1585</v>
      </c>
    </row>
    <row r="674" ht="22" customHeight="1" spans="1:4">
      <c r="A674" s="6" t="s">
        <v>1601</v>
      </c>
      <c r="B674" s="6" t="s">
        <v>2490</v>
      </c>
      <c r="C674" s="6" t="s">
        <v>1599</v>
      </c>
      <c r="D674" s="6" t="s">
        <v>2491</v>
      </c>
    </row>
    <row r="675" ht="22" customHeight="1" spans="1:4">
      <c r="A675" s="6" t="s">
        <v>1601</v>
      </c>
      <c r="B675" s="6" t="s">
        <v>2492</v>
      </c>
      <c r="C675" s="6" t="s">
        <v>1573</v>
      </c>
      <c r="D675" s="6" t="s">
        <v>1623</v>
      </c>
    </row>
    <row r="676" ht="22" customHeight="1" spans="1:4">
      <c r="A676" s="6" t="s">
        <v>1601</v>
      </c>
      <c r="B676" s="6" t="s">
        <v>2493</v>
      </c>
      <c r="C676" s="6" t="s">
        <v>1573</v>
      </c>
      <c r="D676" s="6" t="s">
        <v>1706</v>
      </c>
    </row>
    <row r="677" ht="22" customHeight="1" spans="1:4">
      <c r="A677" s="6" t="s">
        <v>1601</v>
      </c>
      <c r="B677" s="6" t="s">
        <v>2494</v>
      </c>
      <c r="C677" s="6" t="s">
        <v>1599</v>
      </c>
      <c r="D677" s="6" t="s">
        <v>2495</v>
      </c>
    </row>
    <row r="678" ht="22" customHeight="1" spans="1:4">
      <c r="A678" s="6" t="s">
        <v>1601</v>
      </c>
      <c r="B678" s="6" t="s">
        <v>2496</v>
      </c>
      <c r="C678" s="6" t="s">
        <v>1570</v>
      </c>
      <c r="D678" s="6" t="s">
        <v>1571</v>
      </c>
    </row>
    <row r="679" ht="22" customHeight="1" spans="1:4">
      <c r="A679" s="6" t="s">
        <v>1601</v>
      </c>
      <c r="B679" s="6" t="s">
        <v>2497</v>
      </c>
      <c r="C679" s="6" t="s">
        <v>1599</v>
      </c>
      <c r="D679" s="6" t="s">
        <v>2498</v>
      </c>
    </row>
    <row r="680" ht="22" customHeight="1" spans="1:4">
      <c r="A680" s="6" t="s">
        <v>1601</v>
      </c>
      <c r="B680" s="6" t="s">
        <v>2499</v>
      </c>
      <c r="C680" s="6" t="s">
        <v>1570</v>
      </c>
      <c r="D680" s="6" t="s">
        <v>1571</v>
      </c>
    </row>
    <row r="681" ht="22" customHeight="1" spans="1:4">
      <c r="A681" s="6" t="s">
        <v>1601</v>
      </c>
      <c r="B681" s="6" t="s">
        <v>2500</v>
      </c>
      <c r="C681" s="6" t="s">
        <v>1605</v>
      </c>
      <c r="D681" s="6" t="s">
        <v>1750</v>
      </c>
    </row>
    <row r="682" ht="22" customHeight="1" spans="1:4">
      <c r="A682" s="6" t="s">
        <v>1601</v>
      </c>
      <c r="B682" s="6" t="s">
        <v>2501</v>
      </c>
      <c r="C682" s="6" t="s">
        <v>1573</v>
      </c>
      <c r="D682" s="6" t="s">
        <v>275</v>
      </c>
    </row>
    <row r="683" ht="22" customHeight="1" spans="1:4">
      <c r="A683" s="6" t="s">
        <v>1601</v>
      </c>
      <c r="B683" s="6" t="s">
        <v>2502</v>
      </c>
      <c r="C683" s="6" t="s">
        <v>1605</v>
      </c>
      <c r="D683" s="6" t="s">
        <v>2385</v>
      </c>
    </row>
    <row r="684" ht="22" customHeight="1" spans="1:4">
      <c r="A684" s="6" t="s">
        <v>1601</v>
      </c>
      <c r="B684" s="6" t="s">
        <v>2503</v>
      </c>
      <c r="C684" s="6" t="s">
        <v>1605</v>
      </c>
      <c r="D684" s="6" t="s">
        <v>2504</v>
      </c>
    </row>
    <row r="685" ht="22" customHeight="1" spans="1:4">
      <c r="A685" s="6" t="s">
        <v>1601</v>
      </c>
      <c r="B685" s="6" t="s">
        <v>2505</v>
      </c>
      <c r="C685" s="6" t="s">
        <v>1599</v>
      </c>
      <c r="D685" s="6" t="s">
        <v>2506</v>
      </c>
    </row>
    <row r="686" ht="22" customHeight="1" spans="1:4">
      <c r="A686" s="6" t="s">
        <v>1601</v>
      </c>
      <c r="B686" s="6" t="s">
        <v>2507</v>
      </c>
      <c r="C686" s="6" t="s">
        <v>1599</v>
      </c>
      <c r="D686" s="6" t="s">
        <v>2263</v>
      </c>
    </row>
    <row r="687" ht="22" customHeight="1" spans="1:4">
      <c r="A687" s="6" t="s">
        <v>1601</v>
      </c>
      <c r="B687" s="6" t="s">
        <v>2508</v>
      </c>
      <c r="C687" s="6" t="s">
        <v>1599</v>
      </c>
      <c r="D687" s="6" t="s">
        <v>1723</v>
      </c>
    </row>
    <row r="688" ht="22" customHeight="1" spans="1:4">
      <c r="A688" s="6" t="s">
        <v>1601</v>
      </c>
      <c r="B688" s="6" t="s">
        <v>2509</v>
      </c>
      <c r="C688" s="6" t="s">
        <v>1573</v>
      </c>
      <c r="D688" s="6" t="s">
        <v>921</v>
      </c>
    </row>
    <row r="689" ht="22" customHeight="1" spans="1:4">
      <c r="A689" s="6" t="s">
        <v>1601</v>
      </c>
      <c r="B689" s="6" t="s">
        <v>2510</v>
      </c>
      <c r="C689" s="6" t="s">
        <v>1573</v>
      </c>
      <c r="D689" s="6" t="s">
        <v>1888</v>
      </c>
    </row>
    <row r="690" ht="22" customHeight="1" spans="1:4">
      <c r="A690" s="6" t="s">
        <v>1601</v>
      </c>
      <c r="B690" s="6" t="s">
        <v>2511</v>
      </c>
      <c r="C690" s="6" t="s">
        <v>1573</v>
      </c>
      <c r="D690" s="6" t="s">
        <v>2512</v>
      </c>
    </row>
    <row r="691" ht="22" customHeight="1" spans="1:4">
      <c r="A691" s="6" t="s">
        <v>1601</v>
      </c>
      <c r="B691" s="6" t="s">
        <v>2513</v>
      </c>
      <c r="C691" s="6" t="s">
        <v>1573</v>
      </c>
      <c r="D691" s="6" t="s">
        <v>2229</v>
      </c>
    </row>
    <row r="692" ht="22" customHeight="1" spans="1:4">
      <c r="A692" s="6" t="s">
        <v>1601</v>
      </c>
      <c r="B692" s="6" t="s">
        <v>2514</v>
      </c>
      <c r="C692" s="6" t="s">
        <v>1573</v>
      </c>
      <c r="D692" s="6" t="s">
        <v>1580</v>
      </c>
    </row>
    <row r="693" ht="22" customHeight="1" spans="1:4">
      <c r="A693" s="6" t="s">
        <v>1601</v>
      </c>
      <c r="B693" s="6" t="s">
        <v>2515</v>
      </c>
      <c r="C693" s="6" t="s">
        <v>1605</v>
      </c>
      <c r="D693" s="6" t="s">
        <v>2516</v>
      </c>
    </row>
    <row r="694" ht="22" customHeight="1" spans="1:4">
      <c r="A694" s="6" t="s">
        <v>1601</v>
      </c>
      <c r="B694" s="6" t="s">
        <v>2517</v>
      </c>
      <c r="C694" s="6" t="s">
        <v>1573</v>
      </c>
      <c r="D694" s="6" t="s">
        <v>275</v>
      </c>
    </row>
    <row r="695" ht="22" customHeight="1" spans="1:4">
      <c r="A695" s="6" t="s">
        <v>1601</v>
      </c>
      <c r="B695" s="6" t="s">
        <v>2518</v>
      </c>
      <c r="C695" s="6" t="s">
        <v>1605</v>
      </c>
      <c r="D695" s="6" t="s">
        <v>1738</v>
      </c>
    </row>
    <row r="696" ht="22" customHeight="1" spans="1:4">
      <c r="A696" s="6" t="s">
        <v>1601</v>
      </c>
      <c r="B696" s="6" t="s">
        <v>2519</v>
      </c>
      <c r="C696" s="6" t="s">
        <v>1605</v>
      </c>
      <c r="D696" s="6" t="s">
        <v>898</v>
      </c>
    </row>
    <row r="697" ht="22" customHeight="1" spans="1:4">
      <c r="A697" s="6" t="s">
        <v>1601</v>
      </c>
      <c r="B697" s="6" t="s">
        <v>2520</v>
      </c>
      <c r="C697" s="6" t="s">
        <v>1605</v>
      </c>
      <c r="D697" s="6" t="s">
        <v>1900</v>
      </c>
    </row>
    <row r="698" ht="22" customHeight="1" spans="1:4">
      <c r="A698" s="6" t="s">
        <v>1601</v>
      </c>
      <c r="B698" s="6" t="s">
        <v>2521</v>
      </c>
      <c r="C698" s="6" t="s">
        <v>1599</v>
      </c>
      <c r="D698" s="6" t="s">
        <v>2522</v>
      </c>
    </row>
    <row r="699" ht="22" customHeight="1" spans="1:4">
      <c r="A699" s="6" t="s">
        <v>1601</v>
      </c>
      <c r="B699" s="6" t="s">
        <v>2523</v>
      </c>
      <c r="C699" s="6" t="s">
        <v>1573</v>
      </c>
      <c r="D699" s="6" t="s">
        <v>463</v>
      </c>
    </row>
    <row r="700" ht="22" customHeight="1" spans="1:4">
      <c r="A700" s="6" t="s">
        <v>1601</v>
      </c>
      <c r="B700" s="6" t="s">
        <v>2524</v>
      </c>
      <c r="C700" s="6" t="s">
        <v>1605</v>
      </c>
      <c r="D700" s="6" t="s">
        <v>1615</v>
      </c>
    </row>
    <row r="701" ht="22" customHeight="1" spans="1:4">
      <c r="A701" s="6" t="s">
        <v>1601</v>
      </c>
      <c r="B701" s="6" t="s">
        <v>2525</v>
      </c>
      <c r="C701" s="6" t="s">
        <v>1605</v>
      </c>
      <c r="D701" s="6" t="s">
        <v>1750</v>
      </c>
    </row>
    <row r="702" ht="22" customHeight="1" spans="1:4">
      <c r="A702" s="6" t="s">
        <v>1601</v>
      </c>
      <c r="B702" s="6" t="s">
        <v>2526</v>
      </c>
      <c r="C702" s="6" t="s">
        <v>1605</v>
      </c>
      <c r="D702" s="6" t="s">
        <v>898</v>
      </c>
    </row>
    <row r="703" ht="22" customHeight="1" spans="1:4">
      <c r="A703" s="6" t="s">
        <v>1601</v>
      </c>
      <c r="B703" s="6" t="s">
        <v>2527</v>
      </c>
      <c r="C703" s="6" t="s">
        <v>1605</v>
      </c>
      <c r="D703" s="6" t="s">
        <v>1744</v>
      </c>
    </row>
    <row r="704" ht="22" customHeight="1" spans="1:4">
      <c r="A704" s="6" t="s">
        <v>1601</v>
      </c>
      <c r="B704" s="6" t="s">
        <v>2528</v>
      </c>
      <c r="C704" s="6" t="s">
        <v>1714</v>
      </c>
      <c r="D704" s="6" t="s">
        <v>1715</v>
      </c>
    </row>
    <row r="705" ht="22" customHeight="1" spans="1:4">
      <c r="A705" s="6" t="s">
        <v>1601</v>
      </c>
      <c r="B705" s="6" t="s">
        <v>2529</v>
      </c>
      <c r="C705" s="6" t="s">
        <v>1599</v>
      </c>
      <c r="D705" s="6" t="s">
        <v>2530</v>
      </c>
    </row>
    <row r="706" ht="22" customHeight="1" spans="1:4">
      <c r="A706" s="6" t="s">
        <v>1601</v>
      </c>
      <c r="B706" s="6" t="s">
        <v>2531</v>
      </c>
      <c r="C706" s="6" t="s">
        <v>1573</v>
      </c>
      <c r="D706" s="6" t="s">
        <v>1623</v>
      </c>
    </row>
    <row r="707" ht="22" customHeight="1" spans="1:4">
      <c r="A707" s="6" t="s">
        <v>1601</v>
      </c>
      <c r="B707" s="6" t="s">
        <v>2532</v>
      </c>
      <c r="C707" s="6" t="s">
        <v>1573</v>
      </c>
      <c r="D707" s="6" t="s">
        <v>1706</v>
      </c>
    </row>
    <row r="708" ht="22" customHeight="1" spans="1:4">
      <c r="A708" s="6" t="s">
        <v>1601</v>
      </c>
      <c r="B708" s="6" t="s">
        <v>2533</v>
      </c>
      <c r="C708" s="6" t="s">
        <v>1599</v>
      </c>
      <c r="D708" s="6" t="s">
        <v>2534</v>
      </c>
    </row>
    <row r="709" ht="22" customHeight="1" spans="1:4">
      <c r="A709" s="6" t="s">
        <v>1601</v>
      </c>
      <c r="B709" s="6" t="s">
        <v>2535</v>
      </c>
      <c r="C709" s="6" t="s">
        <v>1570</v>
      </c>
      <c r="D709" s="6" t="s">
        <v>1571</v>
      </c>
    </row>
    <row r="710" ht="22" customHeight="1" spans="1:4">
      <c r="A710" s="6" t="s">
        <v>1601</v>
      </c>
      <c r="B710" s="6" t="s">
        <v>2536</v>
      </c>
      <c r="C710" s="6" t="s">
        <v>1599</v>
      </c>
      <c r="D710" s="6" t="s">
        <v>2537</v>
      </c>
    </row>
    <row r="711" ht="22" customHeight="1" spans="1:4">
      <c r="A711" s="6" t="s">
        <v>1601</v>
      </c>
      <c r="B711" s="6" t="s">
        <v>2538</v>
      </c>
      <c r="C711" s="6" t="s">
        <v>1576</v>
      </c>
      <c r="D711" s="6" t="s">
        <v>1571</v>
      </c>
    </row>
    <row r="712" ht="22" customHeight="1" spans="1:4">
      <c r="A712" s="6" t="s">
        <v>1601</v>
      </c>
      <c r="B712" s="6" t="s">
        <v>2539</v>
      </c>
      <c r="C712" s="6" t="s">
        <v>1599</v>
      </c>
      <c r="D712" s="6" t="s">
        <v>1661</v>
      </c>
    </row>
    <row r="713" ht="22" customHeight="1" spans="1:4">
      <c r="A713" s="6" t="s">
        <v>1601</v>
      </c>
      <c r="B713" s="6" t="s">
        <v>2540</v>
      </c>
      <c r="C713" s="6" t="s">
        <v>1570</v>
      </c>
      <c r="D713" s="6" t="s">
        <v>1571</v>
      </c>
    </row>
    <row r="714" ht="22" customHeight="1" spans="1:4">
      <c r="A714" s="6" t="s">
        <v>1601</v>
      </c>
      <c r="B714" s="6" t="s">
        <v>2541</v>
      </c>
      <c r="C714" s="6" t="s">
        <v>1605</v>
      </c>
      <c r="D714" s="6" t="s">
        <v>1615</v>
      </c>
    </row>
    <row r="715" ht="22" customHeight="1" spans="1:4">
      <c r="A715" s="6" t="s">
        <v>1601</v>
      </c>
      <c r="B715" s="6" t="s">
        <v>2542</v>
      </c>
      <c r="C715" s="6" t="s">
        <v>1605</v>
      </c>
      <c r="D715" s="6" t="s">
        <v>1744</v>
      </c>
    </row>
    <row r="716" ht="22" customHeight="1" spans="1:4">
      <c r="A716" s="6" t="s">
        <v>1601</v>
      </c>
      <c r="B716" s="6" t="s">
        <v>2543</v>
      </c>
      <c r="C716" s="6" t="s">
        <v>1599</v>
      </c>
      <c r="D716" s="6" t="s">
        <v>2544</v>
      </c>
    </row>
    <row r="717" ht="22" customHeight="1" spans="1:4">
      <c r="A717" s="6" t="s">
        <v>1601</v>
      </c>
      <c r="B717" s="6" t="s">
        <v>2545</v>
      </c>
      <c r="C717" s="6" t="s">
        <v>1599</v>
      </c>
      <c r="D717" s="6" t="s">
        <v>2546</v>
      </c>
    </row>
    <row r="718" ht="22" customHeight="1" spans="1:4">
      <c r="A718" s="6" t="s">
        <v>1601</v>
      </c>
      <c r="B718" s="6" t="s">
        <v>2547</v>
      </c>
      <c r="C718" s="6" t="s">
        <v>1599</v>
      </c>
      <c r="D718" s="6" t="s">
        <v>1723</v>
      </c>
    </row>
    <row r="719" ht="22" customHeight="1" spans="1:4">
      <c r="A719" s="6" t="s">
        <v>1601</v>
      </c>
      <c r="B719" s="6" t="s">
        <v>2548</v>
      </c>
      <c r="C719" s="6" t="s">
        <v>1573</v>
      </c>
      <c r="D719" s="6" t="s">
        <v>1623</v>
      </c>
    </row>
    <row r="720" ht="22" customHeight="1" spans="1:4">
      <c r="A720" s="6" t="s">
        <v>1601</v>
      </c>
      <c r="B720" s="6" t="s">
        <v>2549</v>
      </c>
      <c r="C720" s="6" t="s">
        <v>1573</v>
      </c>
      <c r="D720" s="6" t="s">
        <v>1589</v>
      </c>
    </row>
    <row r="721" ht="22" customHeight="1" spans="1:4">
      <c r="A721" s="6" t="s">
        <v>1601</v>
      </c>
      <c r="B721" s="6" t="s">
        <v>2550</v>
      </c>
      <c r="C721" s="6" t="s">
        <v>1573</v>
      </c>
      <c r="D721" s="6" t="s">
        <v>1683</v>
      </c>
    </row>
    <row r="722" ht="22" customHeight="1" spans="1:4">
      <c r="A722" s="6" t="s">
        <v>1601</v>
      </c>
      <c r="B722" s="6" t="s">
        <v>2551</v>
      </c>
      <c r="C722" s="6" t="s">
        <v>1573</v>
      </c>
      <c r="D722" s="6" t="s">
        <v>2552</v>
      </c>
    </row>
    <row r="723" ht="22" customHeight="1" spans="1:4">
      <c r="A723" s="6" t="s">
        <v>1601</v>
      </c>
      <c r="B723" s="6" t="s">
        <v>2553</v>
      </c>
      <c r="C723" s="6" t="s">
        <v>1573</v>
      </c>
      <c r="D723" s="6" t="s">
        <v>463</v>
      </c>
    </row>
    <row r="724" ht="22" customHeight="1" spans="1:4">
      <c r="A724" s="6" t="s">
        <v>1601</v>
      </c>
      <c r="B724" s="6" t="s">
        <v>2554</v>
      </c>
      <c r="C724" s="6" t="s">
        <v>1605</v>
      </c>
      <c r="D724" s="6" t="s">
        <v>1649</v>
      </c>
    </row>
    <row r="725" ht="22" customHeight="1" spans="1:4">
      <c r="A725" s="6" t="s">
        <v>1601</v>
      </c>
      <c r="B725" s="6" t="s">
        <v>2555</v>
      </c>
      <c r="C725" s="6" t="s">
        <v>1573</v>
      </c>
      <c r="D725" s="6" t="s">
        <v>1623</v>
      </c>
    </row>
    <row r="726" ht="22" customHeight="1" spans="1:4">
      <c r="A726" s="6" t="s">
        <v>1601</v>
      </c>
      <c r="B726" s="6" t="s">
        <v>2556</v>
      </c>
      <c r="C726" s="6" t="s">
        <v>1605</v>
      </c>
      <c r="D726" s="6" t="s">
        <v>2315</v>
      </c>
    </row>
    <row r="727" ht="22" customHeight="1" spans="1:4">
      <c r="A727" s="6" t="s">
        <v>1601</v>
      </c>
      <c r="B727" s="6" t="s">
        <v>2557</v>
      </c>
      <c r="C727" s="6" t="s">
        <v>1605</v>
      </c>
      <c r="D727" s="6" t="s">
        <v>1636</v>
      </c>
    </row>
    <row r="728" ht="22" customHeight="1" spans="1:4">
      <c r="A728" s="6" t="s">
        <v>1601</v>
      </c>
      <c r="B728" s="6" t="s">
        <v>2558</v>
      </c>
      <c r="C728" s="6" t="s">
        <v>1605</v>
      </c>
      <c r="D728" s="6" t="s">
        <v>1606</v>
      </c>
    </row>
    <row r="729" ht="22" customHeight="1" spans="1:4">
      <c r="A729" s="6" t="s">
        <v>1601</v>
      </c>
      <c r="B729" s="6" t="s">
        <v>2559</v>
      </c>
      <c r="C729" s="6" t="s">
        <v>1599</v>
      </c>
      <c r="D729" s="6" t="s">
        <v>2560</v>
      </c>
    </row>
    <row r="730" ht="22" customHeight="1" spans="1:4">
      <c r="A730" s="6" t="s">
        <v>1601</v>
      </c>
      <c r="B730" s="6" t="s">
        <v>2561</v>
      </c>
      <c r="C730" s="6" t="s">
        <v>1605</v>
      </c>
      <c r="D730" s="6" t="s">
        <v>1937</v>
      </c>
    </row>
    <row r="731" ht="22" customHeight="1" spans="1:4">
      <c r="A731" s="6" t="s">
        <v>1601</v>
      </c>
      <c r="B731" s="6" t="s">
        <v>2562</v>
      </c>
      <c r="C731" s="6" t="s">
        <v>1599</v>
      </c>
      <c r="D731" s="6" t="s">
        <v>2563</v>
      </c>
    </row>
    <row r="732" ht="22" customHeight="1" spans="1:4">
      <c r="A732" s="6" t="s">
        <v>1601</v>
      </c>
      <c r="B732" s="6" t="s">
        <v>2564</v>
      </c>
      <c r="C732" s="6" t="s">
        <v>1599</v>
      </c>
      <c r="D732" s="6" t="s">
        <v>1653</v>
      </c>
    </row>
    <row r="733" ht="22" customHeight="1" spans="1:4">
      <c r="A733" s="6" t="s">
        <v>1601</v>
      </c>
      <c r="B733" s="6" t="s">
        <v>2565</v>
      </c>
      <c r="C733" s="6" t="s">
        <v>1599</v>
      </c>
      <c r="D733" s="6" t="s">
        <v>1655</v>
      </c>
    </row>
    <row r="734" ht="22" customHeight="1" spans="1:4">
      <c r="A734" s="6" t="s">
        <v>1601</v>
      </c>
      <c r="B734" s="6" t="s">
        <v>2566</v>
      </c>
      <c r="C734" s="6" t="s">
        <v>1605</v>
      </c>
      <c r="D734" s="6" t="s">
        <v>1657</v>
      </c>
    </row>
    <row r="735" ht="22" customHeight="1" spans="1:4">
      <c r="A735" s="6" t="s">
        <v>1601</v>
      </c>
      <c r="B735" s="6" t="s">
        <v>2567</v>
      </c>
      <c r="C735" s="6" t="s">
        <v>1605</v>
      </c>
      <c r="D735" s="6" t="s">
        <v>1659</v>
      </c>
    </row>
    <row r="736" ht="22" customHeight="1" spans="1:4">
      <c r="A736" s="6" t="s">
        <v>1601</v>
      </c>
      <c r="B736" s="6" t="s">
        <v>2568</v>
      </c>
      <c r="C736" s="6" t="s">
        <v>1599</v>
      </c>
      <c r="D736" s="6" t="s">
        <v>1661</v>
      </c>
    </row>
    <row r="737" ht="22" customHeight="1" spans="1:4">
      <c r="A737" s="6" t="s">
        <v>1601</v>
      </c>
      <c r="B737" s="6" t="s">
        <v>2569</v>
      </c>
      <c r="C737" s="6" t="s">
        <v>1573</v>
      </c>
      <c r="D737" s="6" t="s">
        <v>1623</v>
      </c>
    </row>
    <row r="738" ht="22" customHeight="1" spans="1:4">
      <c r="A738" s="6" t="s">
        <v>1601</v>
      </c>
      <c r="B738" s="6" t="s">
        <v>2570</v>
      </c>
      <c r="C738" s="6" t="s">
        <v>1573</v>
      </c>
      <c r="D738" s="6" t="s">
        <v>1706</v>
      </c>
    </row>
    <row r="739" ht="22" customHeight="1" spans="1:4">
      <c r="A739" s="6" t="s">
        <v>1601</v>
      </c>
      <c r="B739" s="6" t="s">
        <v>2571</v>
      </c>
      <c r="C739" s="6" t="s">
        <v>1599</v>
      </c>
      <c r="D739" s="6" t="s">
        <v>2572</v>
      </c>
    </row>
    <row r="740" ht="22" customHeight="1" spans="1:4">
      <c r="A740" s="6" t="s">
        <v>1601</v>
      </c>
      <c r="B740" s="6" t="s">
        <v>2573</v>
      </c>
      <c r="C740" s="6" t="s">
        <v>1570</v>
      </c>
      <c r="D740" s="6" t="s">
        <v>1571</v>
      </c>
    </row>
    <row r="741" ht="22" customHeight="1" spans="1:4">
      <c r="A741" s="6" t="s">
        <v>1601</v>
      </c>
      <c r="B741" s="6" t="s">
        <v>2574</v>
      </c>
      <c r="C741" s="6" t="s">
        <v>1599</v>
      </c>
      <c r="D741" s="6" t="s">
        <v>2575</v>
      </c>
    </row>
    <row r="742" ht="22" customHeight="1" spans="1:4">
      <c r="A742" s="6" t="s">
        <v>1601</v>
      </c>
      <c r="B742" s="6" t="s">
        <v>2576</v>
      </c>
      <c r="C742" s="6" t="s">
        <v>1576</v>
      </c>
      <c r="D742" s="6" t="s">
        <v>1571</v>
      </c>
    </row>
    <row r="743" ht="22" customHeight="1" spans="1:4">
      <c r="A743" s="6" t="s">
        <v>1601</v>
      </c>
      <c r="B743" s="6" t="s">
        <v>2577</v>
      </c>
      <c r="C743" s="6" t="s">
        <v>1599</v>
      </c>
      <c r="D743" s="6" t="s">
        <v>1661</v>
      </c>
    </row>
    <row r="744" ht="22" customHeight="1" spans="1:4">
      <c r="A744" s="6" t="s">
        <v>1601</v>
      </c>
      <c r="B744" s="6" t="s">
        <v>2578</v>
      </c>
      <c r="C744" s="6" t="s">
        <v>1599</v>
      </c>
      <c r="D744" s="6" t="s">
        <v>1653</v>
      </c>
    </row>
    <row r="745" ht="22" customHeight="1" spans="1:4">
      <c r="A745" s="6" t="s">
        <v>1601</v>
      </c>
      <c r="B745" s="6" t="s">
        <v>2579</v>
      </c>
      <c r="C745" s="6" t="s">
        <v>1599</v>
      </c>
      <c r="D745" s="6" t="s">
        <v>2580</v>
      </c>
    </row>
    <row r="746" ht="22" customHeight="1" spans="1:4">
      <c r="A746" s="6" t="s">
        <v>1601</v>
      </c>
      <c r="B746" s="6" t="s">
        <v>2581</v>
      </c>
      <c r="C746" s="6" t="s">
        <v>1599</v>
      </c>
      <c r="D746" s="6" t="s">
        <v>2546</v>
      </c>
    </row>
    <row r="747" ht="22" customHeight="1" spans="1:4">
      <c r="A747" s="6" t="s">
        <v>1601</v>
      </c>
      <c r="B747" s="6" t="s">
        <v>2582</v>
      </c>
      <c r="C747" s="6" t="s">
        <v>1599</v>
      </c>
      <c r="D747" s="6" t="s">
        <v>1621</v>
      </c>
    </row>
    <row r="748" ht="22" customHeight="1" spans="1:4">
      <c r="A748" s="6" t="s">
        <v>1601</v>
      </c>
      <c r="B748" s="6" t="s">
        <v>2583</v>
      </c>
      <c r="C748" s="6" t="s">
        <v>1573</v>
      </c>
      <c r="D748" s="6" t="s">
        <v>1623</v>
      </c>
    </row>
    <row r="749" ht="22" customHeight="1" spans="1:4">
      <c r="A749" s="6" t="s">
        <v>1601</v>
      </c>
      <c r="B749" s="6" t="s">
        <v>2584</v>
      </c>
      <c r="C749" s="6" t="s">
        <v>1573</v>
      </c>
      <c r="D749" s="6" t="s">
        <v>1589</v>
      </c>
    </row>
    <row r="750" ht="22" customHeight="1" spans="1:4">
      <c r="A750" s="6" t="s">
        <v>1601</v>
      </c>
      <c r="B750" s="6" t="s">
        <v>2585</v>
      </c>
      <c r="C750" s="6" t="s">
        <v>1573</v>
      </c>
      <c r="D750" s="6" t="s">
        <v>2586</v>
      </c>
    </row>
    <row r="751" ht="22" customHeight="1" spans="1:4">
      <c r="A751" s="6" t="s">
        <v>1601</v>
      </c>
      <c r="B751" s="6" t="s">
        <v>2587</v>
      </c>
      <c r="C751" s="6" t="s">
        <v>1573</v>
      </c>
      <c r="D751" s="6" t="s">
        <v>2588</v>
      </c>
    </row>
    <row r="752" ht="22" customHeight="1" spans="1:4">
      <c r="A752" s="6" t="s">
        <v>1601</v>
      </c>
      <c r="B752" s="6" t="s">
        <v>2589</v>
      </c>
      <c r="C752" s="6" t="s">
        <v>1573</v>
      </c>
      <c r="D752" s="6" t="s">
        <v>275</v>
      </c>
    </row>
    <row r="753" ht="22" customHeight="1" spans="1:4">
      <c r="A753" s="6" t="s">
        <v>1601</v>
      </c>
      <c r="B753" s="6" t="s">
        <v>2590</v>
      </c>
      <c r="C753" s="6" t="s">
        <v>1605</v>
      </c>
      <c r="D753" s="6" t="s">
        <v>1688</v>
      </c>
    </row>
    <row r="754" ht="22" customHeight="1" spans="1:4">
      <c r="A754" s="6" t="s">
        <v>1601</v>
      </c>
      <c r="B754" s="6" t="s">
        <v>2591</v>
      </c>
      <c r="C754" s="6" t="s">
        <v>1573</v>
      </c>
      <c r="D754" s="6" t="s">
        <v>1623</v>
      </c>
    </row>
    <row r="755" ht="22" customHeight="1" spans="1:4">
      <c r="A755" s="6" t="s">
        <v>1601</v>
      </c>
      <c r="B755" s="6" t="s">
        <v>2592</v>
      </c>
      <c r="C755" s="6" t="s">
        <v>1605</v>
      </c>
      <c r="D755" s="6" t="s">
        <v>1634</v>
      </c>
    </row>
    <row r="756" ht="22" customHeight="1" spans="1:4">
      <c r="A756" s="6" t="s">
        <v>1601</v>
      </c>
      <c r="B756" s="6" t="s">
        <v>2593</v>
      </c>
      <c r="C756" s="6" t="s">
        <v>1605</v>
      </c>
      <c r="D756" s="6" t="s">
        <v>1636</v>
      </c>
    </row>
    <row r="757" ht="22" customHeight="1" spans="1:4">
      <c r="A757" s="6" t="s">
        <v>1601</v>
      </c>
      <c r="B757" s="6" t="s">
        <v>2594</v>
      </c>
      <c r="C757" s="6" t="s">
        <v>1605</v>
      </c>
      <c r="D757" s="6" t="s">
        <v>1606</v>
      </c>
    </row>
    <row r="758" ht="22" customHeight="1" spans="1:4">
      <c r="A758" s="6" t="s">
        <v>1601</v>
      </c>
      <c r="B758" s="6" t="s">
        <v>2595</v>
      </c>
      <c r="C758" s="6" t="s">
        <v>1599</v>
      </c>
      <c r="D758" s="6" t="s">
        <v>2596</v>
      </c>
    </row>
    <row r="759" ht="22" customHeight="1" spans="1:4">
      <c r="A759" s="6" t="s">
        <v>1601</v>
      </c>
      <c r="B759" s="6" t="s">
        <v>2597</v>
      </c>
      <c r="C759" s="6" t="s">
        <v>1599</v>
      </c>
      <c r="D759" s="6" t="s">
        <v>2598</v>
      </c>
    </row>
    <row r="760" ht="22" customHeight="1" spans="1:4">
      <c r="A760" s="6" t="s">
        <v>1601</v>
      </c>
      <c r="B760" s="6" t="s">
        <v>2599</v>
      </c>
      <c r="C760" s="6" t="s">
        <v>1599</v>
      </c>
      <c r="D760" s="6" t="s">
        <v>1653</v>
      </c>
    </row>
    <row r="761" ht="22" customHeight="1" spans="1:4">
      <c r="A761" s="6" t="s">
        <v>1601</v>
      </c>
      <c r="B761" s="6" t="s">
        <v>2600</v>
      </c>
      <c r="C761" s="6" t="s">
        <v>1599</v>
      </c>
      <c r="D761" s="6" t="s">
        <v>1655</v>
      </c>
    </row>
    <row r="762" ht="22" customHeight="1" spans="1:4">
      <c r="A762" s="6" t="s">
        <v>1601</v>
      </c>
      <c r="B762" s="6" t="s">
        <v>2601</v>
      </c>
      <c r="C762" s="6" t="s">
        <v>1605</v>
      </c>
      <c r="D762" s="6" t="s">
        <v>1657</v>
      </c>
    </row>
    <row r="763" ht="22" customHeight="1" spans="1:4">
      <c r="A763" s="6" t="s">
        <v>1601</v>
      </c>
      <c r="B763" s="6" t="s">
        <v>2602</v>
      </c>
      <c r="C763" s="6" t="s">
        <v>1605</v>
      </c>
      <c r="D763" s="6" t="s">
        <v>1659</v>
      </c>
    </row>
    <row r="764" ht="22" customHeight="1" spans="1:4">
      <c r="A764" s="6" t="s">
        <v>1601</v>
      </c>
      <c r="B764" s="6" t="s">
        <v>2603</v>
      </c>
      <c r="C764" s="6" t="s">
        <v>1599</v>
      </c>
      <c r="D764" s="6" t="s">
        <v>1661</v>
      </c>
    </row>
    <row r="765" ht="22" customHeight="1" spans="1:4">
      <c r="A765" s="6" t="s">
        <v>1601</v>
      </c>
      <c r="B765" s="6" t="s">
        <v>2604</v>
      </c>
      <c r="C765" s="6" t="s">
        <v>1573</v>
      </c>
      <c r="D765" s="6" t="s">
        <v>1623</v>
      </c>
    </row>
    <row r="766" ht="22" customHeight="1" spans="1:4">
      <c r="A766" s="6" t="s">
        <v>1601</v>
      </c>
      <c r="B766" s="6" t="s">
        <v>2605</v>
      </c>
      <c r="C766" s="6" t="s">
        <v>1573</v>
      </c>
      <c r="D766" s="6" t="s">
        <v>1706</v>
      </c>
    </row>
    <row r="767" ht="22" customHeight="1" spans="1:4">
      <c r="A767" s="6" t="s">
        <v>1601</v>
      </c>
      <c r="B767" s="6" t="s">
        <v>2606</v>
      </c>
      <c r="C767" s="6" t="s">
        <v>1599</v>
      </c>
      <c r="D767" s="6" t="s">
        <v>2607</v>
      </c>
    </row>
    <row r="768" ht="22" customHeight="1" spans="1:4">
      <c r="A768" s="6" t="s">
        <v>1601</v>
      </c>
      <c r="B768" s="6" t="s">
        <v>2608</v>
      </c>
      <c r="C768" s="6" t="s">
        <v>1570</v>
      </c>
      <c r="D768" s="6" t="s">
        <v>1571</v>
      </c>
    </row>
    <row r="769" ht="22" customHeight="1" spans="1:4">
      <c r="A769" s="6" t="s">
        <v>1601</v>
      </c>
      <c r="B769" s="6" t="s">
        <v>2609</v>
      </c>
      <c r="C769" s="6" t="s">
        <v>1599</v>
      </c>
      <c r="D769" s="6" t="s">
        <v>2610</v>
      </c>
    </row>
    <row r="770" ht="22" customHeight="1" spans="1:4">
      <c r="A770" s="6" t="s">
        <v>1601</v>
      </c>
      <c r="B770" s="6" t="s">
        <v>2611</v>
      </c>
      <c r="C770" s="6" t="s">
        <v>1570</v>
      </c>
      <c r="D770" s="6" t="s">
        <v>1571</v>
      </c>
    </row>
    <row r="771" ht="22" customHeight="1" spans="1:4">
      <c r="A771" s="6" t="s">
        <v>1601</v>
      </c>
      <c r="B771" s="6" t="s">
        <v>2612</v>
      </c>
      <c r="C771" s="6" t="s">
        <v>1573</v>
      </c>
      <c r="D771" s="6" t="s">
        <v>921</v>
      </c>
    </row>
    <row r="772" ht="22" customHeight="1" spans="1:4">
      <c r="A772" s="6" t="s">
        <v>1601</v>
      </c>
      <c r="B772" s="6" t="s">
        <v>2613</v>
      </c>
      <c r="C772" s="6" t="s">
        <v>1573</v>
      </c>
      <c r="D772" s="6" t="s">
        <v>921</v>
      </c>
    </row>
    <row r="773" ht="22" customHeight="1" spans="1:4">
      <c r="A773" s="6" t="s">
        <v>1601</v>
      </c>
      <c r="B773" s="6" t="s">
        <v>2614</v>
      </c>
      <c r="C773" s="6" t="s">
        <v>1599</v>
      </c>
      <c r="D773" s="6" t="s">
        <v>2615</v>
      </c>
    </row>
    <row r="774" ht="22" customHeight="1" spans="1:4">
      <c r="A774" s="6" t="s">
        <v>1601</v>
      </c>
      <c r="B774" s="6" t="s">
        <v>2616</v>
      </c>
      <c r="C774" s="6" t="s">
        <v>1599</v>
      </c>
      <c r="D774" s="6" t="s">
        <v>2546</v>
      </c>
    </row>
    <row r="775" ht="22" customHeight="1" spans="1:4">
      <c r="A775" s="6" t="s">
        <v>1601</v>
      </c>
      <c r="B775" s="6" t="s">
        <v>2617</v>
      </c>
      <c r="C775" s="6" t="s">
        <v>1599</v>
      </c>
      <c r="D775" s="6" t="s">
        <v>1769</v>
      </c>
    </row>
    <row r="776" ht="22" customHeight="1" spans="1:4">
      <c r="A776" s="6" t="s">
        <v>1601</v>
      </c>
      <c r="B776" s="6" t="s">
        <v>2618</v>
      </c>
      <c r="C776" s="6" t="s">
        <v>1573</v>
      </c>
      <c r="D776" s="6" t="s">
        <v>1725</v>
      </c>
    </row>
    <row r="777" ht="22" customHeight="1" spans="1:4">
      <c r="A777" s="6" t="s">
        <v>1601</v>
      </c>
      <c r="B777" s="6" t="s">
        <v>2619</v>
      </c>
      <c r="C777" s="6" t="s">
        <v>1573</v>
      </c>
      <c r="D777" s="6" t="s">
        <v>1727</v>
      </c>
    </row>
    <row r="778" ht="22" customHeight="1" spans="1:4">
      <c r="A778" s="6" t="s">
        <v>1601</v>
      </c>
      <c r="B778" s="6" t="s">
        <v>2620</v>
      </c>
      <c r="C778" s="6" t="s">
        <v>1573</v>
      </c>
      <c r="D778" s="6" t="s">
        <v>2411</v>
      </c>
    </row>
    <row r="779" ht="22" customHeight="1" spans="1:4">
      <c r="A779" s="6" t="s">
        <v>1601</v>
      </c>
      <c r="B779" s="6" t="s">
        <v>2621</v>
      </c>
      <c r="C779" s="6" t="s">
        <v>1573</v>
      </c>
      <c r="D779" s="6" t="s">
        <v>2622</v>
      </c>
    </row>
    <row r="780" ht="22" customHeight="1" spans="1:4">
      <c r="A780" s="6" t="s">
        <v>1601</v>
      </c>
      <c r="B780" s="6" t="s">
        <v>2623</v>
      </c>
      <c r="C780" s="6" t="s">
        <v>1573</v>
      </c>
      <c r="D780" s="6" t="s">
        <v>921</v>
      </c>
    </row>
    <row r="781" ht="22" customHeight="1" spans="1:4">
      <c r="A781" s="6" t="s">
        <v>1601</v>
      </c>
      <c r="B781" s="6" t="s">
        <v>2624</v>
      </c>
      <c r="C781" s="6" t="s">
        <v>1605</v>
      </c>
      <c r="D781" s="6" t="s">
        <v>1778</v>
      </c>
    </row>
    <row r="782" ht="22" customHeight="1" spans="1:4">
      <c r="A782" s="6" t="s">
        <v>1601</v>
      </c>
      <c r="B782" s="6" t="s">
        <v>2625</v>
      </c>
      <c r="C782" s="6" t="s">
        <v>1573</v>
      </c>
      <c r="D782" s="6" t="s">
        <v>275</v>
      </c>
    </row>
    <row r="783" ht="22" customHeight="1" spans="1:4">
      <c r="A783" s="6" t="s">
        <v>1601</v>
      </c>
      <c r="B783" s="6" t="s">
        <v>2626</v>
      </c>
      <c r="C783" s="6" t="s">
        <v>1605</v>
      </c>
      <c r="D783" s="6" t="s">
        <v>1816</v>
      </c>
    </row>
    <row r="784" ht="22" customHeight="1" spans="1:4">
      <c r="A784" s="6" t="s">
        <v>1601</v>
      </c>
      <c r="B784" s="6" t="s">
        <v>2627</v>
      </c>
      <c r="C784" s="6" t="s">
        <v>1605</v>
      </c>
      <c r="D784" s="6" t="s">
        <v>898</v>
      </c>
    </row>
    <row r="785" ht="22" customHeight="1" spans="1:4">
      <c r="A785" s="6" t="s">
        <v>1601</v>
      </c>
      <c r="B785" s="6" t="s">
        <v>2628</v>
      </c>
      <c r="C785" s="6" t="s">
        <v>1605</v>
      </c>
      <c r="D785" s="6" t="s">
        <v>1783</v>
      </c>
    </row>
    <row r="786" ht="22" customHeight="1" spans="1:4">
      <c r="A786" s="6" t="s">
        <v>1601</v>
      </c>
      <c r="B786" s="6" t="s">
        <v>2629</v>
      </c>
      <c r="C786" s="6" t="s">
        <v>1599</v>
      </c>
      <c r="D786" s="6" t="s">
        <v>2630</v>
      </c>
    </row>
    <row r="787" ht="22" customHeight="1" spans="1:4">
      <c r="A787" s="6" t="s">
        <v>1601</v>
      </c>
      <c r="B787" s="6" t="s">
        <v>2631</v>
      </c>
      <c r="C787" s="6" t="s">
        <v>1573</v>
      </c>
      <c r="D787" s="6" t="s">
        <v>275</v>
      </c>
    </row>
    <row r="788" ht="22" customHeight="1" spans="1:4">
      <c r="A788" s="6" t="s">
        <v>1601</v>
      </c>
      <c r="B788" s="6" t="s">
        <v>2632</v>
      </c>
      <c r="C788" s="6" t="s">
        <v>1605</v>
      </c>
      <c r="D788" s="6" t="s">
        <v>1606</v>
      </c>
    </row>
    <row r="789" ht="22" customHeight="1" spans="1:4">
      <c r="A789" s="6" t="s">
        <v>1601</v>
      </c>
      <c r="B789" s="6" t="s">
        <v>2633</v>
      </c>
      <c r="C789" s="6" t="s">
        <v>1599</v>
      </c>
      <c r="D789" s="6" t="s">
        <v>2634</v>
      </c>
    </row>
    <row r="790" ht="22" customHeight="1" spans="1:4">
      <c r="A790" s="6" t="s">
        <v>1601</v>
      </c>
      <c r="B790" s="6" t="s">
        <v>2635</v>
      </c>
      <c r="C790" s="6" t="s">
        <v>1573</v>
      </c>
      <c r="D790" s="6" t="s">
        <v>1623</v>
      </c>
    </row>
    <row r="791" ht="22" customHeight="1" spans="1:4">
      <c r="A791" s="6" t="s">
        <v>1601</v>
      </c>
      <c r="B791" s="6" t="s">
        <v>2636</v>
      </c>
      <c r="C791" s="6" t="s">
        <v>1573</v>
      </c>
      <c r="D791" s="6" t="s">
        <v>1706</v>
      </c>
    </row>
    <row r="792" ht="22" customHeight="1" spans="1:4">
      <c r="A792" s="6" t="s">
        <v>1601</v>
      </c>
      <c r="B792" s="6" t="s">
        <v>2637</v>
      </c>
      <c r="C792" s="6" t="s">
        <v>1599</v>
      </c>
      <c r="D792" s="6" t="s">
        <v>2638</v>
      </c>
    </row>
    <row r="793" ht="22" customHeight="1" spans="1:4">
      <c r="A793" s="6" t="s">
        <v>1601</v>
      </c>
      <c r="B793" s="6" t="s">
        <v>2639</v>
      </c>
      <c r="C793" s="6" t="s">
        <v>1570</v>
      </c>
      <c r="D793" s="6" t="s">
        <v>1571</v>
      </c>
    </row>
    <row r="794" ht="22" customHeight="1" spans="1:4">
      <c r="A794" s="6" t="s">
        <v>1601</v>
      </c>
      <c r="B794" s="6" t="s">
        <v>2640</v>
      </c>
      <c r="C794" s="6" t="s">
        <v>1599</v>
      </c>
      <c r="D794" s="6" t="s">
        <v>2641</v>
      </c>
    </row>
    <row r="795" ht="22" customHeight="1" spans="1:4">
      <c r="A795" s="6" t="s">
        <v>1601</v>
      </c>
      <c r="B795" s="6" t="s">
        <v>2642</v>
      </c>
      <c r="C795" s="6" t="s">
        <v>1576</v>
      </c>
      <c r="D795" s="6" t="s">
        <v>1571</v>
      </c>
    </row>
    <row r="796" ht="22" customHeight="1" spans="1:4">
      <c r="A796" s="6" t="s">
        <v>1601</v>
      </c>
      <c r="B796" s="6" t="s">
        <v>2643</v>
      </c>
      <c r="C796" s="6" t="s">
        <v>1599</v>
      </c>
      <c r="D796" s="6" t="s">
        <v>1661</v>
      </c>
    </row>
    <row r="797" ht="22" customHeight="1" spans="1:4">
      <c r="A797" s="6" t="s">
        <v>1601</v>
      </c>
      <c r="B797" s="6" t="s">
        <v>2644</v>
      </c>
      <c r="C797" s="6" t="s">
        <v>1570</v>
      </c>
      <c r="D797" s="6" t="s">
        <v>1571</v>
      </c>
    </row>
    <row r="798" ht="22" customHeight="1" spans="1:4">
      <c r="A798" s="6" t="s">
        <v>1601</v>
      </c>
      <c r="B798" s="6" t="s">
        <v>2645</v>
      </c>
      <c r="C798" s="6" t="s">
        <v>1573</v>
      </c>
      <c r="D798" s="6" t="s">
        <v>921</v>
      </c>
    </row>
    <row r="799" ht="22" customHeight="1" spans="1:4">
      <c r="A799" s="6" t="s">
        <v>1601</v>
      </c>
      <c r="B799" s="6" t="s">
        <v>2646</v>
      </c>
      <c r="C799" s="6" t="s">
        <v>1573</v>
      </c>
      <c r="D799" s="6" t="s">
        <v>1725</v>
      </c>
    </row>
    <row r="800" ht="22" customHeight="1" spans="1:4">
      <c r="A800" s="6" t="s">
        <v>1601</v>
      </c>
      <c r="B800" s="6" t="s">
        <v>2647</v>
      </c>
      <c r="C800" s="6" t="s">
        <v>1599</v>
      </c>
      <c r="D800" s="6" t="s">
        <v>2648</v>
      </c>
    </row>
    <row r="801" ht="22" customHeight="1" spans="1:4">
      <c r="A801" s="6" t="s">
        <v>1601</v>
      </c>
      <c r="B801" s="6" t="s">
        <v>2649</v>
      </c>
      <c r="C801" s="6" t="s">
        <v>1599</v>
      </c>
      <c r="D801" s="6" t="s">
        <v>2546</v>
      </c>
    </row>
    <row r="802" ht="22" customHeight="1" spans="1:4">
      <c r="A802" s="6" t="s">
        <v>1601</v>
      </c>
      <c r="B802" s="6" t="s">
        <v>2650</v>
      </c>
      <c r="C802" s="6" t="s">
        <v>1599</v>
      </c>
      <c r="D802" s="6" t="s">
        <v>1723</v>
      </c>
    </row>
    <row r="803" ht="22" customHeight="1" spans="1:4">
      <c r="A803" s="6" t="s">
        <v>1601</v>
      </c>
      <c r="B803" s="6" t="s">
        <v>2651</v>
      </c>
      <c r="C803" s="6" t="s">
        <v>1573</v>
      </c>
      <c r="D803" s="6" t="s">
        <v>1725</v>
      </c>
    </row>
    <row r="804" ht="22" customHeight="1" spans="1:4">
      <c r="A804" s="6" t="s">
        <v>1601</v>
      </c>
      <c r="B804" s="6" t="s">
        <v>2652</v>
      </c>
      <c r="C804" s="6" t="s">
        <v>1573</v>
      </c>
      <c r="D804" s="6" t="s">
        <v>1727</v>
      </c>
    </row>
    <row r="805" ht="22" customHeight="1" spans="1:4">
      <c r="A805" s="6" t="s">
        <v>1601</v>
      </c>
      <c r="B805" s="6" t="s">
        <v>2653</v>
      </c>
      <c r="C805" s="6" t="s">
        <v>1573</v>
      </c>
      <c r="D805" s="6" t="s">
        <v>2654</v>
      </c>
    </row>
    <row r="806" ht="22" customHeight="1" spans="1:4">
      <c r="A806" s="6" t="s">
        <v>1601</v>
      </c>
      <c r="B806" s="6" t="s">
        <v>2655</v>
      </c>
      <c r="C806" s="6" t="s">
        <v>1573</v>
      </c>
      <c r="D806" s="6" t="s">
        <v>2154</v>
      </c>
    </row>
    <row r="807" ht="22" customHeight="1" spans="1:4">
      <c r="A807" s="6" t="s">
        <v>1601</v>
      </c>
      <c r="B807" s="6" t="s">
        <v>2656</v>
      </c>
      <c r="C807" s="6" t="s">
        <v>1573</v>
      </c>
      <c r="D807" s="6" t="s">
        <v>1585</v>
      </c>
    </row>
    <row r="808" ht="22" customHeight="1" spans="1:4">
      <c r="A808" s="6" t="s">
        <v>1601</v>
      </c>
      <c r="B808" s="6" t="s">
        <v>2657</v>
      </c>
      <c r="C808" s="6" t="s">
        <v>1605</v>
      </c>
      <c r="D808" s="6" t="s">
        <v>1933</v>
      </c>
    </row>
    <row r="809" ht="22" customHeight="1" spans="1:4">
      <c r="A809" s="6" t="s">
        <v>1601</v>
      </c>
      <c r="B809" s="6" t="s">
        <v>2658</v>
      </c>
      <c r="C809" s="6" t="s">
        <v>1573</v>
      </c>
      <c r="D809" s="6" t="s">
        <v>1623</v>
      </c>
    </row>
    <row r="810" ht="22" customHeight="1" spans="1:4">
      <c r="A810" s="6" t="s">
        <v>1601</v>
      </c>
      <c r="B810" s="6" t="s">
        <v>2659</v>
      </c>
      <c r="C810" s="6" t="s">
        <v>1605</v>
      </c>
      <c r="D810" s="6" t="s">
        <v>923</v>
      </c>
    </row>
    <row r="811" ht="22" customHeight="1" spans="1:4">
      <c r="A811" s="6" t="s">
        <v>1601</v>
      </c>
      <c r="B811" s="6" t="s">
        <v>2660</v>
      </c>
      <c r="C811" s="6" t="s">
        <v>1605</v>
      </c>
      <c r="D811" s="6" t="s">
        <v>1699</v>
      </c>
    </row>
    <row r="812" ht="22" customHeight="1" spans="1:4">
      <c r="A812" s="6" t="s">
        <v>1601</v>
      </c>
      <c r="B812" s="6" t="s">
        <v>2661</v>
      </c>
      <c r="C812" s="6" t="s">
        <v>1605</v>
      </c>
      <c r="D812" s="6" t="s">
        <v>1783</v>
      </c>
    </row>
    <row r="813" ht="22" customHeight="1" spans="1:4">
      <c r="A813" s="6" t="s">
        <v>1601</v>
      </c>
      <c r="B813" s="6" t="s">
        <v>2662</v>
      </c>
      <c r="C813" s="6" t="s">
        <v>1599</v>
      </c>
      <c r="D813" s="6" t="s">
        <v>2663</v>
      </c>
    </row>
    <row r="814" ht="22" customHeight="1" spans="1:4">
      <c r="A814" s="6" t="s">
        <v>1601</v>
      </c>
      <c r="B814" s="6" t="s">
        <v>2664</v>
      </c>
      <c r="C814" s="6" t="s">
        <v>1605</v>
      </c>
      <c r="D814" s="6" t="s">
        <v>1606</v>
      </c>
    </row>
    <row r="815" ht="22" customHeight="1" spans="1:4">
      <c r="A815" s="6" t="s">
        <v>1601</v>
      </c>
      <c r="B815" s="6" t="s">
        <v>2665</v>
      </c>
      <c r="C815" s="6" t="s">
        <v>1605</v>
      </c>
      <c r="D815" s="6" t="s">
        <v>1649</v>
      </c>
    </row>
    <row r="816" ht="22" customHeight="1" spans="1:4">
      <c r="A816" s="6" t="s">
        <v>1601</v>
      </c>
      <c r="B816" s="6" t="s">
        <v>2666</v>
      </c>
      <c r="C816" s="6" t="s">
        <v>1599</v>
      </c>
      <c r="D816" s="6" t="s">
        <v>2667</v>
      </c>
    </row>
    <row r="817" ht="22" customHeight="1" spans="1:4">
      <c r="A817" s="6" t="s">
        <v>1601</v>
      </c>
      <c r="B817" s="6" t="s">
        <v>2668</v>
      </c>
      <c r="C817" s="6" t="s">
        <v>1573</v>
      </c>
      <c r="D817" s="6" t="s">
        <v>1623</v>
      </c>
    </row>
    <row r="818" ht="22" customHeight="1" spans="1:4">
      <c r="A818" s="6" t="s">
        <v>1601</v>
      </c>
      <c r="B818" s="6" t="s">
        <v>2669</v>
      </c>
      <c r="C818" s="6" t="s">
        <v>1573</v>
      </c>
      <c r="D818" s="6" t="s">
        <v>1706</v>
      </c>
    </row>
    <row r="819" ht="22" customHeight="1" spans="1:4">
      <c r="A819" s="6" t="s">
        <v>1601</v>
      </c>
      <c r="B819" s="6" t="s">
        <v>2670</v>
      </c>
      <c r="C819" s="6" t="s">
        <v>1599</v>
      </c>
      <c r="D819" s="6" t="s">
        <v>2671</v>
      </c>
    </row>
    <row r="820" ht="22" customHeight="1" spans="1:4">
      <c r="A820" s="6" t="s">
        <v>1601</v>
      </c>
      <c r="B820" s="6" t="s">
        <v>2672</v>
      </c>
      <c r="C820" s="6" t="s">
        <v>1570</v>
      </c>
      <c r="D820" s="6" t="s">
        <v>1571</v>
      </c>
    </row>
    <row r="821" ht="22" customHeight="1" spans="1:4">
      <c r="A821" s="6" t="s">
        <v>1601</v>
      </c>
      <c r="B821" s="6" t="s">
        <v>2673</v>
      </c>
      <c r="C821" s="6" t="s">
        <v>1599</v>
      </c>
      <c r="D821" s="6" t="s">
        <v>2674</v>
      </c>
    </row>
    <row r="822" ht="22" customHeight="1" spans="1:4">
      <c r="A822" s="6" t="s">
        <v>1601</v>
      </c>
      <c r="B822" s="6" t="s">
        <v>2675</v>
      </c>
      <c r="C822" s="6" t="s">
        <v>1570</v>
      </c>
      <c r="D822" s="6" t="s">
        <v>1571</v>
      </c>
    </row>
    <row r="823" ht="22" customHeight="1" spans="1:4">
      <c r="A823" s="6" t="s">
        <v>1601</v>
      </c>
      <c r="B823" s="6" t="s">
        <v>2676</v>
      </c>
      <c r="C823" s="6" t="s">
        <v>1605</v>
      </c>
      <c r="D823" s="6" t="s">
        <v>1744</v>
      </c>
    </row>
    <row r="824" ht="22" customHeight="1" spans="1:4">
      <c r="A824" s="6" t="s">
        <v>1601</v>
      </c>
      <c r="B824" s="6" t="s">
        <v>2677</v>
      </c>
      <c r="C824" s="6" t="s">
        <v>1573</v>
      </c>
      <c r="D824" s="6" t="s">
        <v>493</v>
      </c>
    </row>
    <row r="825" ht="22" customHeight="1" spans="1:4">
      <c r="A825" s="6" t="s">
        <v>1601</v>
      </c>
      <c r="B825" s="6" t="s">
        <v>2678</v>
      </c>
      <c r="C825" s="6" t="s">
        <v>1573</v>
      </c>
      <c r="D825" s="6" t="s">
        <v>1725</v>
      </c>
    </row>
    <row r="826" ht="22" customHeight="1" spans="1:4">
      <c r="A826" s="6" t="s">
        <v>1601</v>
      </c>
      <c r="B826" s="6" t="s">
        <v>2679</v>
      </c>
      <c r="C826" s="6" t="s">
        <v>1599</v>
      </c>
      <c r="D826" s="6" t="s">
        <v>2680</v>
      </c>
    </row>
    <row r="827" ht="22" customHeight="1" spans="1:4">
      <c r="A827" s="6" t="s">
        <v>1601</v>
      </c>
      <c r="B827" s="6" t="s">
        <v>2681</v>
      </c>
      <c r="C827" s="6" t="s">
        <v>1599</v>
      </c>
      <c r="D827" s="6" t="s">
        <v>2546</v>
      </c>
    </row>
    <row r="828" ht="22" customHeight="1" spans="1:4">
      <c r="A828" s="6" t="s">
        <v>1601</v>
      </c>
      <c r="B828" s="6" t="s">
        <v>2682</v>
      </c>
      <c r="C828" s="6" t="s">
        <v>1599</v>
      </c>
      <c r="D828" s="6" t="s">
        <v>1769</v>
      </c>
    </row>
    <row r="829" ht="22" customHeight="1" spans="1:4">
      <c r="A829" s="6" t="s">
        <v>1601</v>
      </c>
      <c r="B829" s="6" t="s">
        <v>2683</v>
      </c>
      <c r="C829" s="6" t="s">
        <v>1573</v>
      </c>
      <c r="D829" s="6" t="s">
        <v>1725</v>
      </c>
    </row>
    <row r="830" ht="22" customHeight="1" spans="1:4">
      <c r="A830" s="6" t="s">
        <v>1601</v>
      </c>
      <c r="B830" s="6" t="s">
        <v>2684</v>
      </c>
      <c r="C830" s="6" t="s">
        <v>1573</v>
      </c>
      <c r="D830" s="6" t="s">
        <v>1727</v>
      </c>
    </row>
    <row r="831" ht="22" customHeight="1" spans="1:4">
      <c r="A831" s="6" t="s">
        <v>1601</v>
      </c>
      <c r="B831" s="6" t="s">
        <v>2685</v>
      </c>
      <c r="C831" s="6" t="s">
        <v>1573</v>
      </c>
      <c r="D831" s="6" t="s">
        <v>1773</v>
      </c>
    </row>
    <row r="832" ht="22" customHeight="1" spans="1:4">
      <c r="A832" s="6" t="s">
        <v>1601</v>
      </c>
      <c r="B832" s="6" t="s">
        <v>2686</v>
      </c>
      <c r="C832" s="6" t="s">
        <v>1573</v>
      </c>
      <c r="D832" s="6" t="s">
        <v>2687</v>
      </c>
    </row>
    <row r="833" ht="22" customHeight="1" spans="1:4">
      <c r="A833" s="6" t="s">
        <v>1601</v>
      </c>
      <c r="B833" s="6" t="s">
        <v>2688</v>
      </c>
      <c r="C833" s="6" t="s">
        <v>1573</v>
      </c>
      <c r="D833" s="6" t="s">
        <v>921</v>
      </c>
    </row>
    <row r="834" ht="22" customHeight="1" spans="1:4">
      <c r="A834" s="6" t="s">
        <v>1601</v>
      </c>
      <c r="B834" s="6" t="s">
        <v>2689</v>
      </c>
      <c r="C834" s="6" t="s">
        <v>1605</v>
      </c>
      <c r="D834" s="6" t="s">
        <v>1895</v>
      </c>
    </row>
    <row r="835" ht="22" customHeight="1" spans="1:4">
      <c r="A835" s="6" t="s">
        <v>1601</v>
      </c>
      <c r="B835" s="6" t="s">
        <v>2690</v>
      </c>
      <c r="C835" s="6" t="s">
        <v>1573</v>
      </c>
      <c r="D835" s="6" t="s">
        <v>275</v>
      </c>
    </row>
    <row r="836" ht="22" customHeight="1" spans="1:4">
      <c r="A836" s="6" t="s">
        <v>1601</v>
      </c>
      <c r="B836" s="6" t="s">
        <v>2691</v>
      </c>
      <c r="C836" s="6" t="s">
        <v>1605</v>
      </c>
      <c r="D836" s="6" t="s">
        <v>1691</v>
      </c>
    </row>
    <row r="837" ht="22" customHeight="1" spans="1:4">
      <c r="A837" s="6" t="s">
        <v>1601</v>
      </c>
      <c r="B837" s="6" t="s">
        <v>2692</v>
      </c>
      <c r="C837" s="6" t="s">
        <v>1605</v>
      </c>
      <c r="D837" s="6" t="s">
        <v>1699</v>
      </c>
    </row>
    <row r="838" ht="22" customHeight="1" spans="1:4">
      <c r="A838" s="6" t="s">
        <v>1601</v>
      </c>
      <c r="B838" s="6" t="s">
        <v>2693</v>
      </c>
      <c r="C838" s="6" t="s">
        <v>1605</v>
      </c>
      <c r="D838" s="6" t="s">
        <v>1783</v>
      </c>
    </row>
    <row r="839" ht="22" customHeight="1" spans="1:4">
      <c r="A839" s="6" t="s">
        <v>1601</v>
      </c>
      <c r="B839" s="6" t="s">
        <v>2694</v>
      </c>
      <c r="C839" s="6" t="s">
        <v>1599</v>
      </c>
      <c r="D839" s="6" t="s">
        <v>2695</v>
      </c>
    </row>
    <row r="840" ht="22" customHeight="1" spans="1:4">
      <c r="A840" s="6" t="s">
        <v>1601</v>
      </c>
      <c r="B840" s="6" t="s">
        <v>2696</v>
      </c>
      <c r="C840" s="6" t="s">
        <v>1714</v>
      </c>
      <c r="D840" s="6" t="s">
        <v>1715</v>
      </c>
    </row>
    <row r="841" ht="22" customHeight="1" spans="1:4">
      <c r="A841" s="6" t="s">
        <v>1601</v>
      </c>
      <c r="B841" s="6" t="s">
        <v>2697</v>
      </c>
      <c r="C841" s="6" t="s">
        <v>1599</v>
      </c>
      <c r="D841" s="6" t="s">
        <v>2698</v>
      </c>
    </row>
    <row r="842" ht="22" customHeight="1" spans="1:4">
      <c r="A842" s="6" t="s">
        <v>1601</v>
      </c>
      <c r="B842" s="6" t="s">
        <v>2699</v>
      </c>
      <c r="C842" s="6" t="s">
        <v>1573</v>
      </c>
      <c r="D842" s="6" t="s">
        <v>1623</v>
      </c>
    </row>
    <row r="843" ht="22" customHeight="1" spans="1:4">
      <c r="A843" s="6" t="s">
        <v>1601</v>
      </c>
      <c r="B843" s="6" t="s">
        <v>2700</v>
      </c>
      <c r="C843" s="6" t="s">
        <v>1573</v>
      </c>
      <c r="D843" s="6" t="s">
        <v>1706</v>
      </c>
    </row>
    <row r="844" ht="22" customHeight="1" spans="1:4">
      <c r="A844" s="6" t="s">
        <v>1601</v>
      </c>
      <c r="B844" s="6" t="s">
        <v>2701</v>
      </c>
      <c r="C844" s="6" t="s">
        <v>1605</v>
      </c>
      <c r="D844" s="6" t="s">
        <v>909</v>
      </c>
    </row>
    <row r="845" ht="22" customHeight="1" spans="1:4">
      <c r="A845" s="6" t="s">
        <v>1601</v>
      </c>
      <c r="B845" s="6" t="s">
        <v>2702</v>
      </c>
      <c r="C845" s="6" t="s">
        <v>1573</v>
      </c>
      <c r="D845" s="6" t="s">
        <v>921</v>
      </c>
    </row>
    <row r="846" ht="22" customHeight="1" spans="1:4">
      <c r="A846" s="6" t="s">
        <v>1601</v>
      </c>
      <c r="B846" s="6" t="s">
        <v>2703</v>
      </c>
      <c r="C846" s="6" t="s">
        <v>1599</v>
      </c>
      <c r="D846" s="6" t="s">
        <v>2704</v>
      </c>
    </row>
    <row r="847" ht="22" customHeight="1" spans="1:4">
      <c r="A847" s="6" t="s">
        <v>1601</v>
      </c>
      <c r="B847" s="6" t="s">
        <v>2705</v>
      </c>
      <c r="C847" s="6" t="s">
        <v>1570</v>
      </c>
      <c r="D847" s="6" t="s">
        <v>1571</v>
      </c>
    </row>
    <row r="848" ht="22" customHeight="1" spans="1:4">
      <c r="A848" s="6" t="s">
        <v>1601</v>
      </c>
      <c r="B848" s="6" t="s">
        <v>2706</v>
      </c>
      <c r="C848" s="6" t="s">
        <v>1599</v>
      </c>
      <c r="D848" s="6" t="s">
        <v>2707</v>
      </c>
    </row>
    <row r="849" ht="22" customHeight="1" spans="1:4">
      <c r="A849" s="6" t="s">
        <v>1601</v>
      </c>
      <c r="B849" s="6" t="s">
        <v>2708</v>
      </c>
      <c r="C849" s="6" t="s">
        <v>1570</v>
      </c>
      <c r="D849" s="6" t="s">
        <v>1571</v>
      </c>
    </row>
    <row r="850" ht="22" customHeight="1" spans="1:4">
      <c r="A850" s="6" t="s">
        <v>1601</v>
      </c>
      <c r="B850" s="6" t="s">
        <v>2709</v>
      </c>
      <c r="C850" s="6" t="s">
        <v>1605</v>
      </c>
      <c r="D850" s="6" t="s">
        <v>1659</v>
      </c>
    </row>
    <row r="851" ht="22" customHeight="1" spans="1:4">
      <c r="A851" s="6" t="s">
        <v>1601</v>
      </c>
      <c r="B851" s="6" t="s">
        <v>2710</v>
      </c>
      <c r="C851" s="6" t="s">
        <v>1573</v>
      </c>
      <c r="D851" s="6" t="s">
        <v>275</v>
      </c>
    </row>
    <row r="852" ht="22" customHeight="1" spans="1:4">
      <c r="A852" s="6" t="s">
        <v>1601</v>
      </c>
      <c r="B852" s="6" t="s">
        <v>2711</v>
      </c>
      <c r="C852" s="6" t="s">
        <v>1599</v>
      </c>
      <c r="D852" s="6" t="s">
        <v>2712</v>
      </c>
    </row>
    <row r="853" ht="22" customHeight="1" spans="1:4">
      <c r="A853" s="6" t="s">
        <v>1601</v>
      </c>
      <c r="B853" s="6" t="s">
        <v>2713</v>
      </c>
      <c r="C853" s="6" t="s">
        <v>1599</v>
      </c>
      <c r="D853" s="6" t="s">
        <v>2546</v>
      </c>
    </row>
    <row r="854" ht="22" customHeight="1" spans="1:4">
      <c r="A854" s="6" t="s">
        <v>1601</v>
      </c>
      <c r="B854" s="6" t="s">
        <v>2714</v>
      </c>
      <c r="C854" s="6" t="s">
        <v>1599</v>
      </c>
      <c r="D854" s="6" t="s">
        <v>1621</v>
      </c>
    </row>
    <row r="855" ht="22" customHeight="1" spans="1:4">
      <c r="A855" s="6" t="s">
        <v>1601</v>
      </c>
      <c r="B855" s="6" t="s">
        <v>2715</v>
      </c>
      <c r="C855" s="6" t="s">
        <v>1573</v>
      </c>
      <c r="D855" s="6" t="s">
        <v>1725</v>
      </c>
    </row>
    <row r="856" ht="22" customHeight="1" spans="1:4">
      <c r="A856" s="6" t="s">
        <v>1601</v>
      </c>
      <c r="B856" s="6" t="s">
        <v>2716</v>
      </c>
      <c r="C856" s="6" t="s">
        <v>1573</v>
      </c>
      <c r="D856" s="6" t="s">
        <v>1727</v>
      </c>
    </row>
    <row r="857" ht="22" customHeight="1" spans="1:4">
      <c r="A857" s="6" t="s">
        <v>1601</v>
      </c>
      <c r="B857" s="6" t="s">
        <v>2717</v>
      </c>
      <c r="C857" s="6" t="s">
        <v>1573</v>
      </c>
      <c r="D857" s="6" t="s">
        <v>2718</v>
      </c>
    </row>
    <row r="858" ht="22" customHeight="1" spans="1:4">
      <c r="A858" s="6" t="s">
        <v>1601</v>
      </c>
      <c r="B858" s="6" t="s">
        <v>2719</v>
      </c>
      <c r="C858" s="6" t="s">
        <v>1573</v>
      </c>
      <c r="D858" s="6" t="s">
        <v>1811</v>
      </c>
    </row>
    <row r="859" ht="22" customHeight="1" spans="1:4">
      <c r="A859" s="6" t="s">
        <v>1601</v>
      </c>
      <c r="B859" s="6" t="s">
        <v>2720</v>
      </c>
      <c r="C859" s="6" t="s">
        <v>1573</v>
      </c>
      <c r="D859" s="6" t="s">
        <v>493</v>
      </c>
    </row>
    <row r="860" ht="22" customHeight="1" spans="1:4">
      <c r="A860" s="6" t="s">
        <v>1601</v>
      </c>
      <c r="B860" s="6" t="s">
        <v>2721</v>
      </c>
      <c r="C860" s="6" t="s">
        <v>1605</v>
      </c>
      <c r="D860" s="6" t="s">
        <v>2055</v>
      </c>
    </row>
    <row r="861" ht="22" customHeight="1" spans="1:4">
      <c r="A861" s="6" t="s">
        <v>1601</v>
      </c>
      <c r="B861" s="6" t="s">
        <v>2722</v>
      </c>
      <c r="C861" s="6" t="s">
        <v>1573</v>
      </c>
      <c r="D861" s="6" t="s">
        <v>275</v>
      </c>
    </row>
    <row r="862" ht="22" customHeight="1" spans="1:4">
      <c r="A862" s="6" t="s">
        <v>1601</v>
      </c>
      <c r="B862" s="6" t="s">
        <v>2723</v>
      </c>
      <c r="C862" s="6" t="s">
        <v>1605</v>
      </c>
      <c r="D862" s="6" t="s">
        <v>1634</v>
      </c>
    </row>
    <row r="863" ht="22" customHeight="1" spans="1:4">
      <c r="A863" s="6" t="s">
        <v>1601</v>
      </c>
      <c r="B863" s="6" t="s">
        <v>2724</v>
      </c>
      <c r="C863" s="6" t="s">
        <v>1605</v>
      </c>
      <c r="D863" s="6" t="s">
        <v>1699</v>
      </c>
    </row>
    <row r="864" ht="22" customHeight="1" spans="1:4">
      <c r="A864" s="6" t="s">
        <v>1601</v>
      </c>
      <c r="B864" s="6" t="s">
        <v>2725</v>
      </c>
      <c r="C864" s="6" t="s">
        <v>1605</v>
      </c>
      <c r="D864" s="6" t="s">
        <v>1783</v>
      </c>
    </row>
    <row r="865" ht="22" customHeight="1" spans="1:4">
      <c r="A865" s="6" t="s">
        <v>1601</v>
      </c>
      <c r="B865" s="6" t="s">
        <v>2726</v>
      </c>
      <c r="C865" s="6" t="s">
        <v>1599</v>
      </c>
      <c r="D865" s="6" t="s">
        <v>2727</v>
      </c>
    </row>
    <row r="866" ht="22" customHeight="1" spans="1:4">
      <c r="A866" s="6" t="s">
        <v>1601</v>
      </c>
      <c r="B866" s="6" t="s">
        <v>2728</v>
      </c>
      <c r="C866" s="6" t="s">
        <v>1573</v>
      </c>
      <c r="D866" s="6" t="s">
        <v>463</v>
      </c>
    </row>
    <row r="867" ht="22" customHeight="1" spans="1:4">
      <c r="A867" s="6" t="s">
        <v>1601</v>
      </c>
      <c r="B867" s="6" t="s">
        <v>2729</v>
      </c>
      <c r="C867" s="6" t="s">
        <v>1605</v>
      </c>
      <c r="D867" s="6" t="s">
        <v>1701</v>
      </c>
    </row>
    <row r="868" ht="22" customHeight="1" spans="1:4">
      <c r="A868" s="6" t="s">
        <v>1601</v>
      </c>
      <c r="B868" s="6" t="s">
        <v>2730</v>
      </c>
      <c r="C868" s="6" t="s">
        <v>1599</v>
      </c>
      <c r="D868" s="6" t="s">
        <v>2731</v>
      </c>
    </row>
    <row r="869" ht="22" customHeight="1" spans="1:4">
      <c r="A869" s="6" t="s">
        <v>1601</v>
      </c>
      <c r="B869" s="6" t="s">
        <v>2732</v>
      </c>
      <c r="C869" s="6" t="s">
        <v>1573</v>
      </c>
      <c r="D869" s="6" t="s">
        <v>1623</v>
      </c>
    </row>
    <row r="870" ht="22" customHeight="1" spans="1:4">
      <c r="A870" s="6" t="s">
        <v>1601</v>
      </c>
      <c r="B870" s="6" t="s">
        <v>2733</v>
      </c>
      <c r="C870" s="6" t="s">
        <v>1573</v>
      </c>
      <c r="D870" s="6" t="s">
        <v>1706</v>
      </c>
    </row>
    <row r="871" ht="22" customHeight="1" spans="1:4">
      <c r="A871" s="6" t="s">
        <v>1601</v>
      </c>
      <c r="B871" s="6" t="s">
        <v>2734</v>
      </c>
      <c r="C871" s="6" t="s">
        <v>1599</v>
      </c>
      <c r="D871" s="6" t="s">
        <v>2735</v>
      </c>
    </row>
    <row r="872" ht="22" customHeight="1" spans="1:4">
      <c r="A872" s="6" t="s">
        <v>1601</v>
      </c>
      <c r="B872" s="6" t="s">
        <v>2736</v>
      </c>
      <c r="C872" s="6" t="s">
        <v>1570</v>
      </c>
      <c r="D872" s="6" t="s">
        <v>1571</v>
      </c>
    </row>
    <row r="873" ht="22" customHeight="1" spans="1:4">
      <c r="A873" s="6" t="s">
        <v>1601</v>
      </c>
      <c r="B873" s="6" t="s">
        <v>2737</v>
      </c>
      <c r="C873" s="6" t="s">
        <v>1599</v>
      </c>
      <c r="D873" s="6" t="s">
        <v>2738</v>
      </c>
    </row>
    <row r="874" ht="22" customHeight="1" spans="1:4">
      <c r="A874" s="6" t="s">
        <v>1601</v>
      </c>
      <c r="B874" s="6" t="s">
        <v>2739</v>
      </c>
      <c r="C874" s="6" t="s">
        <v>1576</v>
      </c>
      <c r="D874" s="6" t="s">
        <v>1571</v>
      </c>
    </row>
    <row r="875" ht="22" customHeight="1" spans="1:4">
      <c r="A875" s="6" t="s">
        <v>1601</v>
      </c>
      <c r="B875" s="6" t="s">
        <v>2740</v>
      </c>
      <c r="C875" s="6" t="s">
        <v>1599</v>
      </c>
      <c r="D875" s="6" t="s">
        <v>1661</v>
      </c>
    </row>
    <row r="876" ht="22" customHeight="1" spans="1:4">
      <c r="A876" s="6" t="s">
        <v>1601</v>
      </c>
      <c r="B876" s="6" t="s">
        <v>2741</v>
      </c>
      <c r="C876" s="6" t="s">
        <v>1599</v>
      </c>
      <c r="D876" s="6" t="s">
        <v>1655</v>
      </c>
    </row>
    <row r="877" ht="22" customHeight="1" spans="1:4">
      <c r="A877" s="6" t="s">
        <v>1601</v>
      </c>
      <c r="B877" s="6" t="s">
        <v>2742</v>
      </c>
      <c r="C877" s="6" t="s">
        <v>1599</v>
      </c>
      <c r="D877" s="6" t="s">
        <v>1653</v>
      </c>
    </row>
    <row r="878" ht="22" customHeight="1" spans="1:4">
      <c r="A878" s="6" t="s">
        <v>1601</v>
      </c>
      <c r="B878" s="6" t="s">
        <v>2743</v>
      </c>
      <c r="C878" s="6" t="s">
        <v>1570</v>
      </c>
      <c r="D878" s="6" t="s">
        <v>1571</v>
      </c>
    </row>
    <row r="879" ht="22" customHeight="1" spans="1:4">
      <c r="A879" s="6" t="s">
        <v>1601</v>
      </c>
      <c r="B879" s="6" t="s">
        <v>2744</v>
      </c>
      <c r="C879" s="6" t="s">
        <v>1605</v>
      </c>
      <c r="D879" s="6" t="s">
        <v>1659</v>
      </c>
    </row>
    <row r="880" ht="22" customHeight="1" spans="1:4">
      <c r="A880" s="6" t="s">
        <v>1601</v>
      </c>
      <c r="B880" s="6" t="s">
        <v>2745</v>
      </c>
      <c r="C880" s="6" t="s">
        <v>1573</v>
      </c>
      <c r="D880" s="6" t="s">
        <v>1593</v>
      </c>
    </row>
    <row r="881" ht="22" customHeight="1" spans="1:4">
      <c r="A881" s="6" t="s">
        <v>1601</v>
      </c>
      <c r="B881" s="6" t="s">
        <v>2746</v>
      </c>
      <c r="C881" s="6" t="s">
        <v>1599</v>
      </c>
      <c r="D881" s="6" t="s">
        <v>2747</v>
      </c>
    </row>
    <row r="882" ht="22" customHeight="1" spans="1:4">
      <c r="A882" s="6" t="s">
        <v>1601</v>
      </c>
      <c r="B882" s="6" t="s">
        <v>2748</v>
      </c>
      <c r="C882" s="6" t="s">
        <v>1599</v>
      </c>
      <c r="D882" s="6" t="s">
        <v>2546</v>
      </c>
    </row>
    <row r="883" ht="22" customHeight="1" spans="1:4">
      <c r="A883" s="6" t="s">
        <v>1601</v>
      </c>
      <c r="B883" s="6" t="s">
        <v>2749</v>
      </c>
      <c r="C883" s="6" t="s">
        <v>1599</v>
      </c>
      <c r="D883" s="6" t="s">
        <v>1723</v>
      </c>
    </row>
    <row r="884" ht="22" customHeight="1" spans="1:4">
      <c r="A884" s="6" t="s">
        <v>1601</v>
      </c>
      <c r="B884" s="6" t="s">
        <v>2750</v>
      </c>
      <c r="C884" s="6" t="s">
        <v>1573</v>
      </c>
      <c r="D884" s="6" t="s">
        <v>1725</v>
      </c>
    </row>
    <row r="885" ht="22" customHeight="1" spans="1:4">
      <c r="A885" s="6" t="s">
        <v>1601</v>
      </c>
      <c r="B885" s="6" t="s">
        <v>2751</v>
      </c>
      <c r="C885" s="6" t="s">
        <v>1573</v>
      </c>
      <c r="D885" s="6" t="s">
        <v>1727</v>
      </c>
    </row>
    <row r="886" ht="22" customHeight="1" spans="1:4">
      <c r="A886" s="6" t="s">
        <v>1601</v>
      </c>
      <c r="B886" s="6" t="s">
        <v>2752</v>
      </c>
      <c r="C886" s="6" t="s">
        <v>1573</v>
      </c>
      <c r="D886" s="6" t="s">
        <v>2193</v>
      </c>
    </row>
    <row r="887" ht="22" customHeight="1" spans="1:4">
      <c r="A887" s="6" t="s">
        <v>1601</v>
      </c>
      <c r="B887" s="6" t="s">
        <v>2753</v>
      </c>
      <c r="C887" s="6" t="s">
        <v>1573</v>
      </c>
      <c r="D887" s="6" t="s">
        <v>1623</v>
      </c>
    </row>
    <row r="888" ht="22" customHeight="1" spans="1:4">
      <c r="A888" s="6" t="s">
        <v>1601</v>
      </c>
      <c r="B888" s="6" t="s">
        <v>2754</v>
      </c>
      <c r="C888" s="6" t="s">
        <v>1573</v>
      </c>
      <c r="D888" s="6" t="s">
        <v>1580</v>
      </c>
    </row>
    <row r="889" ht="22" customHeight="1" spans="1:4">
      <c r="A889" s="6" t="s">
        <v>1601</v>
      </c>
      <c r="B889" s="6" t="s">
        <v>2755</v>
      </c>
      <c r="C889" s="6" t="s">
        <v>1605</v>
      </c>
      <c r="D889" s="6" t="s">
        <v>2756</v>
      </c>
    </row>
    <row r="890" ht="22" customHeight="1" spans="1:4">
      <c r="A890" s="6" t="s">
        <v>1601</v>
      </c>
      <c r="B890" s="6" t="s">
        <v>2757</v>
      </c>
      <c r="C890" s="6" t="s">
        <v>1573</v>
      </c>
      <c r="D890" s="6" t="s">
        <v>1623</v>
      </c>
    </row>
    <row r="891" ht="22" customHeight="1" spans="1:4">
      <c r="A891" s="6" t="s">
        <v>1601</v>
      </c>
      <c r="B891" s="6" t="s">
        <v>2758</v>
      </c>
      <c r="C891" s="6" t="s">
        <v>1605</v>
      </c>
      <c r="D891" s="6" t="s">
        <v>2483</v>
      </c>
    </row>
    <row r="892" ht="22" customHeight="1" spans="1:4">
      <c r="A892" s="6" t="s">
        <v>1601</v>
      </c>
      <c r="B892" s="6" t="s">
        <v>2759</v>
      </c>
      <c r="C892" s="6" t="s">
        <v>1605</v>
      </c>
      <c r="D892" s="6" t="s">
        <v>2756</v>
      </c>
    </row>
    <row r="893" ht="22" customHeight="1" spans="1:4">
      <c r="A893" s="6" t="s">
        <v>1601</v>
      </c>
      <c r="B893" s="6" t="s">
        <v>2760</v>
      </c>
      <c r="C893" s="6" t="s">
        <v>1605</v>
      </c>
      <c r="D893" s="6" t="s">
        <v>1649</v>
      </c>
    </row>
    <row r="894" ht="22" customHeight="1" spans="1:4">
      <c r="A894" s="6" t="s">
        <v>1601</v>
      </c>
      <c r="B894" s="6" t="s">
        <v>2761</v>
      </c>
      <c r="C894" s="6" t="s">
        <v>1599</v>
      </c>
      <c r="D894" s="6" t="s">
        <v>2762</v>
      </c>
    </row>
    <row r="895" ht="22" customHeight="1" spans="1:4">
      <c r="A895" s="6" t="s">
        <v>1601</v>
      </c>
      <c r="B895" s="6" t="s">
        <v>2763</v>
      </c>
      <c r="C895" s="6" t="s">
        <v>1599</v>
      </c>
      <c r="D895" s="6" t="s">
        <v>2764</v>
      </c>
    </row>
    <row r="896" ht="22" customHeight="1" spans="1:4">
      <c r="A896" s="6" t="s">
        <v>1601</v>
      </c>
      <c r="B896" s="6" t="s">
        <v>2765</v>
      </c>
      <c r="C896" s="6" t="s">
        <v>1573</v>
      </c>
      <c r="D896" s="6" t="s">
        <v>1623</v>
      </c>
    </row>
    <row r="897" ht="22" customHeight="1" spans="1:4">
      <c r="A897" s="6" t="s">
        <v>1601</v>
      </c>
      <c r="B897" s="6" t="s">
        <v>2766</v>
      </c>
      <c r="C897" s="6" t="s">
        <v>1573</v>
      </c>
      <c r="D897" s="6" t="s">
        <v>1706</v>
      </c>
    </row>
    <row r="898" ht="22" customHeight="1" spans="1:4">
      <c r="A898" s="6" t="s">
        <v>1601</v>
      </c>
      <c r="B898" s="6" t="s">
        <v>2767</v>
      </c>
      <c r="C898" s="6" t="s">
        <v>1573</v>
      </c>
      <c r="D898" s="6" t="s">
        <v>921</v>
      </c>
    </row>
    <row r="899" ht="22" customHeight="1" spans="1:4">
      <c r="A899" s="6" t="s">
        <v>1601</v>
      </c>
      <c r="B899" s="6" t="s">
        <v>2768</v>
      </c>
      <c r="C899" s="6" t="s">
        <v>1573</v>
      </c>
      <c r="D899" s="6" t="s">
        <v>463</v>
      </c>
    </row>
    <row r="900" ht="22" customHeight="1" spans="1:4">
      <c r="A900" s="6" t="s">
        <v>1601</v>
      </c>
      <c r="B900" s="6" t="s">
        <v>2769</v>
      </c>
      <c r="C900" s="6" t="s">
        <v>1599</v>
      </c>
      <c r="D900" s="6" t="s">
        <v>2770</v>
      </c>
    </row>
    <row r="901" ht="22" customHeight="1" spans="1:4">
      <c r="A901" s="6" t="s">
        <v>1601</v>
      </c>
      <c r="B901" s="6" t="s">
        <v>2771</v>
      </c>
      <c r="C901" s="6" t="s">
        <v>1570</v>
      </c>
      <c r="D901" s="6" t="s">
        <v>1571</v>
      </c>
    </row>
    <row r="902" ht="22" customHeight="1" spans="1:4">
      <c r="A902" s="6" t="s">
        <v>1601</v>
      </c>
      <c r="B902" s="6" t="s">
        <v>2772</v>
      </c>
      <c r="C902" s="6" t="s">
        <v>1599</v>
      </c>
      <c r="D902" s="6" t="s">
        <v>2773</v>
      </c>
    </row>
    <row r="903" ht="22" customHeight="1" spans="1:4">
      <c r="A903" s="6" t="s">
        <v>1601</v>
      </c>
      <c r="B903" s="6" t="s">
        <v>2774</v>
      </c>
      <c r="C903" s="6" t="s">
        <v>1573</v>
      </c>
      <c r="D903" s="6" t="s">
        <v>463</v>
      </c>
    </row>
    <row r="904" ht="22" customHeight="1" spans="1:4">
      <c r="A904" s="6" t="s">
        <v>1601</v>
      </c>
      <c r="B904" s="6" t="s">
        <v>2775</v>
      </c>
      <c r="C904" s="6" t="s">
        <v>1570</v>
      </c>
      <c r="D904" s="6" t="s">
        <v>1571</v>
      </c>
    </row>
    <row r="905" ht="22" customHeight="1" spans="1:4">
      <c r="A905" s="6" t="s">
        <v>1601</v>
      </c>
      <c r="B905" s="6" t="s">
        <v>2776</v>
      </c>
      <c r="C905" s="6" t="s">
        <v>1573</v>
      </c>
      <c r="D905" s="6" t="s">
        <v>1593</v>
      </c>
    </row>
    <row r="906" ht="22" customHeight="1" spans="1:4">
      <c r="A906" s="6" t="s">
        <v>1601</v>
      </c>
      <c r="B906" s="6" t="s">
        <v>2777</v>
      </c>
      <c r="C906" s="6" t="s">
        <v>1605</v>
      </c>
      <c r="D906" s="6" t="s">
        <v>2385</v>
      </c>
    </row>
    <row r="907" ht="22" customHeight="1" spans="1:4">
      <c r="A907" s="6" t="s">
        <v>1601</v>
      </c>
      <c r="B907" s="6" t="s">
        <v>2778</v>
      </c>
      <c r="C907" s="6" t="s">
        <v>1599</v>
      </c>
      <c r="D907" s="6" t="s">
        <v>2779</v>
      </c>
    </row>
    <row r="908" ht="22" customHeight="1" spans="1:4">
      <c r="A908" s="6" t="s">
        <v>1601</v>
      </c>
      <c r="B908" s="6" t="s">
        <v>2780</v>
      </c>
      <c r="C908" s="6" t="s">
        <v>1599</v>
      </c>
      <c r="D908" s="6" t="s">
        <v>2546</v>
      </c>
    </row>
    <row r="909" ht="22" customHeight="1" spans="1:4">
      <c r="A909" s="6" t="s">
        <v>1601</v>
      </c>
      <c r="B909" s="6" t="s">
        <v>2781</v>
      </c>
      <c r="C909" s="6" t="s">
        <v>1599</v>
      </c>
      <c r="D909" s="6" t="s">
        <v>1621</v>
      </c>
    </row>
    <row r="910" ht="22" customHeight="1" spans="1:4">
      <c r="A910" s="6" t="s">
        <v>1601</v>
      </c>
      <c r="B910" s="6" t="s">
        <v>2782</v>
      </c>
      <c r="C910" s="6" t="s">
        <v>1573</v>
      </c>
      <c r="D910" s="6" t="s">
        <v>921</v>
      </c>
    </row>
    <row r="911" ht="22" customHeight="1" spans="1:4">
      <c r="A911" s="6" t="s">
        <v>1601</v>
      </c>
      <c r="B911" s="6" t="s">
        <v>2783</v>
      </c>
      <c r="C911" s="6" t="s">
        <v>1573</v>
      </c>
      <c r="D911" s="6" t="s">
        <v>1888</v>
      </c>
    </row>
    <row r="912" ht="22" customHeight="1" spans="1:4">
      <c r="A912" s="6" t="s">
        <v>1601</v>
      </c>
      <c r="B912" s="6" t="s">
        <v>2784</v>
      </c>
      <c r="C912" s="6" t="s">
        <v>1573</v>
      </c>
      <c r="D912" s="6" t="s">
        <v>1773</v>
      </c>
    </row>
    <row r="913" ht="22" customHeight="1" spans="1:4">
      <c r="A913" s="6" t="s">
        <v>1601</v>
      </c>
      <c r="B913" s="6" t="s">
        <v>2785</v>
      </c>
      <c r="C913" s="6" t="s">
        <v>1573</v>
      </c>
      <c r="D913" s="6" t="s">
        <v>2051</v>
      </c>
    </row>
    <row r="914" ht="22" customHeight="1" spans="1:4">
      <c r="A914" s="6" t="s">
        <v>1601</v>
      </c>
      <c r="B914" s="6" t="s">
        <v>2786</v>
      </c>
      <c r="C914" s="6" t="s">
        <v>1573</v>
      </c>
      <c r="D914" s="6" t="s">
        <v>2053</v>
      </c>
    </row>
    <row r="915" ht="22" customHeight="1" spans="1:4">
      <c r="A915" s="6" t="s">
        <v>1601</v>
      </c>
      <c r="B915" s="6" t="s">
        <v>2787</v>
      </c>
      <c r="C915" s="6" t="s">
        <v>1605</v>
      </c>
      <c r="D915" s="6" t="s">
        <v>2365</v>
      </c>
    </row>
    <row r="916" ht="22" customHeight="1" spans="1:4">
      <c r="A916" s="6" t="s">
        <v>1601</v>
      </c>
      <c r="B916" s="6" t="s">
        <v>2788</v>
      </c>
      <c r="C916" s="6" t="s">
        <v>1605</v>
      </c>
      <c r="D916" s="6" t="s">
        <v>1606</v>
      </c>
    </row>
    <row r="917" ht="22" customHeight="1" spans="1:4">
      <c r="A917" s="6" t="s">
        <v>1601</v>
      </c>
      <c r="B917" s="6" t="s">
        <v>2789</v>
      </c>
      <c r="C917" s="6" t="s">
        <v>1605</v>
      </c>
      <c r="D917" s="6" t="s">
        <v>1778</v>
      </c>
    </row>
    <row r="918" ht="22" customHeight="1" spans="1:4">
      <c r="A918" s="6" t="s">
        <v>1601</v>
      </c>
      <c r="B918" s="6" t="s">
        <v>2790</v>
      </c>
      <c r="C918" s="6" t="s">
        <v>1605</v>
      </c>
      <c r="D918" s="6" t="s">
        <v>2791</v>
      </c>
    </row>
    <row r="919" ht="22" customHeight="1" spans="1:4">
      <c r="A919" s="6" t="s">
        <v>1601</v>
      </c>
      <c r="B919" s="6" t="s">
        <v>2792</v>
      </c>
      <c r="C919" s="6" t="s">
        <v>1605</v>
      </c>
      <c r="D919" s="6" t="s">
        <v>2237</v>
      </c>
    </row>
    <row r="920" ht="22" customHeight="1" spans="1:4">
      <c r="A920" s="6" t="s">
        <v>1601</v>
      </c>
      <c r="B920" s="6" t="s">
        <v>2793</v>
      </c>
      <c r="C920" s="6" t="s">
        <v>1599</v>
      </c>
      <c r="D920" s="6" t="s">
        <v>2794</v>
      </c>
    </row>
    <row r="921" ht="22" customHeight="1" spans="1:4">
      <c r="A921" s="6" t="s">
        <v>1601</v>
      </c>
      <c r="B921" s="6" t="s">
        <v>2795</v>
      </c>
      <c r="C921" s="6" t="s">
        <v>1605</v>
      </c>
      <c r="D921" s="6" t="s">
        <v>1744</v>
      </c>
    </row>
    <row r="922" ht="22" customHeight="1" spans="1:4">
      <c r="A922" s="6" t="s">
        <v>1601</v>
      </c>
      <c r="B922" s="6" t="s">
        <v>2796</v>
      </c>
      <c r="C922" s="6" t="s">
        <v>1714</v>
      </c>
      <c r="D922" s="6" t="s">
        <v>1715</v>
      </c>
    </row>
    <row r="923" ht="22" customHeight="1" spans="1:4">
      <c r="A923" s="6" t="s">
        <v>1601</v>
      </c>
      <c r="B923" s="6" t="s">
        <v>2797</v>
      </c>
      <c r="C923" s="6" t="s">
        <v>1714</v>
      </c>
      <c r="D923" s="6" t="s">
        <v>1715</v>
      </c>
    </row>
    <row r="924" ht="22" customHeight="1" spans="1:4">
      <c r="A924" s="6" t="s">
        <v>1601</v>
      </c>
      <c r="B924" s="6" t="s">
        <v>2798</v>
      </c>
      <c r="C924" s="6" t="s">
        <v>1599</v>
      </c>
      <c r="D924" s="6" t="s">
        <v>2799</v>
      </c>
    </row>
    <row r="925" ht="22" customHeight="1" spans="1:4">
      <c r="A925" s="6" t="s">
        <v>1601</v>
      </c>
      <c r="B925" s="6" t="s">
        <v>2800</v>
      </c>
      <c r="C925" s="6" t="s">
        <v>1573</v>
      </c>
      <c r="D925" s="6" t="s">
        <v>1623</v>
      </c>
    </row>
    <row r="926" ht="22" customHeight="1" spans="1:4">
      <c r="A926" s="6" t="s">
        <v>1601</v>
      </c>
      <c r="B926" s="6" t="s">
        <v>2801</v>
      </c>
      <c r="C926" s="6" t="s">
        <v>1573</v>
      </c>
      <c r="D926" s="6" t="s">
        <v>1706</v>
      </c>
    </row>
    <row r="927" ht="22" customHeight="1" spans="1:4">
      <c r="A927" s="6" t="s">
        <v>1601</v>
      </c>
      <c r="B927" s="6" t="s">
        <v>2802</v>
      </c>
      <c r="C927" s="6" t="s">
        <v>1599</v>
      </c>
      <c r="D927" s="6" t="s">
        <v>1653</v>
      </c>
    </row>
    <row r="928" ht="22" customHeight="1" spans="1:4">
      <c r="A928" s="6" t="s">
        <v>1601</v>
      </c>
      <c r="B928" s="6" t="s">
        <v>2803</v>
      </c>
      <c r="C928" s="6" t="s">
        <v>1599</v>
      </c>
      <c r="D928" s="6" t="s">
        <v>1655</v>
      </c>
    </row>
    <row r="929" ht="22" customHeight="1" spans="1:4">
      <c r="A929" s="6" t="s">
        <v>1601</v>
      </c>
      <c r="B929" s="6" t="s">
        <v>2804</v>
      </c>
      <c r="C929" s="6" t="s">
        <v>1605</v>
      </c>
      <c r="D929" s="6" t="s">
        <v>1657</v>
      </c>
    </row>
    <row r="930" ht="22" customHeight="1" spans="1:4">
      <c r="A930" s="6" t="s">
        <v>1601</v>
      </c>
      <c r="B930" s="6" t="s">
        <v>2805</v>
      </c>
      <c r="C930" s="6" t="s">
        <v>1605</v>
      </c>
      <c r="D930" s="6" t="s">
        <v>1673</v>
      </c>
    </row>
    <row r="931" ht="22" customHeight="1" spans="1:4">
      <c r="A931" s="6" t="s">
        <v>1601</v>
      </c>
      <c r="B931" s="6" t="s">
        <v>2806</v>
      </c>
      <c r="C931" s="6" t="s">
        <v>1599</v>
      </c>
      <c r="D931" s="6" t="s">
        <v>1661</v>
      </c>
    </row>
    <row r="932" ht="22" customHeight="1" spans="1:4">
      <c r="A932" s="6" t="s">
        <v>1601</v>
      </c>
      <c r="B932" s="6" t="s">
        <v>2807</v>
      </c>
      <c r="C932" s="6" t="s">
        <v>1599</v>
      </c>
      <c r="D932" s="6" t="s">
        <v>2808</v>
      </c>
    </row>
    <row r="933" ht="22" customHeight="1" spans="1:4">
      <c r="A933" s="6" t="s">
        <v>1601</v>
      </c>
      <c r="B933" s="6" t="s">
        <v>2809</v>
      </c>
      <c r="C933" s="6" t="s">
        <v>1570</v>
      </c>
      <c r="D933" s="6" t="s">
        <v>1571</v>
      </c>
    </row>
    <row r="934" ht="22" customHeight="1" spans="1:4">
      <c r="A934" s="6" t="s">
        <v>1601</v>
      </c>
      <c r="B934" s="6" t="s">
        <v>2810</v>
      </c>
      <c r="C934" s="6" t="s">
        <v>1599</v>
      </c>
      <c r="D934" s="6" t="s">
        <v>2811</v>
      </c>
    </row>
    <row r="935" ht="22" customHeight="1" spans="1:4">
      <c r="A935" s="6" t="s">
        <v>1601</v>
      </c>
      <c r="B935" s="6" t="s">
        <v>2812</v>
      </c>
      <c r="C935" s="6" t="s">
        <v>1599</v>
      </c>
      <c r="D935" s="6" t="s">
        <v>2813</v>
      </c>
    </row>
    <row r="936" ht="22" customHeight="1" spans="1:4">
      <c r="A936" s="6" t="s">
        <v>1601</v>
      </c>
      <c r="B936" s="6" t="s">
        <v>2814</v>
      </c>
      <c r="C936" s="6" t="s">
        <v>1599</v>
      </c>
      <c r="D936" s="6" t="s">
        <v>2815</v>
      </c>
    </row>
    <row r="937" ht="22" customHeight="1" spans="1:4">
      <c r="A937" s="6" t="s">
        <v>1601</v>
      </c>
      <c r="B937" s="6" t="s">
        <v>2816</v>
      </c>
      <c r="C937" s="6" t="s">
        <v>1599</v>
      </c>
      <c r="D937" s="6" t="s">
        <v>2811</v>
      </c>
    </row>
    <row r="938" ht="22" customHeight="1" spans="1:4">
      <c r="A938" s="6" t="s">
        <v>1601</v>
      </c>
      <c r="B938" s="6" t="s">
        <v>2817</v>
      </c>
      <c r="C938" s="6" t="s">
        <v>1599</v>
      </c>
      <c r="D938" s="6" t="s">
        <v>2818</v>
      </c>
    </row>
    <row r="939" ht="22" customHeight="1" spans="1:4">
      <c r="A939" s="6" t="s">
        <v>1601</v>
      </c>
      <c r="B939" s="6" t="s">
        <v>2819</v>
      </c>
      <c r="C939" s="6" t="s">
        <v>1605</v>
      </c>
      <c r="D939" s="6" t="s">
        <v>2820</v>
      </c>
    </row>
    <row r="940" ht="22" customHeight="1" spans="1:4">
      <c r="A940" s="6" t="s">
        <v>1601</v>
      </c>
      <c r="B940" s="6" t="s">
        <v>2821</v>
      </c>
      <c r="C940" s="6" t="s">
        <v>1599</v>
      </c>
      <c r="D940" s="6" t="s">
        <v>1653</v>
      </c>
    </row>
    <row r="941" ht="22" customHeight="1" spans="1:4">
      <c r="A941" s="6" t="s">
        <v>1601</v>
      </c>
      <c r="B941" s="6" t="s">
        <v>2822</v>
      </c>
      <c r="C941" s="6" t="s">
        <v>1599</v>
      </c>
      <c r="D941" s="6" t="s">
        <v>1655</v>
      </c>
    </row>
    <row r="942" ht="22" customHeight="1" spans="1:4">
      <c r="A942" s="6" t="s">
        <v>1601</v>
      </c>
      <c r="B942" s="6" t="s">
        <v>2823</v>
      </c>
      <c r="C942" s="6" t="s">
        <v>1599</v>
      </c>
      <c r="D942" s="6" t="s">
        <v>1661</v>
      </c>
    </row>
    <row r="943" ht="22" customHeight="1" spans="1:4">
      <c r="A943" s="6" t="s">
        <v>1601</v>
      </c>
      <c r="B943" s="6" t="s">
        <v>2824</v>
      </c>
      <c r="C943" s="6" t="s">
        <v>1599</v>
      </c>
      <c r="D943" s="6" t="s">
        <v>1723</v>
      </c>
    </row>
    <row r="944" ht="22" customHeight="1" spans="1:4">
      <c r="A944" s="6" t="s">
        <v>1601</v>
      </c>
      <c r="B944" s="6" t="s">
        <v>2825</v>
      </c>
      <c r="C944" s="6" t="s">
        <v>1573</v>
      </c>
      <c r="D944" s="6" t="s">
        <v>1623</v>
      </c>
    </row>
    <row r="945" ht="22" customHeight="1" spans="1:4">
      <c r="A945" s="6" t="s">
        <v>1601</v>
      </c>
      <c r="B945" s="6" t="s">
        <v>2826</v>
      </c>
      <c r="C945" s="6" t="s">
        <v>1573</v>
      </c>
      <c r="D945" s="6" t="s">
        <v>1589</v>
      </c>
    </row>
    <row r="946" ht="22" customHeight="1" spans="1:4">
      <c r="A946" s="6" t="s">
        <v>1601</v>
      </c>
      <c r="B946" s="6" t="s">
        <v>2827</v>
      </c>
      <c r="C946" s="6" t="s">
        <v>1573</v>
      </c>
      <c r="D946" s="6" t="s">
        <v>2828</v>
      </c>
    </row>
    <row r="947" ht="22" customHeight="1" spans="1:4">
      <c r="A947" s="6" t="s">
        <v>1601</v>
      </c>
      <c r="B947" s="6" t="s">
        <v>2829</v>
      </c>
      <c r="C947" s="6" t="s">
        <v>1573</v>
      </c>
      <c r="D947" s="6" t="s">
        <v>1628</v>
      </c>
    </row>
    <row r="948" ht="22" customHeight="1" spans="1:4">
      <c r="A948" s="6" t="s">
        <v>1601</v>
      </c>
      <c r="B948" s="6" t="s">
        <v>2830</v>
      </c>
      <c r="C948" s="6" t="s">
        <v>1573</v>
      </c>
      <c r="D948" s="6" t="s">
        <v>2053</v>
      </c>
    </row>
    <row r="949" ht="22" customHeight="1" spans="1:4">
      <c r="A949" s="6" t="s">
        <v>1601</v>
      </c>
      <c r="B949" s="6" t="s">
        <v>2831</v>
      </c>
      <c r="C949" s="6" t="s">
        <v>1605</v>
      </c>
      <c r="D949" s="6" t="s">
        <v>1688</v>
      </c>
    </row>
    <row r="950" ht="22" customHeight="1" spans="1:4">
      <c r="A950" s="6" t="s">
        <v>1601</v>
      </c>
      <c r="B950" s="6" t="s">
        <v>2832</v>
      </c>
      <c r="C950" s="6" t="s">
        <v>1573</v>
      </c>
      <c r="D950" s="6" t="s">
        <v>1623</v>
      </c>
    </row>
    <row r="951" ht="22" customHeight="1" spans="1:4">
      <c r="A951" s="6" t="s">
        <v>1601</v>
      </c>
      <c r="B951" s="6" t="s">
        <v>2833</v>
      </c>
      <c r="C951" s="6" t="s">
        <v>1605</v>
      </c>
      <c r="D951" s="6" t="s">
        <v>923</v>
      </c>
    </row>
    <row r="952" ht="22" customHeight="1" spans="1:4">
      <c r="A952" s="6" t="s">
        <v>1601</v>
      </c>
      <c r="B952" s="6" t="s">
        <v>2834</v>
      </c>
      <c r="C952" s="6" t="s">
        <v>1605</v>
      </c>
      <c r="D952" s="6" t="s">
        <v>1636</v>
      </c>
    </row>
    <row r="953" ht="22" customHeight="1" spans="1:4">
      <c r="A953" s="6" t="s">
        <v>1601</v>
      </c>
      <c r="B953" s="6" t="s">
        <v>2835</v>
      </c>
      <c r="C953" s="6" t="s">
        <v>1605</v>
      </c>
      <c r="D953" s="6" t="s">
        <v>1606</v>
      </c>
    </row>
    <row r="954" ht="22" customHeight="1" spans="1:4">
      <c r="A954" s="6" t="s">
        <v>1601</v>
      </c>
      <c r="B954" s="6" t="s">
        <v>2836</v>
      </c>
      <c r="C954" s="6" t="s">
        <v>1599</v>
      </c>
      <c r="D954" s="6" t="s">
        <v>2837</v>
      </c>
    </row>
    <row r="955" ht="22" customHeight="1" spans="1:4">
      <c r="A955" s="6" t="s">
        <v>1601</v>
      </c>
      <c r="B955" s="6" t="s">
        <v>2838</v>
      </c>
      <c r="C955" s="6" t="s">
        <v>1605</v>
      </c>
      <c r="D955" s="6" t="s">
        <v>1744</v>
      </c>
    </row>
    <row r="956" ht="22" customHeight="1" spans="1:4">
      <c r="A956" s="6" t="s">
        <v>1601</v>
      </c>
      <c r="B956" s="6" t="s">
        <v>2839</v>
      </c>
      <c r="C956" s="6" t="s">
        <v>1570</v>
      </c>
      <c r="D956" s="6" t="s">
        <v>1571</v>
      </c>
    </row>
    <row r="957" ht="22" customHeight="1" spans="1:4">
      <c r="A957" s="6" t="s">
        <v>1601</v>
      </c>
      <c r="B957" s="6" t="s">
        <v>2840</v>
      </c>
      <c r="C957" s="6" t="s">
        <v>1605</v>
      </c>
      <c r="D957" s="6" t="s">
        <v>2385</v>
      </c>
    </row>
    <row r="958" ht="22" customHeight="1" spans="1:4">
      <c r="A958" s="6" t="s">
        <v>1601</v>
      </c>
      <c r="B958" s="6" t="s">
        <v>2841</v>
      </c>
      <c r="C958" s="6" t="s">
        <v>1570</v>
      </c>
      <c r="D958" s="6" t="s">
        <v>1571</v>
      </c>
    </row>
    <row r="959" ht="22" customHeight="1" spans="1:4">
      <c r="A959" s="6" t="s">
        <v>1601</v>
      </c>
      <c r="B959" s="6" t="s">
        <v>2842</v>
      </c>
      <c r="C959" s="6" t="s">
        <v>1599</v>
      </c>
      <c r="D959" s="6" t="s">
        <v>2843</v>
      </c>
    </row>
    <row r="960" ht="22" customHeight="1" spans="1:4">
      <c r="A960" s="6" t="s">
        <v>1601</v>
      </c>
      <c r="B960" s="6" t="s">
        <v>2844</v>
      </c>
      <c r="C960" s="6" t="s">
        <v>1599</v>
      </c>
      <c r="D960" s="6" t="s">
        <v>2845</v>
      </c>
    </row>
    <row r="961" ht="22" customHeight="1" spans="1:4">
      <c r="A961" s="6" t="s">
        <v>1601</v>
      </c>
      <c r="B961" s="6" t="s">
        <v>2846</v>
      </c>
      <c r="C961" s="6" t="s">
        <v>1599</v>
      </c>
      <c r="D961" s="6" t="s">
        <v>2847</v>
      </c>
    </row>
    <row r="962" ht="22" customHeight="1" spans="1:4">
      <c r="A962" s="6" t="s">
        <v>1601</v>
      </c>
      <c r="B962" s="6" t="s">
        <v>2848</v>
      </c>
      <c r="C962" s="6" t="s">
        <v>1599</v>
      </c>
      <c r="D962" s="6" t="s">
        <v>2811</v>
      </c>
    </row>
    <row r="963" ht="22" customHeight="1" spans="1:4">
      <c r="A963" s="6" t="s">
        <v>1601</v>
      </c>
      <c r="B963" s="6" t="s">
        <v>2849</v>
      </c>
      <c r="C963" s="6" t="s">
        <v>1599</v>
      </c>
      <c r="D963" s="6" t="s">
        <v>2850</v>
      </c>
    </row>
    <row r="964" ht="22" customHeight="1" spans="1:4">
      <c r="A964" s="6" t="s">
        <v>1601</v>
      </c>
      <c r="B964" s="6" t="s">
        <v>2851</v>
      </c>
      <c r="C964" s="6" t="s">
        <v>1605</v>
      </c>
      <c r="D964" s="6" t="s">
        <v>2852</v>
      </c>
    </row>
    <row r="965" ht="22" customHeight="1" spans="1:4">
      <c r="A965" s="6" t="s">
        <v>1601</v>
      </c>
      <c r="B965" s="6" t="s">
        <v>2853</v>
      </c>
      <c r="C965" s="6" t="s">
        <v>1599</v>
      </c>
      <c r="D965" s="6" t="s">
        <v>1653</v>
      </c>
    </row>
    <row r="966" ht="22" customHeight="1" spans="1:4">
      <c r="A966" s="6" t="s">
        <v>1601</v>
      </c>
      <c r="B966" s="6" t="s">
        <v>2854</v>
      </c>
      <c r="C966" s="6" t="s">
        <v>1599</v>
      </c>
      <c r="D966" s="6" t="s">
        <v>1655</v>
      </c>
    </row>
    <row r="967" ht="22" customHeight="1" spans="1:4">
      <c r="A967" s="6" t="s">
        <v>1601</v>
      </c>
      <c r="B967" s="6" t="s">
        <v>2855</v>
      </c>
      <c r="C967" s="6" t="s">
        <v>1599</v>
      </c>
      <c r="D967" s="6" t="s">
        <v>1661</v>
      </c>
    </row>
    <row r="968" ht="22" customHeight="1" spans="1:4">
      <c r="A968" s="6" t="s">
        <v>1601</v>
      </c>
      <c r="B968" s="6" t="s">
        <v>2856</v>
      </c>
      <c r="C968" s="6" t="s">
        <v>1599</v>
      </c>
      <c r="D968" s="6" t="s">
        <v>1621</v>
      </c>
    </row>
    <row r="969" ht="22" customHeight="1" spans="1:4">
      <c r="A969" s="6" t="s">
        <v>1601</v>
      </c>
      <c r="B969" s="6" t="s">
        <v>2857</v>
      </c>
      <c r="C969" s="6" t="s">
        <v>1573</v>
      </c>
      <c r="D969" s="6" t="s">
        <v>1623</v>
      </c>
    </row>
    <row r="970" ht="22" customHeight="1" spans="1:4">
      <c r="A970" s="6" t="s">
        <v>1601</v>
      </c>
      <c r="B970" s="6" t="s">
        <v>2858</v>
      </c>
      <c r="C970" s="6" t="s">
        <v>1573</v>
      </c>
      <c r="D970" s="6" t="s">
        <v>1589</v>
      </c>
    </row>
    <row r="971" ht="22" customHeight="1" spans="1:4">
      <c r="A971" s="6" t="s">
        <v>1601</v>
      </c>
      <c r="B971" s="6" t="s">
        <v>2859</v>
      </c>
      <c r="C971" s="6" t="s">
        <v>1573</v>
      </c>
      <c r="D971" s="6" t="s">
        <v>2860</v>
      </c>
    </row>
    <row r="972" ht="22" customHeight="1" spans="1:4">
      <c r="A972" s="6" t="s">
        <v>1601</v>
      </c>
      <c r="B972" s="6" t="s">
        <v>2861</v>
      </c>
      <c r="C972" s="6" t="s">
        <v>1573</v>
      </c>
      <c r="D972" s="6" t="s">
        <v>2862</v>
      </c>
    </row>
    <row r="973" ht="22" customHeight="1" spans="1:4">
      <c r="A973" s="6" t="s">
        <v>1601</v>
      </c>
      <c r="B973" s="6" t="s">
        <v>2863</v>
      </c>
      <c r="C973" s="6" t="s">
        <v>1573</v>
      </c>
      <c r="D973" s="6" t="s">
        <v>921</v>
      </c>
    </row>
    <row r="974" ht="22" customHeight="1" spans="1:4">
      <c r="A974" s="6" t="s">
        <v>1601</v>
      </c>
      <c r="B974" s="6" t="s">
        <v>2864</v>
      </c>
      <c r="C974" s="6" t="s">
        <v>1605</v>
      </c>
      <c r="D974" s="6" t="s">
        <v>1631</v>
      </c>
    </row>
    <row r="975" ht="22" customHeight="1" spans="1:4">
      <c r="A975" s="6" t="s">
        <v>1601</v>
      </c>
      <c r="B975" s="6" t="s">
        <v>2865</v>
      </c>
      <c r="C975" s="6" t="s">
        <v>1573</v>
      </c>
      <c r="D975" s="6" t="s">
        <v>1725</v>
      </c>
    </row>
    <row r="976" ht="22" customHeight="1" spans="1:4">
      <c r="A976" s="6" t="s">
        <v>1601</v>
      </c>
      <c r="B976" s="6" t="s">
        <v>2866</v>
      </c>
      <c r="C976" s="6" t="s">
        <v>1605</v>
      </c>
      <c r="D976" s="6" t="s">
        <v>1634</v>
      </c>
    </row>
    <row r="977" ht="22" customHeight="1" spans="1:4">
      <c r="A977" s="6" t="s">
        <v>1601</v>
      </c>
      <c r="B977" s="6" t="s">
        <v>2867</v>
      </c>
      <c r="C977" s="6" t="s">
        <v>1605</v>
      </c>
      <c r="D977" s="6" t="s">
        <v>1636</v>
      </c>
    </row>
    <row r="978" ht="22" customHeight="1" spans="1:4">
      <c r="A978" s="6" t="s">
        <v>1601</v>
      </c>
      <c r="B978" s="6" t="s">
        <v>2868</v>
      </c>
      <c r="C978" s="6" t="s">
        <v>1605</v>
      </c>
      <c r="D978" s="6" t="s">
        <v>1606</v>
      </c>
    </row>
    <row r="979" ht="22" customHeight="1" spans="1:4">
      <c r="A979" s="6" t="s">
        <v>1601</v>
      </c>
      <c r="B979" s="6" t="s">
        <v>2869</v>
      </c>
      <c r="C979" s="6" t="s">
        <v>1599</v>
      </c>
      <c r="D979" s="6" t="s">
        <v>2870</v>
      </c>
    </row>
    <row r="980" ht="22" customHeight="1" spans="1:4">
      <c r="A980" s="6" t="s">
        <v>1601</v>
      </c>
      <c r="B980" s="6" t="s">
        <v>2871</v>
      </c>
      <c r="C980" s="6" t="s">
        <v>1605</v>
      </c>
      <c r="D980" s="6" t="s">
        <v>2164</v>
      </c>
    </row>
    <row r="981" ht="22" customHeight="1" spans="1:4">
      <c r="A981" s="6" t="s">
        <v>1601</v>
      </c>
      <c r="B981" s="6" t="s">
        <v>2872</v>
      </c>
      <c r="C981" s="6" t="s">
        <v>1605</v>
      </c>
      <c r="D981" s="6" t="s">
        <v>1738</v>
      </c>
    </row>
    <row r="982" ht="22" customHeight="1" spans="1:4">
      <c r="A982" s="6" t="s">
        <v>1601</v>
      </c>
      <c r="B982" s="6" t="s">
        <v>2873</v>
      </c>
      <c r="C982" s="6" t="s">
        <v>1605</v>
      </c>
      <c r="D982" s="6" t="s">
        <v>1744</v>
      </c>
    </row>
    <row r="983" ht="22" customHeight="1" spans="1:4">
      <c r="A983" s="6" t="s">
        <v>1601</v>
      </c>
      <c r="B983" s="6" t="s">
        <v>2874</v>
      </c>
      <c r="C983" s="6" t="s">
        <v>1573</v>
      </c>
      <c r="D983" s="6" t="s">
        <v>1623</v>
      </c>
    </row>
    <row r="984" ht="22" customHeight="1" spans="1:4">
      <c r="A984" s="6" t="s">
        <v>1601</v>
      </c>
      <c r="B984" s="6" t="s">
        <v>2875</v>
      </c>
      <c r="C984" s="6" t="s">
        <v>1570</v>
      </c>
      <c r="D984" s="6" t="s">
        <v>1571</v>
      </c>
    </row>
    <row r="985" ht="22" customHeight="1" spans="1:4">
      <c r="A985" s="6" t="s">
        <v>1601</v>
      </c>
      <c r="B985" s="6" t="s">
        <v>2876</v>
      </c>
      <c r="C985" s="6" t="s">
        <v>1573</v>
      </c>
      <c r="D985" s="6" t="s">
        <v>1725</v>
      </c>
    </row>
    <row r="986" ht="22" customHeight="1" spans="1:4">
      <c r="A986" s="6" t="s">
        <v>1601</v>
      </c>
      <c r="B986" s="6" t="s">
        <v>2877</v>
      </c>
      <c r="C986" s="6" t="s">
        <v>1570</v>
      </c>
      <c r="D986" s="6" t="s">
        <v>1571</v>
      </c>
    </row>
    <row r="987" ht="22" customHeight="1" spans="1:4">
      <c r="A987" s="6" t="s">
        <v>1601</v>
      </c>
      <c r="B987" s="6" t="s">
        <v>2878</v>
      </c>
      <c r="C987" s="6" t="s">
        <v>1599</v>
      </c>
      <c r="D987" s="6" t="s">
        <v>2879</v>
      </c>
    </row>
    <row r="988" ht="22" customHeight="1" spans="1:4">
      <c r="A988" s="6" t="s">
        <v>1601</v>
      </c>
      <c r="B988" s="6" t="s">
        <v>2880</v>
      </c>
      <c r="C988" s="6" t="s">
        <v>1599</v>
      </c>
      <c r="D988" s="6" t="s">
        <v>2881</v>
      </c>
    </row>
    <row r="989" ht="22" customHeight="1" spans="1:4">
      <c r="A989" s="6" t="s">
        <v>1601</v>
      </c>
      <c r="B989" s="6" t="s">
        <v>2882</v>
      </c>
      <c r="C989" s="6" t="s">
        <v>1599</v>
      </c>
      <c r="D989" s="6" t="s">
        <v>2883</v>
      </c>
    </row>
    <row r="990" ht="22" customHeight="1" spans="1:4">
      <c r="A990" s="6" t="s">
        <v>1601</v>
      </c>
      <c r="B990" s="6" t="s">
        <v>2884</v>
      </c>
      <c r="C990" s="6" t="s">
        <v>1599</v>
      </c>
      <c r="D990" s="6" t="s">
        <v>2811</v>
      </c>
    </row>
    <row r="991" ht="22" customHeight="1" spans="1:4">
      <c r="A991" s="6" t="s">
        <v>1601</v>
      </c>
      <c r="B991" s="6" t="s">
        <v>2885</v>
      </c>
      <c r="C991" s="6" t="s">
        <v>1599</v>
      </c>
      <c r="D991" s="6" t="s">
        <v>2886</v>
      </c>
    </row>
    <row r="992" ht="22" customHeight="1" spans="1:4">
      <c r="A992" s="6" t="s">
        <v>1601</v>
      </c>
      <c r="B992" s="6" t="s">
        <v>2887</v>
      </c>
      <c r="C992" s="6" t="s">
        <v>1605</v>
      </c>
      <c r="D992" s="6" t="s">
        <v>2888</v>
      </c>
    </row>
    <row r="993" ht="22" customHeight="1" spans="1:4">
      <c r="A993" s="6" t="s">
        <v>1601</v>
      </c>
      <c r="B993" s="6" t="s">
        <v>2889</v>
      </c>
      <c r="C993" s="6" t="s">
        <v>1599</v>
      </c>
      <c r="D993" s="6" t="s">
        <v>1653</v>
      </c>
    </row>
    <row r="994" ht="22" customHeight="1" spans="1:4">
      <c r="A994" s="6" t="s">
        <v>1601</v>
      </c>
      <c r="B994" s="6" t="s">
        <v>2890</v>
      </c>
      <c r="C994" s="6" t="s">
        <v>1599</v>
      </c>
      <c r="D994" s="6" t="s">
        <v>1655</v>
      </c>
    </row>
    <row r="995" ht="22" customHeight="1" spans="1:4">
      <c r="A995" s="6" t="s">
        <v>1601</v>
      </c>
      <c r="B995" s="6" t="s">
        <v>2891</v>
      </c>
      <c r="C995" s="6" t="s">
        <v>1599</v>
      </c>
      <c r="D995" s="6" t="s">
        <v>1661</v>
      </c>
    </row>
    <row r="996" ht="22" customHeight="1" spans="1:4">
      <c r="A996" s="6" t="s">
        <v>1601</v>
      </c>
      <c r="B996" s="6" t="s">
        <v>2892</v>
      </c>
      <c r="C996" s="6" t="s">
        <v>1599</v>
      </c>
      <c r="D996" s="6" t="s">
        <v>1621</v>
      </c>
    </row>
    <row r="997" ht="22" customHeight="1" spans="1:4">
      <c r="A997" s="6" t="s">
        <v>1601</v>
      </c>
      <c r="B997" s="6" t="s">
        <v>2893</v>
      </c>
      <c r="C997" s="6" t="s">
        <v>1573</v>
      </c>
      <c r="D997" s="6" t="s">
        <v>1725</v>
      </c>
    </row>
    <row r="998" ht="22" customHeight="1" spans="1:4">
      <c r="A998" s="6" t="s">
        <v>1601</v>
      </c>
      <c r="B998" s="6" t="s">
        <v>2894</v>
      </c>
      <c r="C998" s="6" t="s">
        <v>1573</v>
      </c>
      <c r="D998" s="6" t="s">
        <v>1727</v>
      </c>
    </row>
    <row r="999" ht="22" customHeight="1" spans="1:4">
      <c r="A999" s="6" t="s">
        <v>1601</v>
      </c>
      <c r="B999" s="6" t="s">
        <v>2895</v>
      </c>
      <c r="C999" s="6" t="s">
        <v>1573</v>
      </c>
      <c r="D999" s="6" t="s">
        <v>2896</v>
      </c>
    </row>
    <row r="1000" ht="22" customHeight="1" spans="1:4">
      <c r="A1000" s="6" t="s">
        <v>1601</v>
      </c>
      <c r="B1000" s="6" t="s">
        <v>2897</v>
      </c>
      <c r="C1000" s="6" t="s">
        <v>1573</v>
      </c>
      <c r="D1000" s="6" t="s">
        <v>2898</v>
      </c>
    </row>
    <row r="1001" ht="22" customHeight="1" spans="1:4">
      <c r="A1001" s="6" t="s">
        <v>1601</v>
      </c>
      <c r="B1001" s="6" t="s">
        <v>2899</v>
      </c>
      <c r="C1001" s="6" t="s">
        <v>1573</v>
      </c>
      <c r="D1001" s="6" t="s">
        <v>910</v>
      </c>
    </row>
    <row r="1002" ht="22" customHeight="1" spans="1:4">
      <c r="A1002" s="6" t="s">
        <v>1601</v>
      </c>
      <c r="B1002" s="6" t="s">
        <v>2900</v>
      </c>
      <c r="C1002" s="6" t="s">
        <v>1605</v>
      </c>
      <c r="D1002" s="6" t="s">
        <v>1649</v>
      </c>
    </row>
    <row r="1003" ht="22" customHeight="1" spans="1:4">
      <c r="A1003" s="6" t="s">
        <v>1601</v>
      </c>
      <c r="B1003" s="6" t="s">
        <v>2901</v>
      </c>
      <c r="C1003" s="6" t="s">
        <v>1573</v>
      </c>
      <c r="D1003" s="6" t="s">
        <v>1623</v>
      </c>
    </row>
    <row r="1004" ht="22" customHeight="1" spans="1:4">
      <c r="A1004" s="6" t="s">
        <v>1601</v>
      </c>
      <c r="B1004" s="6" t="s">
        <v>2902</v>
      </c>
      <c r="C1004" s="6" t="s">
        <v>1605</v>
      </c>
      <c r="D1004" s="6" t="s">
        <v>1691</v>
      </c>
    </row>
    <row r="1005" ht="22" customHeight="1" spans="1:4">
      <c r="A1005" s="6" t="s">
        <v>1601</v>
      </c>
      <c r="B1005" s="6" t="s">
        <v>2903</v>
      </c>
      <c r="C1005" s="6" t="s">
        <v>1605</v>
      </c>
      <c r="D1005" s="6" t="s">
        <v>1699</v>
      </c>
    </row>
    <row r="1006" ht="22" customHeight="1" spans="1:4">
      <c r="A1006" s="6" t="s">
        <v>1601</v>
      </c>
      <c r="B1006" s="6" t="s">
        <v>2904</v>
      </c>
      <c r="C1006" s="6" t="s">
        <v>1605</v>
      </c>
      <c r="D1006" s="6" t="s">
        <v>1783</v>
      </c>
    </row>
    <row r="1007" ht="22" customHeight="1" spans="1:4">
      <c r="A1007" s="6" t="s">
        <v>1601</v>
      </c>
      <c r="B1007" s="6" t="s">
        <v>2905</v>
      </c>
      <c r="C1007" s="6" t="s">
        <v>1599</v>
      </c>
      <c r="D1007" s="6" t="s">
        <v>2906</v>
      </c>
    </row>
    <row r="1008" ht="22" customHeight="1" spans="1:4">
      <c r="A1008" s="6" t="s">
        <v>1601</v>
      </c>
      <c r="B1008" s="6" t="s">
        <v>2907</v>
      </c>
      <c r="C1008" s="6" t="s">
        <v>1605</v>
      </c>
      <c r="D1008" s="6" t="s">
        <v>1636</v>
      </c>
    </row>
    <row r="1009" ht="22" customHeight="1" spans="1:4">
      <c r="A1009" s="6" t="s">
        <v>1601</v>
      </c>
      <c r="B1009" s="6" t="s">
        <v>2908</v>
      </c>
      <c r="C1009" s="6" t="s">
        <v>1605</v>
      </c>
      <c r="D1009" s="6" t="s">
        <v>1738</v>
      </c>
    </row>
    <row r="1010" ht="22" customHeight="1" spans="1:4">
      <c r="A1010" s="6" t="s">
        <v>1601</v>
      </c>
      <c r="B1010" s="6" t="s">
        <v>2909</v>
      </c>
      <c r="C1010" s="6" t="s">
        <v>1573</v>
      </c>
      <c r="D1010" s="6" t="s">
        <v>1587</v>
      </c>
    </row>
    <row r="1011" ht="22" customHeight="1" spans="1:4">
      <c r="A1011" s="6" t="s">
        <v>1601</v>
      </c>
      <c r="B1011" s="6" t="s">
        <v>2910</v>
      </c>
      <c r="C1011" s="6" t="s">
        <v>1605</v>
      </c>
      <c r="D1011" s="6" t="s">
        <v>1636</v>
      </c>
    </row>
    <row r="1012" ht="22" customHeight="1" spans="1:4">
      <c r="A1012" s="6" t="s">
        <v>1601</v>
      </c>
      <c r="B1012" s="6" t="s">
        <v>2911</v>
      </c>
      <c r="C1012" s="6" t="s">
        <v>1570</v>
      </c>
      <c r="D1012" s="6" t="s">
        <v>1571</v>
      </c>
    </row>
    <row r="1013" ht="22" customHeight="1" spans="1:4">
      <c r="A1013" s="6" t="s">
        <v>1601</v>
      </c>
      <c r="B1013" s="6" t="s">
        <v>2912</v>
      </c>
      <c r="C1013" s="6" t="s">
        <v>1605</v>
      </c>
      <c r="D1013" s="6" t="s">
        <v>1699</v>
      </c>
    </row>
    <row r="1014" ht="22" customHeight="1" spans="1:4">
      <c r="A1014" s="6" t="s">
        <v>1601</v>
      </c>
      <c r="B1014" s="6" t="s">
        <v>2913</v>
      </c>
      <c r="C1014" s="6" t="s">
        <v>1570</v>
      </c>
      <c r="D1014" s="6" t="s">
        <v>1571</v>
      </c>
    </row>
    <row r="1015" ht="22" customHeight="1" spans="1:4">
      <c r="A1015" s="6" t="s">
        <v>1601</v>
      </c>
      <c r="B1015" s="6" t="s">
        <v>2914</v>
      </c>
      <c r="C1015" s="6" t="s">
        <v>1599</v>
      </c>
      <c r="D1015" s="6" t="s">
        <v>2915</v>
      </c>
    </row>
    <row r="1016" ht="22" customHeight="1" spans="1:4">
      <c r="A1016" s="6" t="s">
        <v>1601</v>
      </c>
      <c r="B1016" s="6" t="s">
        <v>2916</v>
      </c>
      <c r="C1016" s="6" t="s">
        <v>1599</v>
      </c>
      <c r="D1016" s="6" t="s">
        <v>2917</v>
      </c>
    </row>
    <row r="1017" ht="22" customHeight="1" spans="1:4">
      <c r="A1017" s="6" t="s">
        <v>1601</v>
      </c>
      <c r="B1017" s="6" t="s">
        <v>2918</v>
      </c>
      <c r="C1017" s="6" t="s">
        <v>1599</v>
      </c>
      <c r="D1017" s="6" t="s">
        <v>2919</v>
      </c>
    </row>
    <row r="1018" ht="22" customHeight="1" spans="1:4">
      <c r="A1018" s="6" t="s">
        <v>1601</v>
      </c>
      <c r="B1018" s="6" t="s">
        <v>2920</v>
      </c>
      <c r="C1018" s="6" t="s">
        <v>1599</v>
      </c>
      <c r="D1018" s="6" t="s">
        <v>2811</v>
      </c>
    </row>
    <row r="1019" ht="22" customHeight="1" spans="1:4">
      <c r="A1019" s="6" t="s">
        <v>1601</v>
      </c>
      <c r="B1019" s="6" t="s">
        <v>2921</v>
      </c>
      <c r="C1019" s="6" t="s">
        <v>1599</v>
      </c>
      <c r="D1019" s="6" t="s">
        <v>2922</v>
      </c>
    </row>
    <row r="1020" ht="22" customHeight="1" spans="1:4">
      <c r="A1020" s="6" t="s">
        <v>1601</v>
      </c>
      <c r="B1020" s="6" t="s">
        <v>2923</v>
      </c>
      <c r="C1020" s="6" t="s">
        <v>1605</v>
      </c>
      <c r="D1020" s="6" t="s">
        <v>2888</v>
      </c>
    </row>
    <row r="1021" ht="22" customHeight="1" spans="1:4">
      <c r="A1021" s="6" t="s">
        <v>1601</v>
      </c>
      <c r="B1021" s="6" t="s">
        <v>2924</v>
      </c>
      <c r="C1021" s="6" t="s">
        <v>1599</v>
      </c>
      <c r="D1021" s="6" t="s">
        <v>1653</v>
      </c>
    </row>
    <row r="1022" ht="22" customHeight="1" spans="1:4">
      <c r="A1022" s="6" t="s">
        <v>1601</v>
      </c>
      <c r="B1022" s="6" t="s">
        <v>2925</v>
      </c>
      <c r="C1022" s="6" t="s">
        <v>1599</v>
      </c>
      <c r="D1022" s="6" t="s">
        <v>1655</v>
      </c>
    </row>
    <row r="1023" ht="22" customHeight="1" spans="1:4">
      <c r="A1023" s="6" t="s">
        <v>1601</v>
      </c>
      <c r="B1023" s="6" t="s">
        <v>2926</v>
      </c>
      <c r="C1023" s="6" t="s">
        <v>1599</v>
      </c>
      <c r="D1023" s="6" t="s">
        <v>1661</v>
      </c>
    </row>
    <row r="1024" ht="22" customHeight="1" spans="1:4">
      <c r="A1024" s="6" t="s">
        <v>1601</v>
      </c>
      <c r="B1024" s="6" t="s">
        <v>2927</v>
      </c>
      <c r="C1024" s="6" t="s">
        <v>1599</v>
      </c>
      <c r="D1024" s="6" t="s">
        <v>1769</v>
      </c>
    </row>
    <row r="1025" ht="22" customHeight="1" spans="1:4">
      <c r="A1025" s="6" t="s">
        <v>1601</v>
      </c>
      <c r="B1025" s="6" t="s">
        <v>2928</v>
      </c>
      <c r="C1025" s="6" t="s">
        <v>1573</v>
      </c>
      <c r="D1025" s="6" t="s">
        <v>1725</v>
      </c>
    </row>
    <row r="1026" ht="22" customHeight="1" spans="1:4">
      <c r="A1026" s="6" t="s">
        <v>1601</v>
      </c>
      <c r="B1026" s="6" t="s">
        <v>2929</v>
      </c>
      <c r="C1026" s="6" t="s">
        <v>1573</v>
      </c>
      <c r="D1026" s="6" t="s">
        <v>1727</v>
      </c>
    </row>
    <row r="1027" ht="22" customHeight="1" spans="1:4">
      <c r="A1027" s="6" t="s">
        <v>1601</v>
      </c>
      <c r="B1027" s="6" t="s">
        <v>2930</v>
      </c>
      <c r="C1027" s="6" t="s">
        <v>1573</v>
      </c>
      <c r="D1027" s="6" t="s">
        <v>2411</v>
      </c>
    </row>
    <row r="1028" ht="22" customHeight="1" spans="1:4">
      <c r="A1028" s="6" t="s">
        <v>1601</v>
      </c>
      <c r="B1028" s="6" t="s">
        <v>2931</v>
      </c>
      <c r="C1028" s="6" t="s">
        <v>1573</v>
      </c>
      <c r="D1028" s="6" t="s">
        <v>2932</v>
      </c>
    </row>
    <row r="1029" ht="22" customHeight="1" spans="1:4">
      <c r="A1029" s="6" t="s">
        <v>1601</v>
      </c>
      <c r="B1029" s="6" t="s">
        <v>2933</v>
      </c>
      <c r="C1029" s="6" t="s">
        <v>1573</v>
      </c>
      <c r="D1029" s="6" t="s">
        <v>275</v>
      </c>
    </row>
    <row r="1030" ht="22" customHeight="1" spans="1:4">
      <c r="A1030" s="6" t="s">
        <v>1601</v>
      </c>
      <c r="B1030" s="6" t="s">
        <v>2934</v>
      </c>
      <c r="C1030" s="6" t="s">
        <v>1605</v>
      </c>
      <c r="D1030" s="6" t="s">
        <v>1855</v>
      </c>
    </row>
    <row r="1031" ht="22" customHeight="1" spans="1:4">
      <c r="A1031" s="6" t="s">
        <v>1601</v>
      </c>
      <c r="B1031" s="6" t="s">
        <v>2935</v>
      </c>
      <c r="C1031" s="6" t="s">
        <v>1573</v>
      </c>
      <c r="D1031" s="6" t="s">
        <v>275</v>
      </c>
    </row>
    <row r="1032" ht="22" customHeight="1" spans="1:4">
      <c r="A1032" s="6" t="s">
        <v>1601</v>
      </c>
      <c r="B1032" s="6" t="s">
        <v>2936</v>
      </c>
      <c r="C1032" s="6" t="s">
        <v>1605</v>
      </c>
      <c r="D1032" s="6" t="s">
        <v>1816</v>
      </c>
    </row>
    <row r="1033" ht="22" customHeight="1" spans="1:4">
      <c r="A1033" s="6" t="s">
        <v>1601</v>
      </c>
      <c r="B1033" s="6" t="s">
        <v>2937</v>
      </c>
      <c r="C1033" s="6" t="s">
        <v>1605</v>
      </c>
      <c r="D1033" s="6" t="s">
        <v>1699</v>
      </c>
    </row>
    <row r="1034" ht="22" customHeight="1" spans="1:4">
      <c r="A1034" s="6" t="s">
        <v>1601</v>
      </c>
      <c r="B1034" s="6" t="s">
        <v>2938</v>
      </c>
      <c r="C1034" s="6" t="s">
        <v>1605</v>
      </c>
      <c r="D1034" s="6" t="s">
        <v>1783</v>
      </c>
    </row>
    <row r="1035" ht="22" customHeight="1" spans="1:4">
      <c r="A1035" s="6" t="s">
        <v>1601</v>
      </c>
      <c r="B1035" s="6" t="s">
        <v>2939</v>
      </c>
      <c r="C1035" s="6" t="s">
        <v>1599</v>
      </c>
      <c r="D1035" s="6" t="s">
        <v>2940</v>
      </c>
    </row>
    <row r="1036" ht="22" customHeight="1" spans="1:4">
      <c r="A1036" s="6" t="s">
        <v>1601</v>
      </c>
      <c r="B1036" s="6" t="s">
        <v>2941</v>
      </c>
      <c r="C1036" s="6" t="s">
        <v>1605</v>
      </c>
      <c r="D1036" s="6" t="s">
        <v>898</v>
      </c>
    </row>
    <row r="1037" ht="22" customHeight="1" spans="1:4">
      <c r="A1037" s="6" t="s">
        <v>1601</v>
      </c>
      <c r="B1037" s="6" t="s">
        <v>2942</v>
      </c>
      <c r="C1037" s="6" t="s">
        <v>1605</v>
      </c>
      <c r="D1037" s="6" t="s">
        <v>1636</v>
      </c>
    </row>
    <row r="1038" ht="22" customHeight="1" spans="1:4">
      <c r="A1038" s="6" t="s">
        <v>1601</v>
      </c>
      <c r="B1038" s="6" t="s">
        <v>2943</v>
      </c>
      <c r="C1038" s="6" t="s">
        <v>1570</v>
      </c>
      <c r="D1038" s="6" t="s">
        <v>1571</v>
      </c>
    </row>
    <row r="1039" ht="22" customHeight="1" spans="1:4">
      <c r="A1039" s="6" t="s">
        <v>1601</v>
      </c>
      <c r="B1039" s="6" t="s">
        <v>2944</v>
      </c>
      <c r="C1039" s="6" t="s">
        <v>1605</v>
      </c>
      <c r="D1039" s="6" t="s">
        <v>2385</v>
      </c>
    </row>
    <row r="1040" ht="22" customHeight="1" spans="1:4">
      <c r="A1040" s="6" t="s">
        <v>1601</v>
      </c>
      <c r="B1040" s="6" t="s">
        <v>2945</v>
      </c>
      <c r="C1040" s="6" t="s">
        <v>1605</v>
      </c>
      <c r="D1040" s="6" t="s">
        <v>1615</v>
      </c>
    </row>
    <row r="1041" ht="22" customHeight="1" spans="1:4">
      <c r="A1041" s="6" t="s">
        <v>1601</v>
      </c>
      <c r="B1041" s="6" t="s">
        <v>2946</v>
      </c>
      <c r="C1041" s="6" t="s">
        <v>1570</v>
      </c>
      <c r="D1041" s="6" t="s">
        <v>1571</v>
      </c>
    </row>
    <row r="1042" ht="22" customHeight="1" spans="1:4">
      <c r="A1042" s="6" t="s">
        <v>1601</v>
      </c>
      <c r="B1042" s="6" t="s">
        <v>2947</v>
      </c>
      <c r="C1042" s="6" t="s">
        <v>1599</v>
      </c>
      <c r="D1042" s="6" t="s">
        <v>2948</v>
      </c>
    </row>
    <row r="1043" ht="22" customHeight="1" spans="1:4">
      <c r="A1043" s="6" t="s">
        <v>1601</v>
      </c>
      <c r="B1043" s="6" t="s">
        <v>2949</v>
      </c>
      <c r="C1043" s="6" t="s">
        <v>1599</v>
      </c>
      <c r="D1043" s="6" t="s">
        <v>2950</v>
      </c>
    </row>
    <row r="1044" ht="22" customHeight="1" spans="1:4">
      <c r="A1044" s="6" t="s">
        <v>1601</v>
      </c>
      <c r="B1044" s="6" t="s">
        <v>2951</v>
      </c>
      <c r="C1044" s="6" t="s">
        <v>1599</v>
      </c>
      <c r="D1044" s="6" t="s">
        <v>2952</v>
      </c>
    </row>
    <row r="1045" ht="22" customHeight="1" spans="1:4">
      <c r="A1045" s="6" t="s">
        <v>1601</v>
      </c>
      <c r="B1045" s="6" t="s">
        <v>2953</v>
      </c>
      <c r="C1045" s="6" t="s">
        <v>1599</v>
      </c>
      <c r="D1045" s="6" t="s">
        <v>2811</v>
      </c>
    </row>
    <row r="1046" ht="22" customHeight="1" spans="1:4">
      <c r="A1046" s="6" t="s">
        <v>1601</v>
      </c>
      <c r="B1046" s="6" t="s">
        <v>2954</v>
      </c>
      <c r="C1046" s="6" t="s">
        <v>1599</v>
      </c>
      <c r="D1046" s="6" t="s">
        <v>2955</v>
      </c>
    </row>
    <row r="1047" ht="22" customHeight="1" spans="1:4">
      <c r="A1047" s="6" t="s">
        <v>1601</v>
      </c>
      <c r="B1047" s="6" t="s">
        <v>2956</v>
      </c>
      <c r="C1047" s="6" t="s">
        <v>1605</v>
      </c>
      <c r="D1047" s="6" t="s">
        <v>2957</v>
      </c>
    </row>
    <row r="1048" ht="22" customHeight="1" spans="1:4">
      <c r="A1048" s="6" t="s">
        <v>1601</v>
      </c>
      <c r="B1048" s="6" t="s">
        <v>2958</v>
      </c>
      <c r="C1048" s="6" t="s">
        <v>1599</v>
      </c>
      <c r="D1048" s="6" t="s">
        <v>1653</v>
      </c>
    </row>
    <row r="1049" ht="22" customHeight="1" spans="1:4">
      <c r="A1049" s="6" t="s">
        <v>1601</v>
      </c>
      <c r="B1049" s="6" t="s">
        <v>2959</v>
      </c>
      <c r="C1049" s="6" t="s">
        <v>1599</v>
      </c>
      <c r="D1049" s="6" t="s">
        <v>1655</v>
      </c>
    </row>
    <row r="1050" ht="22" customHeight="1" spans="1:4">
      <c r="A1050" s="6" t="s">
        <v>1601</v>
      </c>
      <c r="B1050" s="6" t="s">
        <v>2960</v>
      </c>
      <c r="C1050" s="6" t="s">
        <v>1599</v>
      </c>
      <c r="D1050" s="6" t="s">
        <v>1661</v>
      </c>
    </row>
    <row r="1051" ht="22" customHeight="1" spans="1:4">
      <c r="A1051" s="6" t="s">
        <v>1601</v>
      </c>
      <c r="B1051" s="6" t="s">
        <v>2961</v>
      </c>
      <c r="C1051" s="6" t="s">
        <v>1599</v>
      </c>
      <c r="D1051" s="6" t="s">
        <v>1723</v>
      </c>
    </row>
    <row r="1052" ht="22" customHeight="1" spans="1:4">
      <c r="A1052" s="6" t="s">
        <v>1601</v>
      </c>
      <c r="B1052" s="6" t="s">
        <v>2962</v>
      </c>
      <c r="C1052" s="6" t="s">
        <v>1573</v>
      </c>
      <c r="D1052" s="6" t="s">
        <v>1725</v>
      </c>
    </row>
    <row r="1053" ht="22" customHeight="1" spans="1:4">
      <c r="A1053" s="6" t="s">
        <v>1601</v>
      </c>
      <c r="B1053" s="6" t="s">
        <v>2963</v>
      </c>
      <c r="C1053" s="6" t="s">
        <v>1573</v>
      </c>
      <c r="D1053" s="6" t="s">
        <v>1727</v>
      </c>
    </row>
    <row r="1054" ht="22" customHeight="1" spans="1:4">
      <c r="A1054" s="6" t="s">
        <v>1601</v>
      </c>
      <c r="B1054" s="6" t="s">
        <v>2964</v>
      </c>
      <c r="C1054" s="6" t="s">
        <v>1573</v>
      </c>
      <c r="D1054" s="6" t="s">
        <v>2965</v>
      </c>
    </row>
    <row r="1055" ht="22" customHeight="1" spans="1:4">
      <c r="A1055" s="6" t="s">
        <v>1601</v>
      </c>
      <c r="B1055" s="6" t="s">
        <v>2966</v>
      </c>
      <c r="C1055" s="6" t="s">
        <v>1573</v>
      </c>
      <c r="D1055" s="6" t="s">
        <v>2967</v>
      </c>
    </row>
    <row r="1056" ht="22" customHeight="1" spans="1:4">
      <c r="A1056" s="6" t="s">
        <v>1601</v>
      </c>
      <c r="B1056" s="6" t="s">
        <v>2968</v>
      </c>
      <c r="C1056" s="6" t="s">
        <v>1573</v>
      </c>
      <c r="D1056" s="6" t="s">
        <v>922</v>
      </c>
    </row>
    <row r="1057" ht="22" customHeight="1" spans="1:4">
      <c r="A1057" s="6" t="s">
        <v>1601</v>
      </c>
      <c r="B1057" s="6" t="s">
        <v>2969</v>
      </c>
      <c r="C1057" s="6" t="s">
        <v>1605</v>
      </c>
      <c r="D1057" s="6" t="s">
        <v>1688</v>
      </c>
    </row>
    <row r="1058" ht="22" customHeight="1" spans="1:4">
      <c r="A1058" s="6" t="s">
        <v>1601</v>
      </c>
      <c r="B1058" s="6" t="s">
        <v>2970</v>
      </c>
      <c r="C1058" s="6" t="s">
        <v>1573</v>
      </c>
      <c r="D1058" s="6" t="s">
        <v>1623</v>
      </c>
    </row>
    <row r="1059" ht="22" customHeight="1" spans="1:4">
      <c r="A1059" s="6" t="s">
        <v>1601</v>
      </c>
      <c r="B1059" s="6" t="s">
        <v>2971</v>
      </c>
      <c r="C1059" s="6" t="s">
        <v>1605</v>
      </c>
      <c r="D1059" s="6" t="s">
        <v>1858</v>
      </c>
    </row>
    <row r="1060" ht="22" customHeight="1" spans="1:4">
      <c r="A1060" s="6" t="s">
        <v>1601</v>
      </c>
      <c r="B1060" s="6" t="s">
        <v>2972</v>
      </c>
      <c r="C1060" s="6" t="s">
        <v>1605</v>
      </c>
      <c r="D1060" s="6" t="s">
        <v>1699</v>
      </c>
    </row>
    <row r="1061" ht="22" customHeight="1" spans="1:4">
      <c r="A1061" s="6" t="s">
        <v>1601</v>
      </c>
      <c r="B1061" s="6" t="s">
        <v>2973</v>
      </c>
      <c r="C1061" s="6" t="s">
        <v>1605</v>
      </c>
      <c r="D1061" s="6" t="s">
        <v>1783</v>
      </c>
    </row>
    <row r="1062" ht="22" customHeight="1" spans="1:4">
      <c r="A1062" s="6" t="s">
        <v>1601</v>
      </c>
      <c r="B1062" s="6" t="s">
        <v>2974</v>
      </c>
      <c r="C1062" s="6" t="s">
        <v>1599</v>
      </c>
      <c r="D1062" s="6" t="s">
        <v>2975</v>
      </c>
    </row>
    <row r="1063" ht="22" customHeight="1" spans="1:4">
      <c r="A1063" s="6" t="s">
        <v>1601</v>
      </c>
      <c r="B1063" s="6" t="s">
        <v>2976</v>
      </c>
      <c r="C1063" s="6" t="s">
        <v>1605</v>
      </c>
      <c r="D1063" s="6" t="s">
        <v>1649</v>
      </c>
    </row>
    <row r="1064" ht="22" customHeight="1" spans="1:4">
      <c r="A1064" s="6" t="s">
        <v>1601</v>
      </c>
      <c r="B1064" s="6" t="s">
        <v>2977</v>
      </c>
      <c r="C1064" s="6" t="s">
        <v>1573</v>
      </c>
      <c r="D1064" s="6" t="s">
        <v>1725</v>
      </c>
    </row>
    <row r="1065" ht="22" customHeight="1" spans="1:4">
      <c r="A1065" s="6" t="s">
        <v>1601</v>
      </c>
      <c r="B1065" s="6" t="s">
        <v>2978</v>
      </c>
      <c r="C1065" s="6" t="s">
        <v>1570</v>
      </c>
      <c r="D1065" s="6" t="s">
        <v>1571</v>
      </c>
    </row>
    <row r="1066" ht="22" customHeight="1" spans="1:4">
      <c r="A1066" s="6" t="s">
        <v>1601</v>
      </c>
      <c r="B1066" s="6" t="s">
        <v>2979</v>
      </c>
      <c r="C1066" s="6" t="s">
        <v>1573</v>
      </c>
      <c r="D1066" s="6" t="s">
        <v>275</v>
      </c>
    </row>
    <row r="1067" ht="22" customHeight="1" spans="1:4">
      <c r="A1067" s="6" t="s">
        <v>1601</v>
      </c>
      <c r="B1067" s="6" t="s">
        <v>2980</v>
      </c>
      <c r="C1067" s="6" t="s">
        <v>1570</v>
      </c>
      <c r="D1067" s="6" t="s">
        <v>1571</v>
      </c>
    </row>
    <row r="1068" ht="22" customHeight="1" spans="1:4">
      <c r="A1068" s="6" t="s">
        <v>1601</v>
      </c>
      <c r="B1068" s="6" t="s">
        <v>2981</v>
      </c>
      <c r="C1068" s="6" t="s">
        <v>1599</v>
      </c>
      <c r="D1068" s="6" t="s">
        <v>2982</v>
      </c>
    </row>
    <row r="1069" ht="22" customHeight="1" spans="1:4">
      <c r="A1069" s="6" t="s">
        <v>1601</v>
      </c>
      <c r="B1069" s="6" t="s">
        <v>2983</v>
      </c>
      <c r="C1069" s="6" t="s">
        <v>1599</v>
      </c>
      <c r="D1069" s="6" t="s">
        <v>2984</v>
      </c>
    </row>
    <row r="1070" ht="22" customHeight="1" spans="1:4">
      <c r="A1070" s="6" t="s">
        <v>1601</v>
      </c>
      <c r="B1070" s="6" t="s">
        <v>2985</v>
      </c>
      <c r="C1070" s="6" t="s">
        <v>1599</v>
      </c>
      <c r="D1070" s="6" t="s">
        <v>2982</v>
      </c>
    </row>
    <row r="1071" ht="22" customHeight="1" spans="1:4">
      <c r="A1071" s="6" t="s">
        <v>1601</v>
      </c>
      <c r="B1071" s="6" t="s">
        <v>2986</v>
      </c>
      <c r="C1071" s="6" t="s">
        <v>1599</v>
      </c>
      <c r="D1071" s="6" t="s">
        <v>2811</v>
      </c>
    </row>
    <row r="1072" ht="22" customHeight="1" spans="1:4">
      <c r="A1072" s="6" t="s">
        <v>1601</v>
      </c>
      <c r="B1072" s="6" t="s">
        <v>2987</v>
      </c>
      <c r="C1072" s="6" t="s">
        <v>1599</v>
      </c>
      <c r="D1072" s="6" t="s">
        <v>2988</v>
      </c>
    </row>
    <row r="1073" ht="22" customHeight="1" spans="1:4">
      <c r="A1073" s="6" t="s">
        <v>1601</v>
      </c>
      <c r="B1073" s="6" t="s">
        <v>2989</v>
      </c>
      <c r="C1073" s="6" t="s">
        <v>1605</v>
      </c>
      <c r="D1073" s="6" t="s">
        <v>2990</v>
      </c>
    </row>
    <row r="1074" ht="22" customHeight="1" spans="1:4">
      <c r="A1074" s="6" t="s">
        <v>1601</v>
      </c>
      <c r="B1074" s="6" t="s">
        <v>2991</v>
      </c>
      <c r="C1074" s="6" t="s">
        <v>1599</v>
      </c>
      <c r="D1074" s="6" t="s">
        <v>1653</v>
      </c>
    </row>
    <row r="1075" ht="22" customHeight="1" spans="1:4">
      <c r="A1075" s="6" t="s">
        <v>1601</v>
      </c>
      <c r="B1075" s="6" t="s">
        <v>2992</v>
      </c>
      <c r="C1075" s="6" t="s">
        <v>1599</v>
      </c>
      <c r="D1075" s="6" t="s">
        <v>1655</v>
      </c>
    </row>
    <row r="1076" ht="22" customHeight="1" spans="1:4">
      <c r="A1076" s="6" t="s">
        <v>1601</v>
      </c>
      <c r="B1076" s="6" t="s">
        <v>2993</v>
      </c>
      <c r="C1076" s="6" t="s">
        <v>1599</v>
      </c>
      <c r="D1076" s="6" t="s">
        <v>1661</v>
      </c>
    </row>
    <row r="1077" ht="22" customHeight="1" spans="1:4">
      <c r="A1077" s="6" t="s">
        <v>1601</v>
      </c>
      <c r="B1077" s="6" t="s">
        <v>2994</v>
      </c>
      <c r="C1077" s="6" t="s">
        <v>1599</v>
      </c>
      <c r="D1077" s="6" t="s">
        <v>1769</v>
      </c>
    </row>
    <row r="1078" ht="22" customHeight="1" spans="1:4">
      <c r="A1078" s="6" t="s">
        <v>1601</v>
      </c>
      <c r="B1078" s="6" t="s">
        <v>2995</v>
      </c>
      <c r="C1078" s="6" t="s">
        <v>1573</v>
      </c>
      <c r="D1078" s="6" t="s">
        <v>1725</v>
      </c>
    </row>
    <row r="1079" ht="22" customHeight="1" spans="1:4">
      <c r="A1079" s="6" t="s">
        <v>1601</v>
      </c>
      <c r="B1079" s="6" t="s">
        <v>2996</v>
      </c>
      <c r="C1079" s="6" t="s">
        <v>1573</v>
      </c>
      <c r="D1079" s="6" t="s">
        <v>1727</v>
      </c>
    </row>
    <row r="1080" ht="22" customHeight="1" spans="1:4">
      <c r="A1080" s="6" t="s">
        <v>1601</v>
      </c>
      <c r="B1080" s="6" t="s">
        <v>2997</v>
      </c>
      <c r="C1080" s="6" t="s">
        <v>1573</v>
      </c>
      <c r="D1080" s="6" t="s">
        <v>2118</v>
      </c>
    </row>
    <row r="1081" ht="22" customHeight="1" spans="1:4">
      <c r="A1081" s="6" t="s">
        <v>1601</v>
      </c>
      <c r="B1081" s="6" t="s">
        <v>2998</v>
      </c>
      <c r="C1081" s="6" t="s">
        <v>1573</v>
      </c>
      <c r="D1081" s="6" t="s">
        <v>2086</v>
      </c>
    </row>
    <row r="1082" ht="22" customHeight="1" spans="1:4">
      <c r="A1082" s="6" t="s">
        <v>1601</v>
      </c>
      <c r="B1082" s="6" t="s">
        <v>2999</v>
      </c>
      <c r="C1082" s="6" t="s">
        <v>1573</v>
      </c>
      <c r="D1082" s="6" t="s">
        <v>275</v>
      </c>
    </row>
    <row r="1083" ht="22" customHeight="1" spans="1:4">
      <c r="A1083" s="6" t="s">
        <v>1601</v>
      </c>
      <c r="B1083" s="6" t="s">
        <v>3000</v>
      </c>
      <c r="C1083" s="6" t="s">
        <v>1605</v>
      </c>
      <c r="D1083" s="6" t="s">
        <v>1895</v>
      </c>
    </row>
    <row r="1084" ht="22" customHeight="1" spans="1:4">
      <c r="A1084" s="6" t="s">
        <v>1601</v>
      </c>
      <c r="B1084" s="6" t="s">
        <v>3001</v>
      </c>
      <c r="C1084" s="6" t="s">
        <v>1573</v>
      </c>
      <c r="D1084" s="6" t="s">
        <v>275</v>
      </c>
    </row>
    <row r="1085" ht="22" customHeight="1" spans="1:4">
      <c r="A1085" s="6" t="s">
        <v>1601</v>
      </c>
      <c r="B1085" s="6" t="s">
        <v>3002</v>
      </c>
      <c r="C1085" s="6" t="s">
        <v>1605</v>
      </c>
      <c r="D1085" s="6" t="s">
        <v>1634</v>
      </c>
    </row>
    <row r="1086" ht="22" customHeight="1" spans="1:4">
      <c r="A1086" s="6" t="s">
        <v>1601</v>
      </c>
      <c r="B1086" s="6" t="s">
        <v>3003</v>
      </c>
      <c r="C1086" s="6" t="s">
        <v>1605</v>
      </c>
      <c r="D1086" s="6" t="s">
        <v>1699</v>
      </c>
    </row>
    <row r="1087" ht="22" customHeight="1" spans="1:4">
      <c r="A1087" s="6" t="s">
        <v>1601</v>
      </c>
      <c r="B1087" s="6" t="s">
        <v>3004</v>
      </c>
      <c r="C1087" s="6" t="s">
        <v>1605</v>
      </c>
      <c r="D1087" s="6" t="s">
        <v>1783</v>
      </c>
    </row>
    <row r="1088" ht="22" customHeight="1" spans="1:4">
      <c r="A1088" s="6" t="s">
        <v>1601</v>
      </c>
      <c r="B1088" s="6" t="s">
        <v>3005</v>
      </c>
      <c r="C1088" s="6" t="s">
        <v>1599</v>
      </c>
      <c r="D1088" s="6" t="s">
        <v>3006</v>
      </c>
    </row>
    <row r="1089" ht="22" customHeight="1" spans="1:4">
      <c r="A1089" s="6" t="s">
        <v>1601</v>
      </c>
      <c r="B1089" s="6" t="s">
        <v>3007</v>
      </c>
      <c r="C1089" s="6" t="s">
        <v>1605</v>
      </c>
      <c r="D1089" s="6" t="s">
        <v>1697</v>
      </c>
    </row>
    <row r="1090" ht="22" customHeight="1" spans="1:4">
      <c r="A1090" s="6" t="s">
        <v>1601</v>
      </c>
      <c r="B1090" s="6" t="s">
        <v>3008</v>
      </c>
      <c r="C1090" s="6" t="s">
        <v>1605</v>
      </c>
      <c r="D1090" s="6" t="s">
        <v>2272</v>
      </c>
    </row>
    <row r="1091" ht="22" customHeight="1" spans="1:4">
      <c r="A1091" s="6" t="s">
        <v>1601</v>
      </c>
      <c r="B1091" s="6" t="s">
        <v>3009</v>
      </c>
      <c r="C1091" s="6" t="s">
        <v>1605</v>
      </c>
      <c r="D1091" s="6" t="s">
        <v>1738</v>
      </c>
    </row>
    <row r="1092" ht="22" customHeight="1" spans="1:4">
      <c r="A1092" s="6" t="s">
        <v>1601</v>
      </c>
      <c r="B1092" s="6" t="s">
        <v>3010</v>
      </c>
      <c r="C1092" s="6" t="s">
        <v>1605</v>
      </c>
      <c r="D1092" s="6" t="s">
        <v>1645</v>
      </c>
    </row>
    <row r="1093" ht="22" customHeight="1" spans="1:4">
      <c r="A1093" s="6" t="s">
        <v>1601</v>
      </c>
      <c r="B1093" s="6" t="s">
        <v>3011</v>
      </c>
      <c r="C1093" s="6" t="s">
        <v>1605</v>
      </c>
      <c r="D1093" s="6" t="s">
        <v>3012</v>
      </c>
    </row>
    <row r="1094" ht="22" customHeight="1" spans="1:4">
      <c r="A1094" s="6" t="s">
        <v>1601</v>
      </c>
      <c r="B1094" s="6" t="s">
        <v>3013</v>
      </c>
      <c r="C1094" s="6" t="s">
        <v>1570</v>
      </c>
      <c r="D1094" s="6" t="s">
        <v>1571</v>
      </c>
    </row>
    <row r="1095" ht="22" customHeight="1" spans="1:4">
      <c r="A1095" s="6" t="s">
        <v>1601</v>
      </c>
      <c r="B1095" s="6" t="s">
        <v>3014</v>
      </c>
      <c r="C1095" s="6" t="s">
        <v>1605</v>
      </c>
      <c r="D1095" s="6" t="s">
        <v>1606</v>
      </c>
    </row>
    <row r="1096" ht="22" customHeight="1" spans="1:4">
      <c r="A1096" s="6" t="s">
        <v>1601</v>
      </c>
      <c r="B1096" s="6" t="s">
        <v>3015</v>
      </c>
      <c r="C1096" s="6" t="s">
        <v>1605</v>
      </c>
      <c r="D1096" s="6" t="s">
        <v>2164</v>
      </c>
    </row>
    <row r="1097" ht="22" customHeight="1" spans="1:4">
      <c r="A1097" s="6" t="s">
        <v>1601</v>
      </c>
      <c r="B1097" s="6" t="s">
        <v>3016</v>
      </c>
      <c r="C1097" s="6" t="s">
        <v>1570</v>
      </c>
      <c r="D1097" s="6" t="s">
        <v>1571</v>
      </c>
    </row>
    <row r="1098" ht="22" customHeight="1" spans="1:4">
      <c r="A1098" s="6" t="s">
        <v>1601</v>
      </c>
      <c r="B1098" s="6" t="s">
        <v>3017</v>
      </c>
      <c r="C1098" s="6" t="s">
        <v>1599</v>
      </c>
      <c r="D1098" s="6" t="s">
        <v>3018</v>
      </c>
    </row>
    <row r="1099" ht="22" customHeight="1" spans="1:4">
      <c r="A1099" s="6" t="s">
        <v>1601</v>
      </c>
      <c r="B1099" s="6" t="s">
        <v>3019</v>
      </c>
      <c r="C1099" s="6" t="s">
        <v>1599</v>
      </c>
      <c r="D1099" s="6" t="s">
        <v>3020</v>
      </c>
    </row>
    <row r="1100" ht="22" customHeight="1" spans="1:4">
      <c r="A1100" s="6" t="s">
        <v>1601</v>
      </c>
      <c r="B1100" s="6" t="s">
        <v>3021</v>
      </c>
      <c r="C1100" s="6" t="s">
        <v>1599</v>
      </c>
      <c r="D1100" s="6" t="s">
        <v>3022</v>
      </c>
    </row>
    <row r="1101" ht="22" customHeight="1" spans="1:4">
      <c r="A1101" s="6" t="s">
        <v>1601</v>
      </c>
      <c r="B1101" s="6" t="s">
        <v>3023</v>
      </c>
      <c r="C1101" s="6" t="s">
        <v>1599</v>
      </c>
      <c r="D1101" s="6" t="s">
        <v>2811</v>
      </c>
    </row>
    <row r="1102" ht="22" customHeight="1" spans="1:4">
      <c r="A1102" s="6" t="s">
        <v>1601</v>
      </c>
      <c r="B1102" s="6" t="s">
        <v>3024</v>
      </c>
      <c r="C1102" s="6" t="s">
        <v>1599</v>
      </c>
      <c r="D1102" s="6" t="s">
        <v>3025</v>
      </c>
    </row>
    <row r="1103" ht="22" customHeight="1" spans="1:4">
      <c r="A1103" s="6" t="s">
        <v>1601</v>
      </c>
      <c r="B1103" s="6" t="s">
        <v>3026</v>
      </c>
      <c r="C1103" s="6" t="s">
        <v>1605</v>
      </c>
      <c r="D1103" s="6" t="s">
        <v>1778</v>
      </c>
    </row>
    <row r="1104" ht="22" customHeight="1" spans="1:4">
      <c r="A1104" s="6" t="s">
        <v>1601</v>
      </c>
      <c r="B1104" s="6" t="s">
        <v>3027</v>
      </c>
      <c r="C1104" s="6" t="s">
        <v>1599</v>
      </c>
      <c r="D1104" s="6" t="s">
        <v>1653</v>
      </c>
    </row>
    <row r="1105" ht="22" customHeight="1" spans="1:4">
      <c r="A1105" s="6" t="s">
        <v>1601</v>
      </c>
      <c r="B1105" s="6" t="s">
        <v>3028</v>
      </c>
      <c r="C1105" s="6" t="s">
        <v>1599</v>
      </c>
      <c r="D1105" s="6" t="s">
        <v>1655</v>
      </c>
    </row>
    <row r="1106" ht="22" customHeight="1" spans="1:4">
      <c r="A1106" s="6" t="s">
        <v>1601</v>
      </c>
      <c r="B1106" s="6" t="s">
        <v>3029</v>
      </c>
      <c r="C1106" s="6" t="s">
        <v>1599</v>
      </c>
      <c r="D1106" s="6" t="s">
        <v>1661</v>
      </c>
    </row>
    <row r="1107" ht="22" customHeight="1" spans="1:4">
      <c r="A1107" s="6" t="s">
        <v>1601</v>
      </c>
      <c r="B1107" s="6" t="s">
        <v>3030</v>
      </c>
      <c r="C1107" s="6" t="s">
        <v>1599</v>
      </c>
      <c r="D1107" s="6" t="s">
        <v>1769</v>
      </c>
    </row>
    <row r="1108" ht="22" customHeight="1" spans="1:4">
      <c r="A1108" s="6" t="s">
        <v>1601</v>
      </c>
      <c r="B1108" s="6" t="s">
        <v>3031</v>
      </c>
      <c r="C1108" s="6" t="s">
        <v>1573</v>
      </c>
      <c r="D1108" s="6" t="s">
        <v>921</v>
      </c>
    </row>
    <row r="1109" ht="22" customHeight="1" spans="1:4">
      <c r="A1109" s="6" t="s">
        <v>1601</v>
      </c>
      <c r="B1109" s="6" t="s">
        <v>3032</v>
      </c>
      <c r="C1109" s="6" t="s">
        <v>1573</v>
      </c>
      <c r="D1109" s="6" t="s">
        <v>1888</v>
      </c>
    </row>
    <row r="1110" ht="22" customHeight="1" spans="1:4">
      <c r="A1110" s="6" t="s">
        <v>1601</v>
      </c>
      <c r="B1110" s="6" t="s">
        <v>3033</v>
      </c>
      <c r="C1110" s="6" t="s">
        <v>1573</v>
      </c>
      <c r="D1110" s="6" t="s">
        <v>2477</v>
      </c>
    </row>
    <row r="1111" ht="22" customHeight="1" spans="1:4">
      <c r="A1111" s="6" t="s">
        <v>1601</v>
      </c>
      <c r="B1111" s="6" t="s">
        <v>3034</v>
      </c>
      <c r="C1111" s="6" t="s">
        <v>1573</v>
      </c>
      <c r="D1111" s="6" t="s">
        <v>3035</v>
      </c>
    </row>
    <row r="1112" ht="22" customHeight="1" spans="1:4">
      <c r="A1112" s="6" t="s">
        <v>1601</v>
      </c>
      <c r="B1112" s="6" t="s">
        <v>3036</v>
      </c>
      <c r="C1112" s="6" t="s">
        <v>1573</v>
      </c>
      <c r="D1112" s="6" t="s">
        <v>1585</v>
      </c>
    </row>
    <row r="1113" ht="22" customHeight="1" spans="1:4">
      <c r="A1113" s="6" t="s">
        <v>1601</v>
      </c>
      <c r="B1113" s="6" t="s">
        <v>3037</v>
      </c>
      <c r="C1113" s="6" t="s">
        <v>1605</v>
      </c>
      <c r="D1113" s="6" t="s">
        <v>3038</v>
      </c>
    </row>
    <row r="1114" ht="22" customHeight="1" spans="1:4">
      <c r="A1114" s="6" t="s">
        <v>1601</v>
      </c>
      <c r="B1114" s="6" t="s">
        <v>3039</v>
      </c>
      <c r="C1114" s="6" t="s">
        <v>1573</v>
      </c>
      <c r="D1114" s="6" t="s">
        <v>1725</v>
      </c>
    </row>
    <row r="1115" ht="22" customHeight="1" spans="1:4">
      <c r="A1115" s="6" t="s">
        <v>1601</v>
      </c>
      <c r="B1115" s="6" t="s">
        <v>3040</v>
      </c>
      <c r="C1115" s="6" t="s">
        <v>1605</v>
      </c>
      <c r="D1115" s="6" t="s">
        <v>923</v>
      </c>
    </row>
    <row r="1116" ht="22" customHeight="1" spans="1:4">
      <c r="A1116" s="6" t="s">
        <v>1601</v>
      </c>
      <c r="B1116" s="6" t="s">
        <v>3041</v>
      </c>
      <c r="C1116" s="6" t="s">
        <v>1605</v>
      </c>
      <c r="D1116" s="6" t="s">
        <v>898</v>
      </c>
    </row>
    <row r="1117" ht="22" customHeight="1" spans="1:4">
      <c r="A1117" s="6" t="s">
        <v>1601</v>
      </c>
      <c r="B1117" s="6" t="s">
        <v>3042</v>
      </c>
      <c r="C1117" s="6" t="s">
        <v>1605</v>
      </c>
      <c r="D1117" s="6" t="s">
        <v>1900</v>
      </c>
    </row>
    <row r="1118" ht="22" customHeight="1" spans="1:4">
      <c r="A1118" s="6" t="s">
        <v>1601</v>
      </c>
      <c r="B1118" s="6" t="s">
        <v>3043</v>
      </c>
      <c r="C1118" s="6" t="s">
        <v>1599</v>
      </c>
      <c r="D1118" s="6" t="s">
        <v>3044</v>
      </c>
    </row>
    <row r="1119" ht="22" customHeight="1" spans="1:4">
      <c r="A1119" s="6" t="s">
        <v>1601</v>
      </c>
      <c r="B1119" s="6" t="s">
        <v>3045</v>
      </c>
      <c r="C1119" s="6" t="s">
        <v>1605</v>
      </c>
      <c r="D1119" s="6" t="s">
        <v>1744</v>
      </c>
    </row>
    <row r="1120" ht="22" customHeight="1" spans="1:4">
      <c r="A1120" s="6" t="s">
        <v>1601</v>
      </c>
      <c r="B1120" s="6" t="s">
        <v>3046</v>
      </c>
      <c r="C1120" s="6" t="s">
        <v>1573</v>
      </c>
      <c r="D1120" s="6" t="s">
        <v>275</v>
      </c>
    </row>
    <row r="1121" ht="22" customHeight="1" spans="1:4">
      <c r="A1121" s="6" t="s">
        <v>1601</v>
      </c>
      <c r="B1121" s="6" t="s">
        <v>3047</v>
      </c>
      <c r="C1121" s="6" t="s">
        <v>1570</v>
      </c>
      <c r="D1121" s="6" t="s">
        <v>1571</v>
      </c>
    </row>
    <row r="1122" ht="22" customHeight="1" spans="1:4">
      <c r="A1122" s="6" t="s">
        <v>1601</v>
      </c>
      <c r="B1122" s="6" t="s">
        <v>3048</v>
      </c>
      <c r="C1122" s="6" t="s">
        <v>1605</v>
      </c>
      <c r="D1122" s="6" t="s">
        <v>898</v>
      </c>
    </row>
    <row r="1123" ht="22" customHeight="1" spans="1:4">
      <c r="A1123" s="6" t="s">
        <v>1601</v>
      </c>
      <c r="B1123" s="6" t="s">
        <v>3049</v>
      </c>
      <c r="C1123" s="6" t="s">
        <v>1570</v>
      </c>
      <c r="D1123" s="6" t="s">
        <v>1571</v>
      </c>
    </row>
    <row r="1124" ht="22" customHeight="1" spans="1:4">
      <c r="A1124" s="6" t="s">
        <v>1601</v>
      </c>
      <c r="B1124" s="6" t="s">
        <v>3050</v>
      </c>
      <c r="C1124" s="6" t="s">
        <v>1599</v>
      </c>
      <c r="D1124" s="6" t="s">
        <v>3051</v>
      </c>
    </row>
    <row r="1125" ht="22" customHeight="1" spans="1:4">
      <c r="A1125" s="6" t="s">
        <v>1601</v>
      </c>
      <c r="B1125" s="6" t="s">
        <v>3052</v>
      </c>
      <c r="C1125" s="6" t="s">
        <v>1599</v>
      </c>
      <c r="D1125" s="6" t="s">
        <v>3053</v>
      </c>
    </row>
    <row r="1126" ht="22" customHeight="1" spans="1:4">
      <c r="A1126" s="6" t="s">
        <v>1601</v>
      </c>
      <c r="B1126" s="6" t="s">
        <v>3054</v>
      </c>
      <c r="C1126" s="6" t="s">
        <v>1599</v>
      </c>
      <c r="D1126" s="6" t="s">
        <v>3055</v>
      </c>
    </row>
    <row r="1127" ht="22" customHeight="1" spans="1:4">
      <c r="A1127" s="6" t="s">
        <v>1601</v>
      </c>
      <c r="B1127" s="6" t="s">
        <v>3056</v>
      </c>
      <c r="C1127" s="6" t="s">
        <v>1599</v>
      </c>
      <c r="D1127" s="6" t="s">
        <v>2811</v>
      </c>
    </row>
    <row r="1128" ht="22" customHeight="1" spans="1:4">
      <c r="A1128" s="6" t="s">
        <v>1601</v>
      </c>
      <c r="B1128" s="6" t="s">
        <v>3057</v>
      </c>
      <c r="C1128" s="6" t="s">
        <v>1599</v>
      </c>
      <c r="D1128" s="6" t="s">
        <v>3058</v>
      </c>
    </row>
    <row r="1129" ht="22" customHeight="1" spans="1:4">
      <c r="A1129" s="6" t="s">
        <v>1601</v>
      </c>
      <c r="B1129" s="6" t="s">
        <v>3059</v>
      </c>
      <c r="C1129" s="6" t="s">
        <v>1605</v>
      </c>
      <c r="D1129" s="6" t="s">
        <v>3060</v>
      </c>
    </row>
    <row r="1130" ht="22" customHeight="1" spans="1:4">
      <c r="A1130" s="6" t="s">
        <v>1601</v>
      </c>
      <c r="B1130" s="6" t="s">
        <v>3061</v>
      </c>
      <c r="C1130" s="6" t="s">
        <v>1599</v>
      </c>
      <c r="D1130" s="6" t="s">
        <v>1653</v>
      </c>
    </row>
    <row r="1131" ht="22" customHeight="1" spans="1:4">
      <c r="A1131" s="6" t="s">
        <v>1601</v>
      </c>
      <c r="B1131" s="6" t="s">
        <v>3062</v>
      </c>
      <c r="C1131" s="6" t="s">
        <v>1599</v>
      </c>
      <c r="D1131" s="6" t="s">
        <v>1655</v>
      </c>
    </row>
    <row r="1132" ht="22" customHeight="1" spans="1:4">
      <c r="A1132" s="6" t="s">
        <v>1601</v>
      </c>
      <c r="B1132" s="6" t="s">
        <v>3063</v>
      </c>
      <c r="C1132" s="6" t="s">
        <v>1599</v>
      </c>
      <c r="D1132" s="6" t="s">
        <v>1661</v>
      </c>
    </row>
    <row r="1133" ht="22" customHeight="1" spans="1:4">
      <c r="A1133" s="6" t="s">
        <v>1601</v>
      </c>
      <c r="B1133" s="6" t="s">
        <v>3064</v>
      </c>
      <c r="C1133" s="6" t="s">
        <v>1599</v>
      </c>
      <c r="D1133" s="6" t="s">
        <v>1723</v>
      </c>
    </row>
    <row r="1134" ht="22" customHeight="1" spans="1:4">
      <c r="A1134" s="6" t="s">
        <v>1601</v>
      </c>
      <c r="B1134" s="6" t="s">
        <v>3065</v>
      </c>
      <c r="C1134" s="6" t="s">
        <v>1573</v>
      </c>
      <c r="D1134" s="6" t="s">
        <v>921</v>
      </c>
    </row>
    <row r="1135" ht="22" customHeight="1" spans="1:4">
      <c r="A1135" s="6" t="s">
        <v>1601</v>
      </c>
      <c r="B1135" s="6" t="s">
        <v>3066</v>
      </c>
      <c r="C1135" s="6" t="s">
        <v>1573</v>
      </c>
      <c r="D1135" s="6" t="s">
        <v>1888</v>
      </c>
    </row>
    <row r="1136" ht="22" customHeight="1" spans="1:4">
      <c r="A1136" s="6" t="s">
        <v>1601</v>
      </c>
      <c r="B1136" s="6" t="s">
        <v>3067</v>
      </c>
      <c r="C1136" s="6" t="s">
        <v>1573</v>
      </c>
      <c r="D1136" s="6" t="s">
        <v>3068</v>
      </c>
    </row>
    <row r="1137" ht="22" customHeight="1" spans="1:4">
      <c r="A1137" s="6" t="s">
        <v>1601</v>
      </c>
      <c r="B1137" s="6" t="s">
        <v>3069</v>
      </c>
      <c r="C1137" s="6" t="s">
        <v>1573</v>
      </c>
      <c r="D1137" s="6" t="s">
        <v>3070</v>
      </c>
    </row>
    <row r="1138" ht="22" customHeight="1" spans="1:4">
      <c r="A1138" s="6" t="s">
        <v>1601</v>
      </c>
      <c r="B1138" s="6" t="s">
        <v>3071</v>
      </c>
      <c r="C1138" s="6" t="s">
        <v>1573</v>
      </c>
      <c r="D1138" s="6" t="s">
        <v>1596</v>
      </c>
    </row>
    <row r="1139" ht="22" customHeight="1" spans="1:4">
      <c r="A1139" s="6" t="s">
        <v>1601</v>
      </c>
      <c r="B1139" s="6" t="s">
        <v>3072</v>
      </c>
      <c r="C1139" s="6" t="s">
        <v>1605</v>
      </c>
      <c r="D1139" s="6" t="s">
        <v>2198</v>
      </c>
    </row>
    <row r="1140" ht="22" customHeight="1" spans="1:4">
      <c r="A1140" s="6" t="s">
        <v>1601</v>
      </c>
      <c r="B1140" s="6" t="s">
        <v>3073</v>
      </c>
      <c r="C1140" s="6" t="s">
        <v>1573</v>
      </c>
      <c r="D1140" s="6" t="s">
        <v>1725</v>
      </c>
    </row>
    <row r="1141" ht="22" customHeight="1" spans="1:4">
      <c r="A1141" s="6" t="s">
        <v>1601</v>
      </c>
      <c r="B1141" s="6" t="s">
        <v>3074</v>
      </c>
      <c r="C1141" s="6" t="s">
        <v>1605</v>
      </c>
      <c r="D1141" s="6" t="s">
        <v>1738</v>
      </c>
    </row>
    <row r="1142" ht="22" customHeight="1" spans="1:4">
      <c r="A1142" s="6" t="s">
        <v>1601</v>
      </c>
      <c r="B1142" s="6" t="s">
        <v>3075</v>
      </c>
      <c r="C1142" s="6" t="s">
        <v>1605</v>
      </c>
      <c r="D1142" s="6" t="s">
        <v>898</v>
      </c>
    </row>
    <row r="1143" ht="22" customHeight="1" spans="1:4">
      <c r="A1143" s="6" t="s">
        <v>1601</v>
      </c>
      <c r="B1143" s="6" t="s">
        <v>3076</v>
      </c>
      <c r="C1143" s="6" t="s">
        <v>1605</v>
      </c>
      <c r="D1143" s="6" t="s">
        <v>1900</v>
      </c>
    </row>
    <row r="1144" ht="22" customHeight="1" spans="1:4">
      <c r="A1144" s="6" t="s">
        <v>1601</v>
      </c>
      <c r="B1144" s="6" t="s">
        <v>3077</v>
      </c>
      <c r="C1144" s="6" t="s">
        <v>1599</v>
      </c>
      <c r="D1144" s="6" t="s">
        <v>3078</v>
      </c>
    </row>
    <row r="1145" ht="22" customHeight="1" spans="1:4">
      <c r="A1145" s="6" t="s">
        <v>1601</v>
      </c>
      <c r="B1145" s="6" t="s">
        <v>3079</v>
      </c>
      <c r="C1145" s="6" t="s">
        <v>1714</v>
      </c>
      <c r="D1145" s="6" t="s">
        <v>1715</v>
      </c>
    </row>
    <row r="1146" ht="22" customHeight="1" spans="1:4">
      <c r="A1146" s="6" t="s">
        <v>1601</v>
      </c>
      <c r="B1146" s="6" t="s">
        <v>3080</v>
      </c>
      <c r="C1146" s="6" t="s">
        <v>1605</v>
      </c>
      <c r="D1146" s="6" t="s">
        <v>3081</v>
      </c>
    </row>
    <row r="1147" ht="22" customHeight="1" spans="1:4">
      <c r="A1147" s="6" t="s">
        <v>1601</v>
      </c>
      <c r="B1147" s="6" t="s">
        <v>3082</v>
      </c>
      <c r="C1147" s="6" t="s">
        <v>1605</v>
      </c>
      <c r="D1147" s="6" t="s">
        <v>1738</v>
      </c>
    </row>
    <row r="1148" ht="22" customHeight="1" spans="1:4">
      <c r="A1148" s="6" t="s">
        <v>1601</v>
      </c>
      <c r="B1148" s="6" t="s">
        <v>3083</v>
      </c>
      <c r="C1148" s="6" t="s">
        <v>1714</v>
      </c>
      <c r="D1148" s="6" t="s">
        <v>1715</v>
      </c>
    </row>
    <row r="1149" ht="22" customHeight="1" spans="1:4">
      <c r="A1149" s="6" t="s">
        <v>1601</v>
      </c>
      <c r="B1149" s="6" t="s">
        <v>3084</v>
      </c>
      <c r="C1149" s="6" t="s">
        <v>1570</v>
      </c>
      <c r="D1149" s="6" t="s">
        <v>1571</v>
      </c>
    </row>
    <row r="1150" ht="22" customHeight="1" spans="1:4">
      <c r="A1150" s="6" t="s">
        <v>1601</v>
      </c>
      <c r="B1150" s="6" t="s">
        <v>3085</v>
      </c>
      <c r="C1150" s="6" t="s">
        <v>1605</v>
      </c>
      <c r="D1150" s="6" t="s">
        <v>3086</v>
      </c>
    </row>
    <row r="1151" ht="22" customHeight="1" spans="1:4">
      <c r="A1151" s="6" t="s">
        <v>1601</v>
      </c>
      <c r="B1151" s="6" t="s">
        <v>3087</v>
      </c>
      <c r="C1151" s="6" t="s">
        <v>1605</v>
      </c>
      <c r="D1151" s="6" t="s">
        <v>1641</v>
      </c>
    </row>
    <row r="1152" ht="22" customHeight="1" spans="1:4">
      <c r="A1152" s="6" t="s">
        <v>3088</v>
      </c>
      <c r="B1152" s="6" t="s">
        <v>1569</v>
      </c>
      <c r="C1152" s="6" t="s">
        <v>1570</v>
      </c>
      <c r="D1152" s="6" t="s">
        <v>1571</v>
      </c>
    </row>
    <row r="1153" ht="22" customHeight="1" spans="1:4">
      <c r="A1153" s="6" t="s">
        <v>3088</v>
      </c>
      <c r="B1153" s="6" t="s">
        <v>3089</v>
      </c>
      <c r="C1153" s="6" t="s">
        <v>1576</v>
      </c>
      <c r="D1153" s="6" t="s">
        <v>1571</v>
      </c>
    </row>
    <row r="1154" ht="22" customHeight="1" spans="1:4">
      <c r="A1154" s="6" t="s">
        <v>3088</v>
      </c>
      <c r="B1154" s="6" t="s">
        <v>3090</v>
      </c>
      <c r="C1154" s="6" t="s">
        <v>1573</v>
      </c>
      <c r="D1154" s="6" t="s">
        <v>1623</v>
      </c>
    </row>
    <row r="1155" ht="22" customHeight="1" spans="1:4">
      <c r="A1155" s="6" t="s">
        <v>3088</v>
      </c>
      <c r="B1155" s="6" t="s">
        <v>3091</v>
      </c>
      <c r="C1155" s="6" t="s">
        <v>1573</v>
      </c>
      <c r="D1155" s="6" t="s">
        <v>1725</v>
      </c>
    </row>
    <row r="1156" ht="22" customHeight="1" spans="1:4">
      <c r="A1156" s="6" t="s">
        <v>3088</v>
      </c>
      <c r="B1156" s="6" t="s">
        <v>3092</v>
      </c>
      <c r="C1156" s="6" t="s">
        <v>1573</v>
      </c>
      <c r="D1156" s="6" t="s">
        <v>275</v>
      </c>
    </row>
    <row r="1157" ht="22" customHeight="1" spans="1:4">
      <c r="A1157" s="6" t="s">
        <v>3088</v>
      </c>
      <c r="B1157" s="6" t="s">
        <v>3093</v>
      </c>
      <c r="C1157" s="6" t="s">
        <v>1573</v>
      </c>
      <c r="D1157" s="6" t="s">
        <v>2053</v>
      </c>
    </row>
    <row r="1158" ht="22" customHeight="1" spans="1:4">
      <c r="A1158" s="6" t="s">
        <v>3088</v>
      </c>
      <c r="B1158" s="6" t="s">
        <v>3094</v>
      </c>
      <c r="C1158" s="6" t="s">
        <v>1573</v>
      </c>
      <c r="D1158" s="6" t="s">
        <v>1593</v>
      </c>
    </row>
    <row r="1159" ht="22" customHeight="1" spans="1:4">
      <c r="A1159" s="6" t="s">
        <v>3088</v>
      </c>
      <c r="B1159" s="6" t="s">
        <v>3095</v>
      </c>
      <c r="C1159" s="6" t="s">
        <v>1573</v>
      </c>
      <c r="D1159" s="6" t="s">
        <v>3096</v>
      </c>
    </row>
    <row r="1160" ht="22" customHeight="1" spans="1:4">
      <c r="A1160" s="6" t="s">
        <v>3088</v>
      </c>
      <c r="B1160" s="6" t="s">
        <v>3097</v>
      </c>
      <c r="C1160" s="6" t="s">
        <v>1573</v>
      </c>
      <c r="D1160" s="6" t="s">
        <v>3098</v>
      </c>
    </row>
    <row r="1161" ht="22" customHeight="1" spans="1:4">
      <c r="A1161" s="6" t="s">
        <v>3088</v>
      </c>
      <c r="B1161" s="6" t="s">
        <v>3099</v>
      </c>
      <c r="C1161" s="6" t="s">
        <v>1573</v>
      </c>
      <c r="D1161" s="6" t="s">
        <v>1733</v>
      </c>
    </row>
    <row r="1162" ht="22" customHeight="1" spans="1:4">
      <c r="A1162" s="6" t="s">
        <v>3088</v>
      </c>
      <c r="B1162" s="6" t="s">
        <v>3100</v>
      </c>
      <c r="C1162" s="6" t="s">
        <v>1573</v>
      </c>
      <c r="D1162" s="6" t="s">
        <v>1596</v>
      </c>
    </row>
    <row r="1163" ht="22" customHeight="1" spans="1:4">
      <c r="A1163" s="6" t="s">
        <v>3088</v>
      </c>
      <c r="B1163" s="6" t="s">
        <v>3101</v>
      </c>
      <c r="C1163" s="6" t="s">
        <v>1573</v>
      </c>
      <c r="D1163" s="6" t="s">
        <v>3102</v>
      </c>
    </row>
    <row r="1164" ht="22" customHeight="1" spans="1:4">
      <c r="A1164" s="6" t="s">
        <v>3088</v>
      </c>
      <c r="B1164" s="6" t="s">
        <v>3103</v>
      </c>
      <c r="C1164" s="6" t="s">
        <v>1573</v>
      </c>
      <c r="D1164" s="6" t="s">
        <v>3104</v>
      </c>
    </row>
    <row r="1165" ht="22" customHeight="1" spans="1:4">
      <c r="A1165" s="6" t="s">
        <v>3088</v>
      </c>
      <c r="B1165" s="6" t="s">
        <v>3105</v>
      </c>
      <c r="C1165" s="6" t="s">
        <v>1570</v>
      </c>
      <c r="D1165" s="6" t="s">
        <v>1571</v>
      </c>
    </row>
    <row r="1166" ht="22" customHeight="1" spans="1:4">
      <c r="A1166" s="6" t="s">
        <v>3088</v>
      </c>
      <c r="B1166" s="6" t="s">
        <v>3106</v>
      </c>
      <c r="C1166" s="6" t="s">
        <v>1573</v>
      </c>
      <c r="D1166" s="6" t="s">
        <v>921</v>
      </c>
    </row>
    <row r="1167" ht="22" customHeight="1" spans="1:4">
      <c r="A1167" s="6" t="s">
        <v>3088</v>
      </c>
      <c r="B1167" s="6" t="s">
        <v>3107</v>
      </c>
      <c r="C1167" s="6" t="s">
        <v>1573</v>
      </c>
      <c r="D1167" s="6" t="s">
        <v>275</v>
      </c>
    </row>
    <row r="1168" ht="22" customHeight="1" spans="1:4">
      <c r="A1168" s="6" t="s">
        <v>3088</v>
      </c>
      <c r="B1168" s="6" t="s">
        <v>3108</v>
      </c>
      <c r="C1168" s="6" t="s">
        <v>1573</v>
      </c>
      <c r="D1168" s="6" t="s">
        <v>463</v>
      </c>
    </row>
    <row r="1169" ht="22" customHeight="1" spans="1:4">
      <c r="A1169" s="6" t="s">
        <v>3088</v>
      </c>
      <c r="B1169" s="6" t="s">
        <v>3109</v>
      </c>
      <c r="C1169" s="6" t="s">
        <v>1573</v>
      </c>
      <c r="D1169" s="6" t="s">
        <v>463</v>
      </c>
    </row>
    <row r="1170" ht="22" customHeight="1" spans="1:4">
      <c r="A1170" s="6" t="s">
        <v>3088</v>
      </c>
      <c r="B1170" s="6" t="s">
        <v>3110</v>
      </c>
      <c r="C1170" s="6" t="s">
        <v>1573</v>
      </c>
      <c r="D1170" s="6" t="s">
        <v>493</v>
      </c>
    </row>
    <row r="1171" ht="22" customHeight="1" spans="1:4">
      <c r="A1171" s="6" t="s">
        <v>3088</v>
      </c>
      <c r="B1171" s="6" t="s">
        <v>3111</v>
      </c>
      <c r="C1171" s="6" t="s">
        <v>1573</v>
      </c>
      <c r="D1171" s="6" t="s">
        <v>493</v>
      </c>
    </row>
    <row r="1172" ht="22" customHeight="1" spans="1:4">
      <c r="A1172" s="6" t="s">
        <v>3088</v>
      </c>
      <c r="B1172" s="6" t="s">
        <v>3112</v>
      </c>
      <c r="C1172" s="6" t="s">
        <v>1573</v>
      </c>
      <c r="D1172" s="6" t="s">
        <v>493</v>
      </c>
    </row>
    <row r="1173" ht="22" customHeight="1" spans="1:4">
      <c r="A1173" s="6" t="s">
        <v>3088</v>
      </c>
      <c r="B1173" s="6" t="s">
        <v>3113</v>
      </c>
      <c r="C1173" s="6" t="s">
        <v>1573</v>
      </c>
      <c r="D1173" s="6" t="s">
        <v>493</v>
      </c>
    </row>
    <row r="1174" ht="22" customHeight="1" spans="1:4">
      <c r="A1174" s="6" t="s">
        <v>3088</v>
      </c>
      <c r="B1174" s="6" t="s">
        <v>3114</v>
      </c>
      <c r="C1174" s="6" t="s">
        <v>1573</v>
      </c>
      <c r="D1174" s="6" t="s">
        <v>1593</v>
      </c>
    </row>
    <row r="1175" ht="22" customHeight="1" spans="1:4">
      <c r="A1175" s="6" t="s">
        <v>3088</v>
      </c>
      <c r="B1175" s="6" t="s">
        <v>3115</v>
      </c>
      <c r="C1175" s="6" t="s">
        <v>1573</v>
      </c>
      <c r="D1175" s="6" t="s">
        <v>1593</v>
      </c>
    </row>
    <row r="1176" ht="22" customHeight="1" spans="1:4">
      <c r="A1176" s="6" t="s">
        <v>3088</v>
      </c>
      <c r="B1176" s="6" t="s">
        <v>3116</v>
      </c>
      <c r="C1176" s="6" t="s">
        <v>1573</v>
      </c>
      <c r="D1176" s="6" t="s">
        <v>1593</v>
      </c>
    </row>
    <row r="1177" ht="22" customHeight="1" spans="1:4">
      <c r="A1177" s="6" t="s">
        <v>3088</v>
      </c>
      <c r="B1177" s="6" t="s">
        <v>3117</v>
      </c>
      <c r="C1177" s="6" t="s">
        <v>1573</v>
      </c>
      <c r="D1177" s="6" t="s">
        <v>922</v>
      </c>
    </row>
    <row r="1178" ht="22" customHeight="1" spans="1:4">
      <c r="A1178" s="6" t="s">
        <v>3088</v>
      </c>
      <c r="B1178" s="6" t="s">
        <v>3118</v>
      </c>
      <c r="C1178" s="6" t="s">
        <v>1573</v>
      </c>
      <c r="D1178" s="6" t="s">
        <v>922</v>
      </c>
    </row>
    <row r="1179" ht="22" customHeight="1" spans="1:4">
      <c r="A1179" s="6" t="s">
        <v>3088</v>
      </c>
      <c r="B1179" s="6" t="s">
        <v>3119</v>
      </c>
      <c r="C1179" s="6" t="s">
        <v>1573</v>
      </c>
      <c r="D1179" s="6" t="s">
        <v>922</v>
      </c>
    </row>
    <row r="1180" ht="22" customHeight="1" spans="1:4">
      <c r="A1180" s="6" t="s">
        <v>3088</v>
      </c>
      <c r="B1180" s="6" t="s">
        <v>3120</v>
      </c>
      <c r="C1180" s="6" t="s">
        <v>1573</v>
      </c>
      <c r="D1180" s="6" t="s">
        <v>1587</v>
      </c>
    </row>
    <row r="1181" ht="22" customHeight="1" spans="1:4">
      <c r="A1181" s="6" t="s">
        <v>3088</v>
      </c>
      <c r="B1181" s="6" t="s">
        <v>3121</v>
      </c>
      <c r="C1181" s="6" t="s">
        <v>1573</v>
      </c>
      <c r="D1181" s="6" t="s">
        <v>1587</v>
      </c>
    </row>
    <row r="1182" ht="22" customHeight="1" spans="1:4">
      <c r="A1182" s="6" t="s">
        <v>3088</v>
      </c>
      <c r="B1182" s="6" t="s">
        <v>3122</v>
      </c>
      <c r="C1182" s="6" t="s">
        <v>1573</v>
      </c>
      <c r="D1182" s="6" t="s">
        <v>1580</v>
      </c>
    </row>
    <row r="1183" ht="22" customHeight="1" spans="1:4">
      <c r="A1183" s="6" t="s">
        <v>3088</v>
      </c>
      <c r="B1183" s="6" t="s">
        <v>3123</v>
      </c>
      <c r="C1183" s="6" t="s">
        <v>1570</v>
      </c>
      <c r="D1183" s="6" t="s">
        <v>1571</v>
      </c>
    </row>
    <row r="1184" ht="22" customHeight="1" spans="1:4">
      <c r="A1184" s="6" t="s">
        <v>3088</v>
      </c>
      <c r="B1184" s="6" t="s">
        <v>3124</v>
      </c>
      <c r="C1184" s="6" t="s">
        <v>1605</v>
      </c>
      <c r="D1184" s="6" t="s">
        <v>2272</v>
      </c>
    </row>
    <row r="1185" ht="22" customHeight="1" spans="1:4">
      <c r="A1185" s="6" t="s">
        <v>3088</v>
      </c>
      <c r="B1185" s="6" t="s">
        <v>3125</v>
      </c>
      <c r="C1185" s="6" t="s">
        <v>1605</v>
      </c>
      <c r="D1185" s="6" t="s">
        <v>3126</v>
      </c>
    </row>
    <row r="1186" ht="22" customHeight="1" spans="1:4">
      <c r="A1186" s="6" t="s">
        <v>3088</v>
      </c>
      <c r="B1186" s="6" t="s">
        <v>3127</v>
      </c>
      <c r="C1186" s="6" t="s">
        <v>1605</v>
      </c>
      <c r="D1186" s="6" t="s">
        <v>1973</v>
      </c>
    </row>
    <row r="1187" ht="22" customHeight="1" spans="1:4">
      <c r="A1187" s="6" t="s">
        <v>3088</v>
      </c>
      <c r="B1187" s="6" t="s">
        <v>3128</v>
      </c>
      <c r="C1187" s="6" t="s">
        <v>1605</v>
      </c>
      <c r="D1187" s="6" t="s">
        <v>3126</v>
      </c>
    </row>
    <row r="1188" ht="22" customHeight="1" spans="1:4">
      <c r="A1188" s="6" t="s">
        <v>3088</v>
      </c>
      <c r="B1188" s="6" t="s">
        <v>3129</v>
      </c>
      <c r="C1188" s="6" t="s">
        <v>1605</v>
      </c>
      <c r="D1188" s="6" t="s">
        <v>1942</v>
      </c>
    </row>
    <row r="1189" ht="22" customHeight="1" spans="1:4">
      <c r="A1189" s="6" t="s">
        <v>3088</v>
      </c>
      <c r="B1189" s="6" t="s">
        <v>3130</v>
      </c>
      <c r="C1189" s="6" t="s">
        <v>1576</v>
      </c>
      <c r="D1189" s="6" t="s">
        <v>1571</v>
      </c>
    </row>
    <row r="1190" ht="22" customHeight="1" spans="1:4">
      <c r="A1190" s="6" t="s">
        <v>3088</v>
      </c>
      <c r="B1190" s="6" t="s">
        <v>3131</v>
      </c>
      <c r="C1190" s="6" t="s">
        <v>1570</v>
      </c>
      <c r="D1190" s="6" t="s">
        <v>1571</v>
      </c>
    </row>
    <row r="1191" ht="22" customHeight="1" spans="1:4">
      <c r="A1191" s="6" t="s">
        <v>3088</v>
      </c>
      <c r="B1191" s="6" t="s">
        <v>3132</v>
      </c>
      <c r="C1191" s="6" t="s">
        <v>1599</v>
      </c>
      <c r="D1191" s="6" t="s">
        <v>3133</v>
      </c>
    </row>
    <row r="1192" ht="22" customHeight="1" spans="1:4">
      <c r="A1192" s="6" t="s">
        <v>3088</v>
      </c>
      <c r="B1192" s="6" t="s">
        <v>3134</v>
      </c>
      <c r="C1192" s="6" t="s">
        <v>1576</v>
      </c>
      <c r="D1192" s="6" t="s">
        <v>1571</v>
      </c>
    </row>
    <row r="1193" ht="22" customHeight="1" spans="1:4">
      <c r="A1193" s="6" t="s">
        <v>3088</v>
      </c>
      <c r="B1193" s="6" t="s">
        <v>3135</v>
      </c>
      <c r="C1193" s="6" t="s">
        <v>1599</v>
      </c>
      <c r="D1193" s="6" t="s">
        <v>1661</v>
      </c>
    </row>
    <row r="1194" ht="22" customHeight="1" spans="1:4">
      <c r="A1194" s="6" t="s">
        <v>3088</v>
      </c>
      <c r="B1194" s="6" t="s">
        <v>3136</v>
      </c>
      <c r="C1194" s="6" t="s">
        <v>1599</v>
      </c>
      <c r="D1194" s="6" t="s">
        <v>3137</v>
      </c>
    </row>
    <row r="1195" ht="22" customHeight="1" spans="1:4">
      <c r="A1195" s="6" t="s">
        <v>3088</v>
      </c>
      <c r="B1195" s="6" t="s">
        <v>3138</v>
      </c>
      <c r="C1195" s="6" t="s">
        <v>1599</v>
      </c>
      <c r="D1195" s="6" t="s">
        <v>3139</v>
      </c>
    </row>
    <row r="1196" ht="22" customHeight="1" spans="1:4">
      <c r="A1196" s="6" t="s">
        <v>3088</v>
      </c>
      <c r="B1196" s="6" t="s">
        <v>3140</v>
      </c>
      <c r="C1196" s="6" t="s">
        <v>1599</v>
      </c>
      <c r="D1196" s="6" t="s">
        <v>1769</v>
      </c>
    </row>
    <row r="1197" ht="22" customHeight="1" spans="1:4">
      <c r="A1197" s="6" t="s">
        <v>3088</v>
      </c>
      <c r="B1197" s="6" t="s">
        <v>3141</v>
      </c>
      <c r="C1197" s="6" t="s">
        <v>1599</v>
      </c>
      <c r="D1197" s="6" t="s">
        <v>1769</v>
      </c>
    </row>
    <row r="1198" ht="22" customHeight="1" spans="1:4">
      <c r="A1198" s="6" t="s">
        <v>3088</v>
      </c>
      <c r="B1198" s="6" t="s">
        <v>3142</v>
      </c>
      <c r="C1198" s="6" t="s">
        <v>1573</v>
      </c>
      <c r="D1198" s="6" t="s">
        <v>2308</v>
      </c>
    </row>
    <row r="1199" ht="22" customHeight="1" spans="1:4">
      <c r="A1199" s="6" t="s">
        <v>3088</v>
      </c>
      <c r="B1199" s="6" t="s">
        <v>3143</v>
      </c>
      <c r="C1199" s="6" t="s">
        <v>1573</v>
      </c>
      <c r="D1199" s="6" t="s">
        <v>2552</v>
      </c>
    </row>
    <row r="1200" ht="22" customHeight="1" spans="1:4">
      <c r="A1200" s="6" t="s">
        <v>3088</v>
      </c>
      <c r="B1200" s="6" t="s">
        <v>3144</v>
      </c>
      <c r="C1200" s="6" t="s">
        <v>1573</v>
      </c>
      <c r="D1200" s="6" t="s">
        <v>921</v>
      </c>
    </row>
    <row r="1201" ht="22" customHeight="1" spans="1:4">
      <c r="A1201" s="6" t="s">
        <v>3088</v>
      </c>
      <c r="B1201" s="6" t="s">
        <v>3145</v>
      </c>
      <c r="C1201" s="6" t="s">
        <v>1605</v>
      </c>
      <c r="D1201" s="6" t="s">
        <v>3146</v>
      </c>
    </row>
    <row r="1202" ht="22" customHeight="1" spans="1:4">
      <c r="A1202" s="6" t="s">
        <v>3088</v>
      </c>
      <c r="B1202" s="6" t="s">
        <v>3147</v>
      </c>
      <c r="C1202" s="6" t="s">
        <v>1573</v>
      </c>
      <c r="D1202" s="6" t="s">
        <v>1623</v>
      </c>
    </row>
    <row r="1203" ht="22" customHeight="1" spans="1:4">
      <c r="A1203" s="6" t="s">
        <v>3088</v>
      </c>
      <c r="B1203" s="6" t="s">
        <v>3148</v>
      </c>
      <c r="C1203" s="6" t="s">
        <v>1605</v>
      </c>
      <c r="D1203" s="6" t="s">
        <v>942</v>
      </c>
    </row>
    <row r="1204" ht="22" customHeight="1" spans="1:4">
      <c r="A1204" s="6" t="s">
        <v>3088</v>
      </c>
      <c r="B1204" s="6" t="s">
        <v>3149</v>
      </c>
      <c r="C1204" s="6" t="s">
        <v>1599</v>
      </c>
      <c r="D1204" s="6" t="s">
        <v>3150</v>
      </c>
    </row>
    <row r="1205" ht="22" customHeight="1" spans="1:4">
      <c r="A1205" s="6" t="s">
        <v>3088</v>
      </c>
      <c r="B1205" s="6" t="s">
        <v>3151</v>
      </c>
      <c r="C1205" s="6" t="s">
        <v>1605</v>
      </c>
      <c r="D1205" s="6" t="s">
        <v>1942</v>
      </c>
    </row>
    <row r="1206" ht="22" customHeight="1" spans="1:4">
      <c r="A1206" s="6" t="s">
        <v>3088</v>
      </c>
      <c r="B1206" s="6" t="s">
        <v>3152</v>
      </c>
      <c r="C1206" s="6" t="s">
        <v>1605</v>
      </c>
      <c r="D1206" s="6" t="s">
        <v>2237</v>
      </c>
    </row>
    <row r="1207" ht="22" customHeight="1" spans="1:4">
      <c r="A1207" s="6" t="s">
        <v>3088</v>
      </c>
      <c r="B1207" s="6" t="s">
        <v>3153</v>
      </c>
      <c r="C1207" s="6" t="s">
        <v>1599</v>
      </c>
      <c r="D1207" s="6" t="s">
        <v>3154</v>
      </c>
    </row>
    <row r="1208" ht="22" customHeight="1" spans="1:4">
      <c r="A1208" s="6" t="s">
        <v>3088</v>
      </c>
      <c r="B1208" s="6" t="s">
        <v>3155</v>
      </c>
      <c r="C1208" s="6" t="s">
        <v>1605</v>
      </c>
      <c r="D1208" s="6" t="s">
        <v>1649</v>
      </c>
    </row>
    <row r="1209" ht="22" customHeight="1" spans="1:4">
      <c r="A1209" s="6" t="s">
        <v>3088</v>
      </c>
      <c r="B1209" s="6" t="s">
        <v>3156</v>
      </c>
      <c r="C1209" s="6" t="s">
        <v>1605</v>
      </c>
      <c r="D1209" s="6" t="s">
        <v>1651</v>
      </c>
    </row>
    <row r="1210" ht="22" customHeight="1" spans="1:4">
      <c r="A1210" s="6" t="s">
        <v>3088</v>
      </c>
      <c r="B1210" s="6" t="s">
        <v>3157</v>
      </c>
      <c r="C1210" s="6" t="s">
        <v>1599</v>
      </c>
      <c r="D1210" s="6" t="s">
        <v>1653</v>
      </c>
    </row>
    <row r="1211" ht="22" customHeight="1" spans="1:4">
      <c r="A1211" s="6" t="s">
        <v>3088</v>
      </c>
      <c r="B1211" s="6" t="s">
        <v>3158</v>
      </c>
      <c r="C1211" s="6" t="s">
        <v>1599</v>
      </c>
      <c r="D1211" s="6" t="s">
        <v>1655</v>
      </c>
    </row>
    <row r="1212" ht="22" customHeight="1" spans="1:4">
      <c r="A1212" s="6" t="s">
        <v>3088</v>
      </c>
      <c r="B1212" s="6" t="s">
        <v>3159</v>
      </c>
      <c r="C1212" s="6" t="s">
        <v>1605</v>
      </c>
      <c r="D1212" s="6" t="s">
        <v>1657</v>
      </c>
    </row>
    <row r="1213" ht="22" customHeight="1" spans="1:4">
      <c r="A1213" s="6" t="s">
        <v>3088</v>
      </c>
      <c r="B1213" s="6" t="s">
        <v>3160</v>
      </c>
      <c r="C1213" s="6" t="s">
        <v>1605</v>
      </c>
      <c r="D1213" s="6" t="s">
        <v>3161</v>
      </c>
    </row>
    <row r="1214" ht="22" customHeight="1" spans="1:4">
      <c r="A1214" s="6" t="s">
        <v>3088</v>
      </c>
      <c r="B1214" s="6" t="s">
        <v>3162</v>
      </c>
      <c r="C1214" s="6" t="s">
        <v>1599</v>
      </c>
      <c r="D1214" s="6" t="s">
        <v>1661</v>
      </c>
    </row>
    <row r="1215" ht="22" customHeight="1" spans="1:4">
      <c r="A1215" s="6" t="s">
        <v>3088</v>
      </c>
      <c r="B1215" s="6" t="s">
        <v>3163</v>
      </c>
      <c r="C1215" s="6" t="s">
        <v>1570</v>
      </c>
      <c r="D1215" s="6" t="s">
        <v>1571</v>
      </c>
    </row>
    <row r="1216" ht="22" customHeight="1" spans="1:4">
      <c r="A1216" s="6" t="s">
        <v>3088</v>
      </c>
      <c r="B1216" s="6" t="s">
        <v>3164</v>
      </c>
      <c r="C1216" s="6" t="s">
        <v>1599</v>
      </c>
      <c r="D1216" s="6" t="s">
        <v>3165</v>
      </c>
    </row>
    <row r="1217" ht="22" customHeight="1" spans="1:4">
      <c r="A1217" s="6" t="s">
        <v>3088</v>
      </c>
      <c r="B1217" s="6" t="s">
        <v>3166</v>
      </c>
      <c r="C1217" s="6" t="s">
        <v>1576</v>
      </c>
      <c r="D1217" s="6" t="s">
        <v>1571</v>
      </c>
    </row>
    <row r="1218" ht="22" customHeight="1" spans="1:4">
      <c r="A1218" s="6" t="s">
        <v>3088</v>
      </c>
      <c r="B1218" s="6" t="s">
        <v>3167</v>
      </c>
      <c r="C1218" s="6" t="s">
        <v>1599</v>
      </c>
      <c r="D1218" s="6" t="s">
        <v>1661</v>
      </c>
    </row>
    <row r="1219" ht="22" customHeight="1" spans="1:4">
      <c r="A1219" s="6" t="s">
        <v>3088</v>
      </c>
      <c r="B1219" s="6" t="s">
        <v>3168</v>
      </c>
      <c r="C1219" s="6" t="s">
        <v>1599</v>
      </c>
      <c r="D1219" s="6" t="s">
        <v>3169</v>
      </c>
    </row>
    <row r="1220" ht="22" customHeight="1" spans="1:4">
      <c r="A1220" s="6" t="s">
        <v>3088</v>
      </c>
      <c r="B1220" s="6" t="s">
        <v>3170</v>
      </c>
      <c r="C1220" s="6" t="s">
        <v>1599</v>
      </c>
      <c r="D1220" s="6" t="s">
        <v>3171</v>
      </c>
    </row>
    <row r="1221" ht="22" customHeight="1" spans="1:4">
      <c r="A1221" s="6" t="s">
        <v>3088</v>
      </c>
      <c r="B1221" s="6" t="s">
        <v>3172</v>
      </c>
      <c r="C1221" s="6" t="s">
        <v>1599</v>
      </c>
      <c r="D1221" s="6" t="s">
        <v>1769</v>
      </c>
    </row>
    <row r="1222" ht="22" customHeight="1" spans="1:4">
      <c r="A1222" s="6" t="s">
        <v>3088</v>
      </c>
      <c r="B1222" s="6" t="s">
        <v>3173</v>
      </c>
      <c r="C1222" s="6" t="s">
        <v>1599</v>
      </c>
      <c r="D1222" s="6" t="s">
        <v>1769</v>
      </c>
    </row>
    <row r="1223" ht="22" customHeight="1" spans="1:4">
      <c r="A1223" s="6" t="s">
        <v>3088</v>
      </c>
      <c r="B1223" s="6" t="s">
        <v>3174</v>
      </c>
      <c r="C1223" s="6" t="s">
        <v>1573</v>
      </c>
      <c r="D1223" s="6" t="s">
        <v>1683</v>
      </c>
    </row>
    <row r="1224" ht="22" customHeight="1" spans="1:4">
      <c r="A1224" s="6" t="s">
        <v>3088</v>
      </c>
      <c r="B1224" s="6" t="s">
        <v>3175</v>
      </c>
      <c r="C1224" s="6" t="s">
        <v>1573</v>
      </c>
      <c r="D1224" s="6" t="s">
        <v>1685</v>
      </c>
    </row>
    <row r="1225" ht="22" customHeight="1" spans="1:4">
      <c r="A1225" s="6" t="s">
        <v>3088</v>
      </c>
      <c r="B1225" s="6" t="s">
        <v>3176</v>
      </c>
      <c r="C1225" s="6" t="s">
        <v>1573</v>
      </c>
      <c r="D1225" s="6" t="s">
        <v>275</v>
      </c>
    </row>
    <row r="1226" ht="22" customHeight="1" spans="1:4">
      <c r="A1226" s="6" t="s">
        <v>3088</v>
      </c>
      <c r="B1226" s="6" t="s">
        <v>3177</v>
      </c>
      <c r="C1226" s="6" t="s">
        <v>1605</v>
      </c>
      <c r="D1226" s="6" t="s">
        <v>1973</v>
      </c>
    </row>
    <row r="1227" ht="22" customHeight="1" spans="1:4">
      <c r="A1227" s="6" t="s">
        <v>3088</v>
      </c>
      <c r="B1227" s="6" t="s">
        <v>3178</v>
      </c>
      <c r="C1227" s="6" t="s">
        <v>1573</v>
      </c>
      <c r="D1227" s="6" t="s">
        <v>275</v>
      </c>
    </row>
    <row r="1228" ht="22" customHeight="1" spans="1:4">
      <c r="A1228" s="6" t="s">
        <v>3088</v>
      </c>
      <c r="B1228" s="6" t="s">
        <v>3179</v>
      </c>
      <c r="C1228" s="6" t="s">
        <v>1605</v>
      </c>
      <c r="D1228" s="6" t="s">
        <v>1634</v>
      </c>
    </row>
    <row r="1229" ht="22" customHeight="1" spans="1:4">
      <c r="A1229" s="6" t="s">
        <v>3088</v>
      </c>
      <c r="B1229" s="6" t="s">
        <v>3180</v>
      </c>
      <c r="C1229" s="6" t="s">
        <v>1599</v>
      </c>
      <c r="D1229" s="6" t="s">
        <v>3181</v>
      </c>
    </row>
    <row r="1230" ht="22" customHeight="1" spans="1:4">
      <c r="A1230" s="6" t="s">
        <v>3088</v>
      </c>
      <c r="B1230" s="6" t="s">
        <v>3182</v>
      </c>
      <c r="C1230" s="6" t="s">
        <v>1605</v>
      </c>
      <c r="D1230" s="6" t="s">
        <v>1942</v>
      </c>
    </row>
    <row r="1231" ht="22" customHeight="1" spans="1:4">
      <c r="A1231" s="6" t="s">
        <v>3088</v>
      </c>
      <c r="B1231" s="6" t="s">
        <v>3183</v>
      </c>
      <c r="C1231" s="6" t="s">
        <v>1573</v>
      </c>
      <c r="D1231" s="6" t="s">
        <v>3184</v>
      </c>
    </row>
    <row r="1232" ht="22" customHeight="1" spans="1:4">
      <c r="A1232" s="6" t="s">
        <v>3088</v>
      </c>
      <c r="B1232" s="6" t="s">
        <v>3185</v>
      </c>
      <c r="C1232" s="6" t="s">
        <v>1573</v>
      </c>
      <c r="D1232" s="6" t="s">
        <v>921</v>
      </c>
    </row>
    <row r="1233" ht="22" customHeight="1" spans="1:4">
      <c r="A1233" s="6" t="s">
        <v>3088</v>
      </c>
      <c r="B1233" s="6" t="s">
        <v>3186</v>
      </c>
      <c r="C1233" s="6" t="s">
        <v>1599</v>
      </c>
      <c r="D1233" s="6" t="s">
        <v>3187</v>
      </c>
    </row>
    <row r="1234" ht="22" customHeight="1" spans="1:4">
      <c r="A1234" s="6" t="s">
        <v>3088</v>
      </c>
      <c r="B1234" s="6" t="s">
        <v>3188</v>
      </c>
      <c r="C1234" s="6" t="s">
        <v>1605</v>
      </c>
      <c r="D1234" s="6" t="s">
        <v>1649</v>
      </c>
    </row>
    <row r="1235" ht="22" customHeight="1" spans="1:4">
      <c r="A1235" s="6" t="s">
        <v>3088</v>
      </c>
      <c r="B1235" s="6" t="s">
        <v>3189</v>
      </c>
      <c r="C1235" s="6" t="s">
        <v>1605</v>
      </c>
      <c r="D1235" s="6" t="s">
        <v>1651</v>
      </c>
    </row>
    <row r="1236" ht="22" customHeight="1" spans="1:4">
      <c r="A1236" s="6" t="s">
        <v>3088</v>
      </c>
      <c r="B1236" s="6" t="s">
        <v>3190</v>
      </c>
      <c r="C1236" s="6" t="s">
        <v>1570</v>
      </c>
      <c r="D1236" s="6" t="s">
        <v>1571</v>
      </c>
    </row>
    <row r="1237" ht="22" customHeight="1" spans="1:4">
      <c r="A1237" s="6" t="s">
        <v>3088</v>
      </c>
      <c r="B1237" s="6" t="s">
        <v>3191</v>
      </c>
      <c r="C1237" s="6" t="s">
        <v>1599</v>
      </c>
      <c r="D1237" s="6" t="s">
        <v>3192</v>
      </c>
    </row>
    <row r="1238" ht="22" customHeight="1" spans="1:4">
      <c r="A1238" s="6" t="s">
        <v>3088</v>
      </c>
      <c r="B1238" s="6" t="s">
        <v>3193</v>
      </c>
      <c r="C1238" s="6" t="s">
        <v>1576</v>
      </c>
      <c r="D1238" s="6" t="s">
        <v>1571</v>
      </c>
    </row>
    <row r="1239" ht="22" customHeight="1" spans="1:4">
      <c r="A1239" s="6" t="s">
        <v>3088</v>
      </c>
      <c r="B1239" s="6" t="s">
        <v>3194</v>
      </c>
      <c r="C1239" s="6" t="s">
        <v>1599</v>
      </c>
      <c r="D1239" s="6" t="s">
        <v>1661</v>
      </c>
    </row>
    <row r="1240" ht="22" customHeight="1" spans="1:4">
      <c r="A1240" s="6" t="s">
        <v>3088</v>
      </c>
      <c r="B1240" s="6" t="s">
        <v>3195</v>
      </c>
      <c r="C1240" s="6" t="s">
        <v>1599</v>
      </c>
      <c r="D1240" s="6" t="s">
        <v>3196</v>
      </c>
    </row>
    <row r="1241" ht="22" customHeight="1" spans="1:4">
      <c r="A1241" s="6" t="s">
        <v>3088</v>
      </c>
      <c r="B1241" s="6" t="s">
        <v>3197</v>
      </c>
      <c r="C1241" s="6" t="s">
        <v>1599</v>
      </c>
      <c r="D1241" s="6" t="s">
        <v>3198</v>
      </c>
    </row>
    <row r="1242" ht="22" customHeight="1" spans="1:4">
      <c r="A1242" s="6" t="s">
        <v>3088</v>
      </c>
      <c r="B1242" s="6" t="s">
        <v>3199</v>
      </c>
      <c r="C1242" s="6" t="s">
        <v>1599</v>
      </c>
      <c r="D1242" s="6" t="s">
        <v>1769</v>
      </c>
    </row>
    <row r="1243" ht="22" customHeight="1" spans="1:4">
      <c r="A1243" s="6" t="s">
        <v>3088</v>
      </c>
      <c r="B1243" s="6" t="s">
        <v>3200</v>
      </c>
      <c r="C1243" s="6" t="s">
        <v>1599</v>
      </c>
      <c r="D1243" s="6" t="s">
        <v>1769</v>
      </c>
    </row>
    <row r="1244" ht="22" customHeight="1" spans="1:4">
      <c r="A1244" s="6" t="s">
        <v>3088</v>
      </c>
      <c r="B1244" s="6" t="s">
        <v>3201</v>
      </c>
      <c r="C1244" s="6" t="s">
        <v>1573</v>
      </c>
      <c r="D1244" s="6" t="s">
        <v>2011</v>
      </c>
    </row>
    <row r="1245" ht="22" customHeight="1" spans="1:4">
      <c r="A1245" s="6" t="s">
        <v>3088</v>
      </c>
      <c r="B1245" s="6" t="s">
        <v>3202</v>
      </c>
      <c r="C1245" s="6" t="s">
        <v>1573</v>
      </c>
      <c r="D1245" s="6" t="s">
        <v>1589</v>
      </c>
    </row>
    <row r="1246" ht="22" customHeight="1" spans="1:4">
      <c r="A1246" s="6" t="s">
        <v>3088</v>
      </c>
      <c r="B1246" s="6" t="s">
        <v>3203</v>
      </c>
      <c r="C1246" s="6" t="s">
        <v>1573</v>
      </c>
      <c r="D1246" s="6" t="s">
        <v>493</v>
      </c>
    </row>
    <row r="1247" ht="22" customHeight="1" spans="1:4">
      <c r="A1247" s="6" t="s">
        <v>3088</v>
      </c>
      <c r="B1247" s="6" t="s">
        <v>3204</v>
      </c>
      <c r="C1247" s="6" t="s">
        <v>1605</v>
      </c>
      <c r="D1247" s="6" t="s">
        <v>1649</v>
      </c>
    </row>
    <row r="1248" ht="22" customHeight="1" spans="1:4">
      <c r="A1248" s="6" t="s">
        <v>3088</v>
      </c>
      <c r="B1248" s="6" t="s">
        <v>3205</v>
      </c>
      <c r="C1248" s="6" t="s">
        <v>1573</v>
      </c>
      <c r="D1248" s="6" t="s">
        <v>275</v>
      </c>
    </row>
    <row r="1249" ht="22" customHeight="1" spans="1:4">
      <c r="A1249" s="6" t="s">
        <v>3088</v>
      </c>
      <c r="B1249" s="6" t="s">
        <v>3206</v>
      </c>
      <c r="C1249" s="6" t="s">
        <v>1605</v>
      </c>
      <c r="D1249" s="6" t="s">
        <v>1634</v>
      </c>
    </row>
    <row r="1250" ht="22" customHeight="1" spans="1:4">
      <c r="A1250" s="6" t="s">
        <v>3088</v>
      </c>
      <c r="B1250" s="6" t="s">
        <v>3207</v>
      </c>
      <c r="C1250" s="6" t="s">
        <v>1599</v>
      </c>
      <c r="D1250" s="6" t="s">
        <v>3208</v>
      </c>
    </row>
    <row r="1251" ht="22" customHeight="1" spans="1:4">
      <c r="A1251" s="6" t="s">
        <v>3088</v>
      </c>
      <c r="B1251" s="6" t="s">
        <v>3209</v>
      </c>
      <c r="C1251" s="6" t="s">
        <v>1605</v>
      </c>
      <c r="D1251" s="6" t="s">
        <v>1942</v>
      </c>
    </row>
    <row r="1252" ht="22" customHeight="1" spans="1:4">
      <c r="A1252" s="6" t="s">
        <v>3088</v>
      </c>
      <c r="B1252" s="6" t="s">
        <v>3210</v>
      </c>
      <c r="C1252" s="6" t="s">
        <v>1605</v>
      </c>
      <c r="D1252" s="6" t="s">
        <v>898</v>
      </c>
    </row>
    <row r="1253" ht="22" customHeight="1" spans="1:4">
      <c r="A1253" s="6" t="s">
        <v>3088</v>
      </c>
      <c r="B1253" s="6" t="s">
        <v>3211</v>
      </c>
      <c r="C1253" s="6" t="s">
        <v>1573</v>
      </c>
      <c r="D1253" s="6" t="s">
        <v>3212</v>
      </c>
    </row>
    <row r="1254" ht="22" customHeight="1" spans="1:4">
      <c r="A1254" s="6" t="s">
        <v>3088</v>
      </c>
      <c r="B1254" s="6" t="s">
        <v>3213</v>
      </c>
      <c r="C1254" s="6" t="s">
        <v>1599</v>
      </c>
      <c r="D1254" s="6" t="s">
        <v>3214</v>
      </c>
    </row>
    <row r="1255" ht="22" customHeight="1" spans="1:4">
      <c r="A1255" s="6" t="s">
        <v>3088</v>
      </c>
      <c r="B1255" s="6" t="s">
        <v>3215</v>
      </c>
      <c r="C1255" s="6" t="s">
        <v>1605</v>
      </c>
      <c r="D1255" s="6" t="s">
        <v>1649</v>
      </c>
    </row>
    <row r="1256" ht="22" customHeight="1" spans="1:4">
      <c r="A1256" s="6" t="s">
        <v>3088</v>
      </c>
      <c r="B1256" s="6" t="s">
        <v>3216</v>
      </c>
      <c r="C1256" s="6" t="s">
        <v>1605</v>
      </c>
      <c r="D1256" s="6" t="s">
        <v>1651</v>
      </c>
    </row>
    <row r="1257" ht="22" customHeight="1" spans="1:4">
      <c r="A1257" s="6" t="s">
        <v>3088</v>
      </c>
      <c r="B1257" s="6" t="s">
        <v>3217</v>
      </c>
      <c r="C1257" s="6" t="s">
        <v>1570</v>
      </c>
      <c r="D1257" s="6" t="s">
        <v>1571</v>
      </c>
    </row>
    <row r="1258" ht="22" customHeight="1" spans="1:4">
      <c r="A1258" s="6" t="s">
        <v>3088</v>
      </c>
      <c r="B1258" s="6" t="s">
        <v>3218</v>
      </c>
      <c r="C1258" s="6" t="s">
        <v>1599</v>
      </c>
      <c r="D1258" s="6" t="s">
        <v>3219</v>
      </c>
    </row>
    <row r="1259" ht="22" customHeight="1" spans="1:4">
      <c r="A1259" s="6" t="s">
        <v>3088</v>
      </c>
      <c r="B1259" s="6" t="s">
        <v>3220</v>
      </c>
      <c r="C1259" s="6" t="s">
        <v>1576</v>
      </c>
      <c r="D1259" s="6" t="s">
        <v>1571</v>
      </c>
    </row>
    <row r="1260" ht="22" customHeight="1" spans="1:4">
      <c r="A1260" s="6" t="s">
        <v>3088</v>
      </c>
      <c r="B1260" s="6" t="s">
        <v>3221</v>
      </c>
      <c r="C1260" s="6" t="s">
        <v>1599</v>
      </c>
      <c r="D1260" s="6" t="s">
        <v>1661</v>
      </c>
    </row>
    <row r="1261" ht="22" customHeight="1" spans="1:4">
      <c r="A1261" s="6" t="s">
        <v>3088</v>
      </c>
      <c r="B1261" s="6" t="s">
        <v>3222</v>
      </c>
      <c r="C1261" s="6" t="s">
        <v>1599</v>
      </c>
      <c r="D1261" s="6" t="s">
        <v>3223</v>
      </c>
    </row>
    <row r="1262" ht="22" customHeight="1" spans="1:4">
      <c r="A1262" s="6" t="s">
        <v>3088</v>
      </c>
      <c r="B1262" s="6" t="s">
        <v>3224</v>
      </c>
      <c r="C1262" s="6" t="s">
        <v>1599</v>
      </c>
      <c r="D1262" s="6" t="s">
        <v>3225</v>
      </c>
    </row>
    <row r="1263" ht="22" customHeight="1" spans="1:4">
      <c r="A1263" s="6" t="s">
        <v>3088</v>
      </c>
      <c r="B1263" s="6" t="s">
        <v>3226</v>
      </c>
      <c r="C1263" s="6" t="s">
        <v>1599</v>
      </c>
      <c r="D1263" s="6" t="s">
        <v>1769</v>
      </c>
    </row>
    <row r="1264" ht="22" customHeight="1" spans="1:4">
      <c r="A1264" s="6" t="s">
        <v>3088</v>
      </c>
      <c r="B1264" s="6" t="s">
        <v>3227</v>
      </c>
      <c r="C1264" s="6" t="s">
        <v>1599</v>
      </c>
      <c r="D1264" s="6" t="s">
        <v>1769</v>
      </c>
    </row>
    <row r="1265" ht="22" customHeight="1" spans="1:4">
      <c r="A1265" s="6" t="s">
        <v>3088</v>
      </c>
      <c r="B1265" s="6" t="s">
        <v>3228</v>
      </c>
      <c r="C1265" s="6" t="s">
        <v>1573</v>
      </c>
      <c r="D1265" s="6" t="s">
        <v>1850</v>
      </c>
    </row>
    <row r="1266" ht="22" customHeight="1" spans="1:4">
      <c r="A1266" s="6" t="s">
        <v>3088</v>
      </c>
      <c r="B1266" s="6" t="s">
        <v>3229</v>
      </c>
      <c r="C1266" s="6" t="s">
        <v>1573</v>
      </c>
      <c r="D1266" s="6" t="s">
        <v>3230</v>
      </c>
    </row>
    <row r="1267" ht="22" customHeight="1" spans="1:4">
      <c r="A1267" s="6" t="s">
        <v>3088</v>
      </c>
      <c r="B1267" s="6" t="s">
        <v>3231</v>
      </c>
      <c r="C1267" s="6" t="s">
        <v>1573</v>
      </c>
      <c r="D1267" s="6" t="s">
        <v>1585</v>
      </c>
    </row>
    <row r="1268" ht="22" customHeight="1" spans="1:4">
      <c r="A1268" s="6" t="s">
        <v>3088</v>
      </c>
      <c r="B1268" s="6" t="s">
        <v>3232</v>
      </c>
      <c r="C1268" s="6" t="s">
        <v>1605</v>
      </c>
      <c r="D1268" s="6" t="s">
        <v>1895</v>
      </c>
    </row>
    <row r="1269" ht="22" customHeight="1" spans="1:4">
      <c r="A1269" s="6" t="s">
        <v>3088</v>
      </c>
      <c r="B1269" s="6" t="s">
        <v>3233</v>
      </c>
      <c r="C1269" s="6" t="s">
        <v>1573</v>
      </c>
      <c r="D1269" s="6" t="s">
        <v>1623</v>
      </c>
    </row>
    <row r="1270" ht="22" customHeight="1" spans="1:4">
      <c r="A1270" s="6" t="s">
        <v>3088</v>
      </c>
      <c r="B1270" s="6" t="s">
        <v>3234</v>
      </c>
      <c r="C1270" s="6" t="s">
        <v>1605</v>
      </c>
      <c r="D1270" s="6" t="s">
        <v>1738</v>
      </c>
    </row>
    <row r="1271" ht="22" customHeight="1" spans="1:4">
      <c r="A1271" s="6" t="s">
        <v>3088</v>
      </c>
      <c r="B1271" s="6" t="s">
        <v>3235</v>
      </c>
      <c r="C1271" s="6" t="s">
        <v>1599</v>
      </c>
      <c r="D1271" s="6" t="s">
        <v>3236</v>
      </c>
    </row>
    <row r="1272" ht="22" customHeight="1" spans="1:4">
      <c r="A1272" s="6" t="s">
        <v>3088</v>
      </c>
      <c r="B1272" s="6" t="s">
        <v>3237</v>
      </c>
      <c r="C1272" s="6" t="s">
        <v>1605</v>
      </c>
      <c r="D1272" s="6" t="s">
        <v>1701</v>
      </c>
    </row>
    <row r="1273" ht="22" customHeight="1" spans="1:4">
      <c r="A1273" s="6" t="s">
        <v>3088</v>
      </c>
      <c r="B1273" s="6" t="s">
        <v>3238</v>
      </c>
      <c r="C1273" s="6" t="s">
        <v>1573</v>
      </c>
      <c r="D1273" s="6" t="s">
        <v>2229</v>
      </c>
    </row>
    <row r="1274" ht="22" customHeight="1" spans="1:4">
      <c r="A1274" s="6" t="s">
        <v>3088</v>
      </c>
      <c r="B1274" s="6" t="s">
        <v>3239</v>
      </c>
      <c r="C1274" s="6" t="s">
        <v>1599</v>
      </c>
      <c r="D1274" s="6" t="s">
        <v>3240</v>
      </c>
    </row>
    <row r="1275" ht="22" customHeight="1" spans="1:4">
      <c r="A1275" s="6" t="s">
        <v>3088</v>
      </c>
      <c r="B1275" s="6" t="s">
        <v>3241</v>
      </c>
      <c r="C1275" s="6" t="s">
        <v>1605</v>
      </c>
      <c r="D1275" s="6" t="s">
        <v>1649</v>
      </c>
    </row>
    <row r="1276" ht="22" customHeight="1" spans="1:4">
      <c r="A1276" s="6" t="s">
        <v>3088</v>
      </c>
      <c r="B1276" s="6" t="s">
        <v>3242</v>
      </c>
      <c r="C1276" s="6" t="s">
        <v>1605</v>
      </c>
      <c r="D1276" s="6" t="s">
        <v>1651</v>
      </c>
    </row>
    <row r="1277" ht="22" customHeight="1" spans="1:4">
      <c r="A1277" s="6" t="s">
        <v>3088</v>
      </c>
      <c r="B1277" s="6" t="s">
        <v>3243</v>
      </c>
      <c r="C1277" s="6" t="s">
        <v>1570</v>
      </c>
      <c r="D1277" s="6" t="s">
        <v>1571</v>
      </c>
    </row>
    <row r="1278" ht="22" customHeight="1" spans="1:4">
      <c r="A1278" s="6" t="s">
        <v>3088</v>
      </c>
      <c r="B1278" s="6" t="s">
        <v>3244</v>
      </c>
      <c r="C1278" s="6" t="s">
        <v>1599</v>
      </c>
      <c r="D1278" s="6" t="s">
        <v>3245</v>
      </c>
    </row>
    <row r="1279" ht="22" customHeight="1" spans="1:4">
      <c r="A1279" s="6" t="s">
        <v>3088</v>
      </c>
      <c r="B1279" s="6" t="s">
        <v>3246</v>
      </c>
      <c r="C1279" s="6" t="s">
        <v>1576</v>
      </c>
      <c r="D1279" s="6" t="s">
        <v>1571</v>
      </c>
    </row>
    <row r="1280" ht="22" customHeight="1" spans="1:4">
      <c r="A1280" s="6" t="s">
        <v>3088</v>
      </c>
      <c r="B1280" s="6" t="s">
        <v>3247</v>
      </c>
      <c r="C1280" s="6" t="s">
        <v>1599</v>
      </c>
      <c r="D1280" s="6" t="s">
        <v>1661</v>
      </c>
    </row>
    <row r="1281" ht="22" customHeight="1" spans="1:4">
      <c r="A1281" s="6" t="s">
        <v>3088</v>
      </c>
      <c r="B1281" s="6" t="s">
        <v>3248</v>
      </c>
      <c r="C1281" s="6" t="s">
        <v>1599</v>
      </c>
      <c r="D1281" s="6" t="s">
        <v>3249</v>
      </c>
    </row>
    <row r="1282" ht="22" customHeight="1" spans="1:4">
      <c r="A1282" s="6" t="s">
        <v>3088</v>
      </c>
      <c r="B1282" s="6" t="s">
        <v>3250</v>
      </c>
      <c r="C1282" s="6" t="s">
        <v>1599</v>
      </c>
      <c r="D1282" s="6" t="s">
        <v>3251</v>
      </c>
    </row>
    <row r="1283" ht="22" customHeight="1" spans="1:4">
      <c r="A1283" s="6" t="s">
        <v>3088</v>
      </c>
      <c r="B1283" s="6" t="s">
        <v>3252</v>
      </c>
      <c r="C1283" s="6" t="s">
        <v>1599</v>
      </c>
      <c r="D1283" s="6" t="s">
        <v>1769</v>
      </c>
    </row>
    <row r="1284" ht="22" customHeight="1" spans="1:4">
      <c r="A1284" s="6" t="s">
        <v>3088</v>
      </c>
      <c r="B1284" s="6" t="s">
        <v>3253</v>
      </c>
      <c r="C1284" s="6" t="s">
        <v>1599</v>
      </c>
      <c r="D1284" s="6" t="s">
        <v>1769</v>
      </c>
    </row>
    <row r="1285" ht="22" customHeight="1" spans="1:4">
      <c r="A1285" s="6" t="s">
        <v>3088</v>
      </c>
      <c r="B1285" s="6" t="s">
        <v>3254</v>
      </c>
      <c r="C1285" s="6" t="s">
        <v>1573</v>
      </c>
      <c r="D1285" s="6" t="s">
        <v>2308</v>
      </c>
    </row>
    <row r="1286" ht="22" customHeight="1" spans="1:4">
      <c r="A1286" s="6" t="s">
        <v>3088</v>
      </c>
      <c r="B1286" s="6" t="s">
        <v>3255</v>
      </c>
      <c r="C1286" s="6" t="s">
        <v>1573</v>
      </c>
      <c r="D1286" s="6" t="s">
        <v>1892</v>
      </c>
    </row>
    <row r="1287" ht="22" customHeight="1" spans="1:4">
      <c r="A1287" s="6" t="s">
        <v>3088</v>
      </c>
      <c r="B1287" s="6" t="s">
        <v>3256</v>
      </c>
      <c r="C1287" s="6" t="s">
        <v>1573</v>
      </c>
      <c r="D1287" s="6" t="s">
        <v>275</v>
      </c>
    </row>
    <row r="1288" ht="22" customHeight="1" spans="1:4">
      <c r="A1288" s="6" t="s">
        <v>3088</v>
      </c>
      <c r="B1288" s="6" t="s">
        <v>3257</v>
      </c>
      <c r="C1288" s="6" t="s">
        <v>1605</v>
      </c>
      <c r="D1288" s="6" t="s">
        <v>1778</v>
      </c>
    </row>
    <row r="1289" ht="22" customHeight="1" spans="1:4">
      <c r="A1289" s="6" t="s">
        <v>3088</v>
      </c>
      <c r="B1289" s="6" t="s">
        <v>3258</v>
      </c>
      <c r="C1289" s="6" t="s">
        <v>1573</v>
      </c>
      <c r="D1289" s="6" t="s">
        <v>275</v>
      </c>
    </row>
    <row r="1290" ht="22" customHeight="1" spans="1:4">
      <c r="A1290" s="6" t="s">
        <v>3088</v>
      </c>
      <c r="B1290" s="6" t="s">
        <v>3259</v>
      </c>
      <c r="C1290" s="6" t="s">
        <v>1605</v>
      </c>
      <c r="D1290" s="6" t="s">
        <v>2315</v>
      </c>
    </row>
    <row r="1291" ht="22" customHeight="1" spans="1:4">
      <c r="A1291" s="6" t="s">
        <v>3088</v>
      </c>
      <c r="B1291" s="6" t="s">
        <v>3260</v>
      </c>
      <c r="C1291" s="6" t="s">
        <v>1599</v>
      </c>
      <c r="D1291" s="6" t="s">
        <v>3261</v>
      </c>
    </row>
    <row r="1292" ht="22" customHeight="1" spans="1:4">
      <c r="A1292" s="6" t="s">
        <v>3088</v>
      </c>
      <c r="B1292" s="6" t="s">
        <v>3262</v>
      </c>
      <c r="C1292" s="6" t="s">
        <v>1605</v>
      </c>
      <c r="D1292" s="6" t="s">
        <v>1942</v>
      </c>
    </row>
    <row r="1293" ht="22" customHeight="1" spans="1:4">
      <c r="A1293" s="6" t="s">
        <v>3088</v>
      </c>
      <c r="B1293" s="6" t="s">
        <v>3263</v>
      </c>
      <c r="C1293" s="6" t="s">
        <v>1573</v>
      </c>
      <c r="D1293" s="6" t="s">
        <v>3264</v>
      </c>
    </row>
    <row r="1294" ht="22" customHeight="1" spans="1:4">
      <c r="A1294" s="6" t="s">
        <v>3088</v>
      </c>
      <c r="B1294" s="6" t="s">
        <v>3265</v>
      </c>
      <c r="C1294" s="6" t="s">
        <v>1573</v>
      </c>
      <c r="D1294" s="6" t="s">
        <v>1589</v>
      </c>
    </row>
    <row r="1295" ht="22" customHeight="1" spans="1:4">
      <c r="A1295" s="6" t="s">
        <v>3088</v>
      </c>
      <c r="B1295" s="6" t="s">
        <v>3266</v>
      </c>
      <c r="C1295" s="6" t="s">
        <v>1605</v>
      </c>
      <c r="D1295" s="6" t="s">
        <v>1738</v>
      </c>
    </row>
    <row r="1296" ht="22" customHeight="1" spans="1:4">
      <c r="A1296" s="6" t="s">
        <v>3088</v>
      </c>
      <c r="B1296" s="6" t="s">
        <v>3267</v>
      </c>
      <c r="C1296" s="6" t="s">
        <v>1599</v>
      </c>
      <c r="D1296" s="6" t="s">
        <v>3268</v>
      </c>
    </row>
    <row r="1297" ht="22" customHeight="1" spans="1:4">
      <c r="A1297" s="6" t="s">
        <v>3088</v>
      </c>
      <c r="B1297" s="6" t="s">
        <v>3269</v>
      </c>
      <c r="C1297" s="6" t="s">
        <v>1605</v>
      </c>
      <c r="D1297" s="6" t="s">
        <v>1649</v>
      </c>
    </row>
    <row r="1298" ht="22" customHeight="1" spans="1:4">
      <c r="A1298" s="6" t="s">
        <v>3088</v>
      </c>
      <c r="B1298" s="6" t="s">
        <v>3270</v>
      </c>
      <c r="C1298" s="6" t="s">
        <v>1605</v>
      </c>
      <c r="D1298" s="6" t="s">
        <v>1651</v>
      </c>
    </row>
    <row r="1299" ht="22" customHeight="1" spans="1:4">
      <c r="A1299" s="6" t="s">
        <v>3088</v>
      </c>
      <c r="B1299" s="6" t="s">
        <v>3271</v>
      </c>
      <c r="C1299" s="6" t="s">
        <v>1570</v>
      </c>
      <c r="D1299" s="6" t="s">
        <v>1571</v>
      </c>
    </row>
    <row r="1300" ht="22" customHeight="1" spans="1:4">
      <c r="A1300" s="6" t="s">
        <v>3088</v>
      </c>
      <c r="B1300" s="6" t="s">
        <v>3272</v>
      </c>
      <c r="C1300" s="6" t="s">
        <v>1599</v>
      </c>
      <c r="D1300" s="6" t="s">
        <v>3273</v>
      </c>
    </row>
    <row r="1301" ht="22" customHeight="1" spans="1:4">
      <c r="A1301" s="6" t="s">
        <v>3088</v>
      </c>
      <c r="B1301" s="6" t="s">
        <v>3274</v>
      </c>
      <c r="C1301" s="6" t="s">
        <v>1576</v>
      </c>
      <c r="D1301" s="6" t="s">
        <v>1571</v>
      </c>
    </row>
    <row r="1302" ht="22" customHeight="1" spans="1:4">
      <c r="A1302" s="6" t="s">
        <v>3088</v>
      </c>
      <c r="B1302" s="6" t="s">
        <v>3275</v>
      </c>
      <c r="C1302" s="6" t="s">
        <v>1599</v>
      </c>
      <c r="D1302" s="6" t="s">
        <v>1661</v>
      </c>
    </row>
    <row r="1303" ht="22" customHeight="1" spans="1:4">
      <c r="A1303" s="6" t="s">
        <v>3088</v>
      </c>
      <c r="B1303" s="6" t="s">
        <v>3276</v>
      </c>
      <c r="C1303" s="6" t="s">
        <v>1599</v>
      </c>
      <c r="D1303" s="6" t="s">
        <v>1655</v>
      </c>
    </row>
    <row r="1304" ht="22" customHeight="1" spans="1:4">
      <c r="A1304" s="6" t="s">
        <v>3088</v>
      </c>
      <c r="B1304" s="6" t="s">
        <v>3277</v>
      </c>
      <c r="C1304" s="6" t="s">
        <v>1599</v>
      </c>
      <c r="D1304" s="6" t="s">
        <v>3278</v>
      </c>
    </row>
    <row r="1305" ht="22" customHeight="1" spans="1:4">
      <c r="A1305" s="6" t="s">
        <v>3088</v>
      </c>
      <c r="B1305" s="6" t="s">
        <v>3279</v>
      </c>
      <c r="C1305" s="6" t="s">
        <v>1599</v>
      </c>
      <c r="D1305" s="6" t="s">
        <v>3280</v>
      </c>
    </row>
    <row r="1306" ht="22" customHeight="1" spans="1:4">
      <c r="A1306" s="6" t="s">
        <v>3088</v>
      </c>
      <c r="B1306" s="6" t="s">
        <v>3281</v>
      </c>
      <c r="C1306" s="6" t="s">
        <v>1599</v>
      </c>
      <c r="D1306" s="6" t="s">
        <v>1769</v>
      </c>
    </row>
    <row r="1307" ht="22" customHeight="1" spans="1:4">
      <c r="A1307" s="6" t="s">
        <v>3088</v>
      </c>
      <c r="B1307" s="6" t="s">
        <v>3282</v>
      </c>
      <c r="C1307" s="6" t="s">
        <v>1599</v>
      </c>
      <c r="D1307" s="6" t="s">
        <v>1769</v>
      </c>
    </row>
    <row r="1308" ht="22" customHeight="1" spans="1:4">
      <c r="A1308" s="6" t="s">
        <v>3088</v>
      </c>
      <c r="B1308" s="6" t="s">
        <v>3283</v>
      </c>
      <c r="C1308" s="6" t="s">
        <v>1573</v>
      </c>
      <c r="D1308" s="6" t="s">
        <v>1773</v>
      </c>
    </row>
    <row r="1309" ht="22" customHeight="1" spans="1:4">
      <c r="A1309" s="6" t="s">
        <v>3088</v>
      </c>
      <c r="B1309" s="6" t="s">
        <v>3284</v>
      </c>
      <c r="C1309" s="6" t="s">
        <v>1573</v>
      </c>
      <c r="D1309" s="6" t="s">
        <v>1685</v>
      </c>
    </row>
    <row r="1310" ht="22" customHeight="1" spans="1:4">
      <c r="A1310" s="6" t="s">
        <v>3088</v>
      </c>
      <c r="B1310" s="6" t="s">
        <v>3285</v>
      </c>
      <c r="C1310" s="6" t="s">
        <v>1573</v>
      </c>
      <c r="D1310" s="6" t="s">
        <v>463</v>
      </c>
    </row>
    <row r="1311" ht="22" customHeight="1" spans="1:4">
      <c r="A1311" s="6" t="s">
        <v>3088</v>
      </c>
      <c r="B1311" s="6" t="s">
        <v>3286</v>
      </c>
      <c r="C1311" s="6" t="s">
        <v>1605</v>
      </c>
      <c r="D1311" s="6" t="s">
        <v>1649</v>
      </c>
    </row>
    <row r="1312" ht="22" customHeight="1" spans="1:4">
      <c r="A1312" s="6" t="s">
        <v>3088</v>
      </c>
      <c r="B1312" s="6" t="s">
        <v>3287</v>
      </c>
      <c r="C1312" s="6" t="s">
        <v>1573</v>
      </c>
      <c r="D1312" s="6" t="s">
        <v>275</v>
      </c>
    </row>
    <row r="1313" ht="22" customHeight="1" spans="1:4">
      <c r="A1313" s="6" t="s">
        <v>3088</v>
      </c>
      <c r="B1313" s="6" t="s">
        <v>3288</v>
      </c>
      <c r="C1313" s="6" t="s">
        <v>1605</v>
      </c>
      <c r="D1313" s="6" t="s">
        <v>1634</v>
      </c>
    </row>
    <row r="1314" ht="22" customHeight="1" spans="1:4">
      <c r="A1314" s="6" t="s">
        <v>3088</v>
      </c>
      <c r="B1314" s="6" t="s">
        <v>3289</v>
      </c>
      <c r="C1314" s="6" t="s">
        <v>1599</v>
      </c>
      <c r="D1314" s="6" t="s">
        <v>3290</v>
      </c>
    </row>
    <row r="1315" ht="22" customHeight="1" spans="1:4">
      <c r="A1315" s="6" t="s">
        <v>3088</v>
      </c>
      <c r="B1315" s="6" t="s">
        <v>3291</v>
      </c>
      <c r="C1315" s="6" t="s">
        <v>1605</v>
      </c>
      <c r="D1315" s="6" t="s">
        <v>1942</v>
      </c>
    </row>
    <row r="1316" ht="22" customHeight="1" spans="1:4">
      <c r="A1316" s="6" t="s">
        <v>3088</v>
      </c>
      <c r="B1316" s="6" t="s">
        <v>3292</v>
      </c>
      <c r="C1316" s="6" t="s">
        <v>1605</v>
      </c>
      <c r="D1316" s="6" t="s">
        <v>1701</v>
      </c>
    </row>
    <row r="1317" ht="22" customHeight="1" spans="1:4">
      <c r="A1317" s="6" t="s">
        <v>3088</v>
      </c>
      <c r="B1317" s="6" t="s">
        <v>3293</v>
      </c>
      <c r="C1317" s="6" t="s">
        <v>1605</v>
      </c>
      <c r="D1317" s="6" t="s">
        <v>1641</v>
      </c>
    </row>
    <row r="1318" ht="22" customHeight="1" spans="1:4">
      <c r="A1318" s="6" t="s">
        <v>3088</v>
      </c>
      <c r="B1318" s="6" t="s">
        <v>3294</v>
      </c>
      <c r="C1318" s="6" t="s">
        <v>1599</v>
      </c>
      <c r="D1318" s="6" t="s">
        <v>3295</v>
      </c>
    </row>
    <row r="1319" ht="22" customHeight="1" spans="1:4">
      <c r="A1319" s="6" t="s">
        <v>3088</v>
      </c>
      <c r="B1319" s="6" t="s">
        <v>3296</v>
      </c>
      <c r="C1319" s="6" t="s">
        <v>1605</v>
      </c>
      <c r="D1319" s="6" t="s">
        <v>1649</v>
      </c>
    </row>
    <row r="1320" ht="22" customHeight="1" spans="1:4">
      <c r="A1320" s="6" t="s">
        <v>3088</v>
      </c>
      <c r="B1320" s="6" t="s">
        <v>3297</v>
      </c>
      <c r="C1320" s="6" t="s">
        <v>1605</v>
      </c>
      <c r="D1320" s="6" t="s">
        <v>1651</v>
      </c>
    </row>
    <row r="1321" ht="22" customHeight="1" spans="1:4">
      <c r="A1321" s="6" t="s">
        <v>3088</v>
      </c>
      <c r="B1321" s="6" t="s">
        <v>3298</v>
      </c>
      <c r="C1321" s="6" t="s">
        <v>1570</v>
      </c>
      <c r="D1321" s="6" t="s">
        <v>1571</v>
      </c>
    </row>
    <row r="1322" ht="22" customHeight="1" spans="1:4">
      <c r="A1322" s="6" t="s">
        <v>3088</v>
      </c>
      <c r="B1322" s="6" t="s">
        <v>3299</v>
      </c>
      <c r="C1322" s="6" t="s">
        <v>1599</v>
      </c>
      <c r="D1322" s="6" t="s">
        <v>3300</v>
      </c>
    </row>
    <row r="1323" ht="22" customHeight="1" spans="1:4">
      <c r="A1323" s="6" t="s">
        <v>3088</v>
      </c>
      <c r="B1323" s="6" t="s">
        <v>3301</v>
      </c>
      <c r="C1323" s="6" t="s">
        <v>1599</v>
      </c>
      <c r="D1323" s="6" t="s">
        <v>3302</v>
      </c>
    </row>
    <row r="1324" ht="22" customHeight="1" spans="1:4">
      <c r="A1324" s="6" t="s">
        <v>3088</v>
      </c>
      <c r="B1324" s="6" t="s">
        <v>3303</v>
      </c>
      <c r="C1324" s="6" t="s">
        <v>1599</v>
      </c>
      <c r="D1324" s="6" t="s">
        <v>3304</v>
      </c>
    </row>
    <row r="1325" ht="22" customHeight="1" spans="1:4">
      <c r="A1325" s="6" t="s">
        <v>3088</v>
      </c>
      <c r="B1325" s="6" t="s">
        <v>3305</v>
      </c>
      <c r="C1325" s="6" t="s">
        <v>1599</v>
      </c>
      <c r="D1325" s="6" t="s">
        <v>1723</v>
      </c>
    </row>
    <row r="1326" ht="22" customHeight="1" spans="1:4">
      <c r="A1326" s="6" t="s">
        <v>3088</v>
      </c>
      <c r="B1326" s="6" t="s">
        <v>3306</v>
      </c>
      <c r="C1326" s="6" t="s">
        <v>1599</v>
      </c>
      <c r="D1326" s="6" t="s">
        <v>1723</v>
      </c>
    </row>
    <row r="1327" ht="22" customHeight="1" spans="1:4">
      <c r="A1327" s="6" t="s">
        <v>3088</v>
      </c>
      <c r="B1327" s="6" t="s">
        <v>3307</v>
      </c>
      <c r="C1327" s="6" t="s">
        <v>1573</v>
      </c>
      <c r="D1327" s="6" t="s">
        <v>2049</v>
      </c>
    </row>
    <row r="1328" ht="22" customHeight="1" spans="1:4">
      <c r="A1328" s="6" t="s">
        <v>3088</v>
      </c>
      <c r="B1328" s="6" t="s">
        <v>3308</v>
      </c>
      <c r="C1328" s="6" t="s">
        <v>1573</v>
      </c>
      <c r="D1328" s="6" t="s">
        <v>1628</v>
      </c>
    </row>
    <row r="1329" ht="22" customHeight="1" spans="1:4">
      <c r="A1329" s="6" t="s">
        <v>3088</v>
      </c>
      <c r="B1329" s="6" t="s">
        <v>3309</v>
      </c>
      <c r="C1329" s="6" t="s">
        <v>1573</v>
      </c>
      <c r="D1329" s="6" t="s">
        <v>1596</v>
      </c>
    </row>
    <row r="1330" ht="22" customHeight="1" spans="1:4">
      <c r="A1330" s="6" t="s">
        <v>3088</v>
      </c>
      <c r="B1330" s="6" t="s">
        <v>3310</v>
      </c>
      <c r="C1330" s="6" t="s">
        <v>1605</v>
      </c>
      <c r="D1330" s="6" t="s">
        <v>1855</v>
      </c>
    </row>
    <row r="1331" ht="22" customHeight="1" spans="1:4">
      <c r="A1331" s="6" t="s">
        <v>3088</v>
      </c>
      <c r="B1331" s="6" t="s">
        <v>3311</v>
      </c>
      <c r="C1331" s="6" t="s">
        <v>1573</v>
      </c>
      <c r="D1331" s="6" t="s">
        <v>1623</v>
      </c>
    </row>
    <row r="1332" ht="22" customHeight="1" spans="1:4">
      <c r="A1332" s="6" t="s">
        <v>3088</v>
      </c>
      <c r="B1332" s="6" t="s">
        <v>3312</v>
      </c>
      <c r="C1332" s="6" t="s">
        <v>1605</v>
      </c>
      <c r="D1332" s="6" t="s">
        <v>3313</v>
      </c>
    </row>
    <row r="1333" ht="22" customHeight="1" spans="1:4">
      <c r="A1333" s="6" t="s">
        <v>3088</v>
      </c>
      <c r="B1333" s="6" t="s">
        <v>3314</v>
      </c>
      <c r="C1333" s="6" t="s">
        <v>1599</v>
      </c>
      <c r="D1333" s="6" t="s">
        <v>3315</v>
      </c>
    </row>
    <row r="1334" ht="22" customHeight="1" spans="1:4">
      <c r="A1334" s="6" t="s">
        <v>3088</v>
      </c>
      <c r="B1334" s="6" t="s">
        <v>3316</v>
      </c>
      <c r="C1334" s="6" t="s">
        <v>1605</v>
      </c>
      <c r="D1334" s="6" t="s">
        <v>1942</v>
      </c>
    </row>
    <row r="1335" ht="22" customHeight="1" spans="1:4">
      <c r="A1335" s="6" t="s">
        <v>3088</v>
      </c>
      <c r="B1335" s="6" t="s">
        <v>3317</v>
      </c>
      <c r="C1335" s="6" t="s">
        <v>1605</v>
      </c>
      <c r="D1335" s="6" t="s">
        <v>1649</v>
      </c>
    </row>
    <row r="1336" ht="22" customHeight="1" spans="1:4">
      <c r="A1336" s="6" t="s">
        <v>3088</v>
      </c>
      <c r="B1336" s="6" t="s">
        <v>3318</v>
      </c>
      <c r="C1336" s="6" t="s">
        <v>1605</v>
      </c>
      <c r="D1336" s="6" t="s">
        <v>1649</v>
      </c>
    </row>
    <row r="1337" ht="22" customHeight="1" spans="1:4">
      <c r="A1337" s="6" t="s">
        <v>3088</v>
      </c>
      <c r="B1337" s="6" t="s">
        <v>3319</v>
      </c>
      <c r="C1337" s="6" t="s">
        <v>1599</v>
      </c>
      <c r="D1337" s="6" t="s">
        <v>3320</v>
      </c>
    </row>
    <row r="1338" ht="22" customHeight="1" spans="1:4">
      <c r="A1338" s="6" t="s">
        <v>3088</v>
      </c>
      <c r="B1338" s="6" t="s">
        <v>3321</v>
      </c>
      <c r="C1338" s="6" t="s">
        <v>1605</v>
      </c>
      <c r="D1338" s="6" t="s">
        <v>1649</v>
      </c>
    </row>
    <row r="1339" ht="22" customHeight="1" spans="1:4">
      <c r="A1339" s="6" t="s">
        <v>3088</v>
      </c>
      <c r="B1339" s="6" t="s">
        <v>3322</v>
      </c>
      <c r="C1339" s="6" t="s">
        <v>1605</v>
      </c>
      <c r="D1339" s="6" t="s">
        <v>1651</v>
      </c>
    </row>
    <row r="1340" ht="22" customHeight="1" spans="1:4">
      <c r="A1340" s="6" t="s">
        <v>3088</v>
      </c>
      <c r="B1340" s="6" t="s">
        <v>3323</v>
      </c>
      <c r="C1340" s="6" t="s">
        <v>1570</v>
      </c>
      <c r="D1340" s="6" t="s">
        <v>1571</v>
      </c>
    </row>
    <row r="1341" ht="22" customHeight="1" spans="1:4">
      <c r="A1341" s="6" t="s">
        <v>3088</v>
      </c>
      <c r="B1341" s="6" t="s">
        <v>3324</v>
      </c>
      <c r="C1341" s="6" t="s">
        <v>1599</v>
      </c>
      <c r="D1341" s="6" t="s">
        <v>3325</v>
      </c>
    </row>
    <row r="1342" ht="22" customHeight="1" spans="1:4">
      <c r="A1342" s="6" t="s">
        <v>3088</v>
      </c>
      <c r="B1342" s="6" t="s">
        <v>3326</v>
      </c>
      <c r="C1342" s="6" t="s">
        <v>1599</v>
      </c>
      <c r="D1342" s="6" t="s">
        <v>3327</v>
      </c>
    </row>
    <row r="1343" ht="22" customHeight="1" spans="1:4">
      <c r="A1343" s="6" t="s">
        <v>3088</v>
      </c>
      <c r="B1343" s="6" t="s">
        <v>3328</v>
      </c>
      <c r="C1343" s="6" t="s">
        <v>1599</v>
      </c>
      <c r="D1343" s="6" t="s">
        <v>3329</v>
      </c>
    </row>
    <row r="1344" ht="22" customHeight="1" spans="1:4">
      <c r="A1344" s="6" t="s">
        <v>3088</v>
      </c>
      <c r="B1344" s="6" t="s">
        <v>3330</v>
      </c>
      <c r="C1344" s="6" t="s">
        <v>1599</v>
      </c>
      <c r="D1344" s="6" t="s">
        <v>1723</v>
      </c>
    </row>
    <row r="1345" ht="22" customHeight="1" spans="1:4">
      <c r="A1345" s="6" t="s">
        <v>3088</v>
      </c>
      <c r="B1345" s="6" t="s">
        <v>3331</v>
      </c>
      <c r="C1345" s="6" t="s">
        <v>1599</v>
      </c>
      <c r="D1345" s="6" t="s">
        <v>1723</v>
      </c>
    </row>
    <row r="1346" ht="22" customHeight="1" spans="1:4">
      <c r="A1346" s="6" t="s">
        <v>3088</v>
      </c>
      <c r="B1346" s="6" t="s">
        <v>3332</v>
      </c>
      <c r="C1346" s="6" t="s">
        <v>1573</v>
      </c>
      <c r="D1346" s="6" t="s">
        <v>2411</v>
      </c>
    </row>
    <row r="1347" ht="22" customHeight="1" spans="1:4">
      <c r="A1347" s="6" t="s">
        <v>3088</v>
      </c>
      <c r="B1347" s="6" t="s">
        <v>3333</v>
      </c>
      <c r="C1347" s="6" t="s">
        <v>1573</v>
      </c>
      <c r="D1347" s="6" t="s">
        <v>2310</v>
      </c>
    </row>
    <row r="1348" ht="22" customHeight="1" spans="1:4">
      <c r="A1348" s="6" t="s">
        <v>3088</v>
      </c>
      <c r="B1348" s="6" t="s">
        <v>3334</v>
      </c>
      <c r="C1348" s="6" t="s">
        <v>1573</v>
      </c>
      <c r="D1348" s="6" t="s">
        <v>922</v>
      </c>
    </row>
    <row r="1349" ht="22" customHeight="1" spans="1:4">
      <c r="A1349" s="6" t="s">
        <v>3088</v>
      </c>
      <c r="B1349" s="6" t="s">
        <v>3335</v>
      </c>
      <c r="C1349" s="6" t="s">
        <v>1605</v>
      </c>
      <c r="D1349" s="6" t="s">
        <v>1895</v>
      </c>
    </row>
    <row r="1350" ht="22" customHeight="1" spans="1:4">
      <c r="A1350" s="6" t="s">
        <v>3088</v>
      </c>
      <c r="B1350" s="6" t="s">
        <v>3336</v>
      </c>
      <c r="C1350" s="6" t="s">
        <v>1573</v>
      </c>
      <c r="D1350" s="6" t="s">
        <v>1623</v>
      </c>
    </row>
    <row r="1351" ht="22" customHeight="1" spans="1:4">
      <c r="A1351" s="6" t="s">
        <v>3088</v>
      </c>
      <c r="B1351" s="6" t="s">
        <v>3337</v>
      </c>
      <c r="C1351" s="6" t="s">
        <v>1605</v>
      </c>
      <c r="D1351" s="6" t="s">
        <v>2483</v>
      </c>
    </row>
    <row r="1352" ht="22" customHeight="1" spans="1:4">
      <c r="A1352" s="6" t="s">
        <v>3088</v>
      </c>
      <c r="B1352" s="6" t="s">
        <v>3338</v>
      </c>
      <c r="C1352" s="6" t="s">
        <v>1599</v>
      </c>
      <c r="D1352" s="6" t="s">
        <v>3339</v>
      </c>
    </row>
    <row r="1353" ht="22" customHeight="1" spans="1:4">
      <c r="A1353" s="6" t="s">
        <v>3088</v>
      </c>
      <c r="B1353" s="6" t="s">
        <v>3340</v>
      </c>
      <c r="C1353" s="6" t="s">
        <v>1605</v>
      </c>
      <c r="D1353" s="6" t="s">
        <v>1942</v>
      </c>
    </row>
    <row r="1354" ht="22" customHeight="1" spans="1:4">
      <c r="A1354" s="6" t="s">
        <v>3088</v>
      </c>
      <c r="B1354" s="6" t="s">
        <v>3341</v>
      </c>
      <c r="C1354" s="6" t="s">
        <v>1605</v>
      </c>
      <c r="D1354" s="6" t="s">
        <v>1606</v>
      </c>
    </row>
    <row r="1355" ht="22" customHeight="1" spans="1:4">
      <c r="A1355" s="6" t="s">
        <v>3088</v>
      </c>
      <c r="B1355" s="6" t="s">
        <v>3342</v>
      </c>
      <c r="C1355" s="6" t="s">
        <v>1605</v>
      </c>
      <c r="D1355" s="6" t="s">
        <v>1701</v>
      </c>
    </row>
    <row r="1356" ht="22" customHeight="1" spans="1:4">
      <c r="A1356" s="6" t="s">
        <v>3088</v>
      </c>
      <c r="B1356" s="6" t="s">
        <v>3343</v>
      </c>
      <c r="C1356" s="6" t="s">
        <v>1605</v>
      </c>
      <c r="D1356" s="6" t="s">
        <v>1641</v>
      </c>
    </row>
    <row r="1357" ht="22" customHeight="1" spans="1:4">
      <c r="A1357" s="6" t="s">
        <v>3088</v>
      </c>
      <c r="B1357" s="6" t="s">
        <v>3344</v>
      </c>
      <c r="C1357" s="6" t="s">
        <v>1599</v>
      </c>
      <c r="D1357" s="6" t="s">
        <v>3345</v>
      </c>
    </row>
    <row r="1358" ht="22" customHeight="1" spans="1:4">
      <c r="A1358" s="6" t="s">
        <v>3088</v>
      </c>
      <c r="B1358" s="6" t="s">
        <v>3346</v>
      </c>
      <c r="C1358" s="6" t="s">
        <v>1605</v>
      </c>
      <c r="D1358" s="6" t="s">
        <v>1649</v>
      </c>
    </row>
    <row r="1359" ht="22" customHeight="1" spans="1:4">
      <c r="A1359" s="6" t="s">
        <v>3088</v>
      </c>
      <c r="B1359" s="6" t="s">
        <v>3347</v>
      </c>
      <c r="C1359" s="6" t="s">
        <v>1605</v>
      </c>
      <c r="D1359" s="6" t="s">
        <v>1651</v>
      </c>
    </row>
    <row r="1360" ht="22" customHeight="1" spans="1:4">
      <c r="A1360" s="6" t="s">
        <v>3088</v>
      </c>
      <c r="B1360" s="6" t="s">
        <v>3348</v>
      </c>
      <c r="C1360" s="6" t="s">
        <v>1570</v>
      </c>
      <c r="D1360" s="6" t="s">
        <v>1571</v>
      </c>
    </row>
    <row r="1361" ht="22" customHeight="1" spans="1:4">
      <c r="A1361" s="6" t="s">
        <v>3088</v>
      </c>
      <c r="B1361" s="6" t="s">
        <v>3349</v>
      </c>
      <c r="C1361" s="6" t="s">
        <v>1599</v>
      </c>
      <c r="D1361" s="6" t="s">
        <v>3350</v>
      </c>
    </row>
    <row r="1362" ht="22" customHeight="1" spans="1:4">
      <c r="A1362" s="6" t="s">
        <v>3088</v>
      </c>
      <c r="B1362" s="6" t="s">
        <v>3351</v>
      </c>
      <c r="C1362" s="6" t="s">
        <v>1576</v>
      </c>
      <c r="D1362" s="6" t="s">
        <v>1571</v>
      </c>
    </row>
    <row r="1363" ht="22" customHeight="1" spans="1:4">
      <c r="A1363" s="6" t="s">
        <v>3088</v>
      </c>
      <c r="B1363" s="6" t="s">
        <v>3352</v>
      </c>
      <c r="C1363" s="6" t="s">
        <v>1599</v>
      </c>
      <c r="D1363" s="6" t="s">
        <v>1655</v>
      </c>
    </row>
    <row r="1364" ht="22" customHeight="1" spans="1:4">
      <c r="A1364" s="6" t="s">
        <v>3088</v>
      </c>
      <c r="B1364" s="6" t="s">
        <v>3353</v>
      </c>
      <c r="C1364" s="6" t="s">
        <v>1599</v>
      </c>
      <c r="D1364" s="6" t="s">
        <v>3354</v>
      </c>
    </row>
    <row r="1365" ht="22" customHeight="1" spans="1:4">
      <c r="A1365" s="6" t="s">
        <v>3088</v>
      </c>
      <c r="B1365" s="6" t="s">
        <v>3355</v>
      </c>
      <c r="C1365" s="6" t="s">
        <v>1599</v>
      </c>
      <c r="D1365" s="6" t="s">
        <v>3356</v>
      </c>
    </row>
    <row r="1366" ht="22" customHeight="1" spans="1:4">
      <c r="A1366" s="6" t="s">
        <v>3088</v>
      </c>
      <c r="B1366" s="6" t="s">
        <v>3357</v>
      </c>
      <c r="C1366" s="6" t="s">
        <v>1599</v>
      </c>
      <c r="D1366" s="6" t="s">
        <v>1723</v>
      </c>
    </row>
    <row r="1367" ht="22" customHeight="1" spans="1:4">
      <c r="A1367" s="6" t="s">
        <v>3088</v>
      </c>
      <c r="B1367" s="6" t="s">
        <v>3358</v>
      </c>
      <c r="C1367" s="6" t="s">
        <v>1599</v>
      </c>
      <c r="D1367" s="6" t="s">
        <v>1723</v>
      </c>
    </row>
    <row r="1368" ht="22" customHeight="1" spans="1:4">
      <c r="A1368" s="6" t="s">
        <v>3088</v>
      </c>
      <c r="B1368" s="6" t="s">
        <v>3359</v>
      </c>
      <c r="C1368" s="6" t="s">
        <v>1573</v>
      </c>
      <c r="D1368" s="6" t="s">
        <v>3360</v>
      </c>
    </row>
    <row r="1369" ht="22" customHeight="1" spans="1:4">
      <c r="A1369" s="6" t="s">
        <v>3088</v>
      </c>
      <c r="B1369" s="6" t="s">
        <v>3361</v>
      </c>
      <c r="C1369" s="6" t="s">
        <v>1573</v>
      </c>
      <c r="D1369" s="6" t="s">
        <v>2342</v>
      </c>
    </row>
    <row r="1370" ht="22" customHeight="1" spans="1:4">
      <c r="A1370" s="6" t="s">
        <v>3088</v>
      </c>
      <c r="B1370" s="6" t="s">
        <v>3362</v>
      </c>
      <c r="C1370" s="6" t="s">
        <v>1573</v>
      </c>
      <c r="D1370" s="6" t="s">
        <v>1593</v>
      </c>
    </row>
    <row r="1371" ht="22" customHeight="1" spans="1:4">
      <c r="A1371" s="6" t="s">
        <v>3088</v>
      </c>
      <c r="B1371" s="6" t="s">
        <v>3363</v>
      </c>
      <c r="C1371" s="6" t="s">
        <v>1605</v>
      </c>
      <c r="D1371" s="6" t="s">
        <v>1649</v>
      </c>
    </row>
    <row r="1372" ht="22" customHeight="1" spans="1:4">
      <c r="A1372" s="6" t="s">
        <v>3088</v>
      </c>
      <c r="B1372" s="6" t="s">
        <v>3364</v>
      </c>
      <c r="C1372" s="6" t="s">
        <v>1573</v>
      </c>
      <c r="D1372" s="6" t="s">
        <v>1623</v>
      </c>
    </row>
    <row r="1373" ht="22" customHeight="1" spans="1:4">
      <c r="A1373" s="6" t="s">
        <v>3088</v>
      </c>
      <c r="B1373" s="6" t="s">
        <v>3365</v>
      </c>
      <c r="C1373" s="6" t="s">
        <v>1605</v>
      </c>
      <c r="D1373" s="6" t="s">
        <v>923</v>
      </c>
    </row>
    <row r="1374" ht="22" customHeight="1" spans="1:4">
      <c r="A1374" s="6" t="s">
        <v>3088</v>
      </c>
      <c r="B1374" s="6" t="s">
        <v>3366</v>
      </c>
      <c r="C1374" s="6" t="s">
        <v>1599</v>
      </c>
      <c r="D1374" s="6" t="s">
        <v>3367</v>
      </c>
    </row>
    <row r="1375" ht="22" customHeight="1" spans="1:4">
      <c r="A1375" s="6" t="s">
        <v>3088</v>
      </c>
      <c r="B1375" s="6" t="s">
        <v>3368</v>
      </c>
      <c r="C1375" s="6" t="s">
        <v>1605</v>
      </c>
      <c r="D1375" s="6" t="s">
        <v>1942</v>
      </c>
    </row>
    <row r="1376" ht="22" customHeight="1" spans="1:4">
      <c r="A1376" s="6" t="s">
        <v>3088</v>
      </c>
      <c r="B1376" s="6" t="s">
        <v>3369</v>
      </c>
      <c r="C1376" s="6" t="s">
        <v>1605</v>
      </c>
      <c r="D1376" s="6" t="s">
        <v>1783</v>
      </c>
    </row>
    <row r="1377" ht="22" customHeight="1" spans="1:4">
      <c r="A1377" s="6" t="s">
        <v>3088</v>
      </c>
      <c r="B1377" s="6" t="s">
        <v>3370</v>
      </c>
      <c r="C1377" s="6" t="s">
        <v>1599</v>
      </c>
      <c r="D1377" s="6" t="s">
        <v>3371</v>
      </c>
    </row>
    <row r="1378" ht="22" customHeight="1" spans="1:4">
      <c r="A1378" s="6" t="s">
        <v>3088</v>
      </c>
      <c r="B1378" s="6" t="s">
        <v>3372</v>
      </c>
      <c r="C1378" s="6" t="s">
        <v>1605</v>
      </c>
      <c r="D1378" s="6" t="s">
        <v>1649</v>
      </c>
    </row>
    <row r="1379" ht="22" customHeight="1" spans="1:4">
      <c r="A1379" s="6" t="s">
        <v>3088</v>
      </c>
      <c r="B1379" s="6" t="s">
        <v>3373</v>
      </c>
      <c r="C1379" s="6" t="s">
        <v>1605</v>
      </c>
      <c r="D1379" s="6" t="s">
        <v>1651</v>
      </c>
    </row>
    <row r="1380" ht="22" customHeight="1" spans="1:4">
      <c r="A1380" s="6" t="s">
        <v>3088</v>
      </c>
      <c r="B1380" s="6" t="s">
        <v>3374</v>
      </c>
      <c r="C1380" s="6" t="s">
        <v>1570</v>
      </c>
      <c r="D1380" s="6" t="s">
        <v>1571</v>
      </c>
    </row>
    <row r="1381" ht="22" customHeight="1" spans="1:4">
      <c r="A1381" s="6" t="s">
        <v>3088</v>
      </c>
      <c r="B1381" s="6" t="s">
        <v>3375</v>
      </c>
      <c r="C1381" s="6" t="s">
        <v>1599</v>
      </c>
      <c r="D1381" s="6" t="s">
        <v>3376</v>
      </c>
    </row>
    <row r="1382" ht="22" customHeight="1" spans="1:4">
      <c r="A1382" s="6" t="s">
        <v>3088</v>
      </c>
      <c r="B1382" s="6" t="s">
        <v>3377</v>
      </c>
      <c r="C1382" s="6" t="s">
        <v>1599</v>
      </c>
      <c r="D1382" s="6" t="s">
        <v>3378</v>
      </c>
    </row>
    <row r="1383" ht="22" customHeight="1" spans="1:4">
      <c r="A1383" s="6" t="s">
        <v>3088</v>
      </c>
      <c r="B1383" s="6" t="s">
        <v>3379</v>
      </c>
      <c r="C1383" s="6" t="s">
        <v>1599</v>
      </c>
      <c r="D1383" s="6" t="s">
        <v>3380</v>
      </c>
    </row>
    <row r="1384" ht="22" customHeight="1" spans="1:4">
      <c r="A1384" s="6" t="s">
        <v>3088</v>
      </c>
      <c r="B1384" s="6" t="s">
        <v>3381</v>
      </c>
      <c r="C1384" s="6" t="s">
        <v>1599</v>
      </c>
      <c r="D1384" s="6" t="s">
        <v>1723</v>
      </c>
    </row>
    <row r="1385" ht="22" customHeight="1" spans="1:4">
      <c r="A1385" s="6" t="s">
        <v>3088</v>
      </c>
      <c r="B1385" s="6" t="s">
        <v>3382</v>
      </c>
      <c r="C1385" s="6" t="s">
        <v>1599</v>
      </c>
      <c r="D1385" s="6" t="s">
        <v>1723</v>
      </c>
    </row>
    <row r="1386" ht="22" customHeight="1" spans="1:4">
      <c r="A1386" s="6" t="s">
        <v>3088</v>
      </c>
      <c r="B1386" s="6" t="s">
        <v>3383</v>
      </c>
      <c r="C1386" s="6" t="s">
        <v>1573</v>
      </c>
      <c r="D1386" s="6" t="s">
        <v>3384</v>
      </c>
    </row>
    <row r="1387" ht="22" customHeight="1" spans="1:4">
      <c r="A1387" s="6" t="s">
        <v>3088</v>
      </c>
      <c r="B1387" s="6" t="s">
        <v>3385</v>
      </c>
      <c r="C1387" s="6" t="s">
        <v>1573</v>
      </c>
      <c r="D1387" s="6" t="s">
        <v>1628</v>
      </c>
    </row>
    <row r="1388" ht="22" customHeight="1" spans="1:4">
      <c r="A1388" s="6" t="s">
        <v>3088</v>
      </c>
      <c r="B1388" s="6" t="s">
        <v>3386</v>
      </c>
      <c r="C1388" s="6" t="s">
        <v>1573</v>
      </c>
      <c r="D1388" s="6" t="s">
        <v>1580</v>
      </c>
    </row>
    <row r="1389" ht="22" customHeight="1" spans="1:4">
      <c r="A1389" s="6" t="s">
        <v>3088</v>
      </c>
      <c r="B1389" s="6" t="s">
        <v>3387</v>
      </c>
      <c r="C1389" s="6" t="s">
        <v>1605</v>
      </c>
      <c r="D1389" s="6" t="s">
        <v>1735</v>
      </c>
    </row>
    <row r="1390" ht="22" customHeight="1" spans="1:4">
      <c r="A1390" s="6" t="s">
        <v>3088</v>
      </c>
      <c r="B1390" s="6" t="s">
        <v>3388</v>
      </c>
      <c r="C1390" s="6" t="s">
        <v>1573</v>
      </c>
      <c r="D1390" s="6" t="s">
        <v>1623</v>
      </c>
    </row>
    <row r="1391" ht="22" customHeight="1" spans="1:4">
      <c r="A1391" s="6" t="s">
        <v>3088</v>
      </c>
      <c r="B1391" s="6" t="s">
        <v>3389</v>
      </c>
      <c r="C1391" s="6" t="s">
        <v>1605</v>
      </c>
      <c r="D1391" s="6" t="s">
        <v>3390</v>
      </c>
    </row>
    <row r="1392" ht="22" customHeight="1" spans="1:4">
      <c r="A1392" s="6" t="s">
        <v>3088</v>
      </c>
      <c r="B1392" s="6" t="s">
        <v>3391</v>
      </c>
      <c r="C1392" s="6" t="s">
        <v>1599</v>
      </c>
      <c r="D1392" s="6" t="s">
        <v>3392</v>
      </c>
    </row>
    <row r="1393" ht="22" customHeight="1" spans="1:4">
      <c r="A1393" s="6" t="s">
        <v>3088</v>
      </c>
      <c r="B1393" s="6" t="s">
        <v>3393</v>
      </c>
      <c r="C1393" s="6" t="s">
        <v>1605</v>
      </c>
      <c r="D1393" s="6" t="s">
        <v>1942</v>
      </c>
    </row>
    <row r="1394" ht="22" customHeight="1" spans="1:4">
      <c r="A1394" s="6" t="s">
        <v>3088</v>
      </c>
      <c r="B1394" s="6" t="s">
        <v>3394</v>
      </c>
      <c r="C1394" s="6" t="s">
        <v>1573</v>
      </c>
      <c r="D1394" s="6" t="s">
        <v>2229</v>
      </c>
    </row>
    <row r="1395" ht="22" customHeight="1" spans="1:4">
      <c r="A1395" s="6" t="s">
        <v>3088</v>
      </c>
      <c r="B1395" s="6" t="s">
        <v>3395</v>
      </c>
      <c r="C1395" s="6" t="s">
        <v>1599</v>
      </c>
      <c r="D1395" s="6" t="s">
        <v>3396</v>
      </c>
    </row>
    <row r="1396" ht="22" customHeight="1" spans="1:4">
      <c r="A1396" s="6" t="s">
        <v>3088</v>
      </c>
      <c r="B1396" s="6" t="s">
        <v>3397</v>
      </c>
      <c r="C1396" s="6" t="s">
        <v>1605</v>
      </c>
      <c r="D1396" s="6" t="s">
        <v>1649</v>
      </c>
    </row>
    <row r="1397" ht="22" customHeight="1" spans="1:4">
      <c r="A1397" s="6" t="s">
        <v>3088</v>
      </c>
      <c r="B1397" s="6" t="s">
        <v>3398</v>
      </c>
      <c r="C1397" s="6" t="s">
        <v>1605</v>
      </c>
      <c r="D1397" s="6" t="s">
        <v>1651</v>
      </c>
    </row>
    <row r="1398" ht="22" customHeight="1" spans="1:4">
      <c r="A1398" s="6" t="s">
        <v>3088</v>
      </c>
      <c r="B1398" s="6" t="s">
        <v>3399</v>
      </c>
      <c r="C1398" s="6" t="s">
        <v>1570</v>
      </c>
      <c r="D1398" s="6" t="s">
        <v>1571</v>
      </c>
    </row>
    <row r="1399" ht="22" customHeight="1" spans="1:4">
      <c r="A1399" s="6" t="s">
        <v>3088</v>
      </c>
      <c r="B1399" s="6" t="s">
        <v>3400</v>
      </c>
      <c r="C1399" s="6" t="s">
        <v>1599</v>
      </c>
      <c r="D1399" s="6" t="s">
        <v>3401</v>
      </c>
    </row>
    <row r="1400" ht="22" customHeight="1" spans="1:4">
      <c r="A1400" s="6" t="s">
        <v>3088</v>
      </c>
      <c r="B1400" s="6" t="s">
        <v>3402</v>
      </c>
      <c r="C1400" s="6" t="s">
        <v>1599</v>
      </c>
      <c r="D1400" s="6" t="s">
        <v>3403</v>
      </c>
    </row>
    <row r="1401" ht="22" customHeight="1" spans="1:4">
      <c r="A1401" s="6" t="s">
        <v>3088</v>
      </c>
      <c r="B1401" s="6" t="s">
        <v>3404</v>
      </c>
      <c r="C1401" s="6" t="s">
        <v>1599</v>
      </c>
      <c r="D1401" s="6" t="s">
        <v>3405</v>
      </c>
    </row>
    <row r="1402" ht="22" customHeight="1" spans="1:4">
      <c r="A1402" s="6" t="s">
        <v>3088</v>
      </c>
      <c r="B1402" s="6" t="s">
        <v>3406</v>
      </c>
      <c r="C1402" s="6" t="s">
        <v>1599</v>
      </c>
      <c r="D1402" s="6" t="s">
        <v>1723</v>
      </c>
    </row>
    <row r="1403" ht="22" customHeight="1" spans="1:4">
      <c r="A1403" s="6" t="s">
        <v>3088</v>
      </c>
      <c r="B1403" s="6" t="s">
        <v>3407</v>
      </c>
      <c r="C1403" s="6" t="s">
        <v>1599</v>
      </c>
      <c r="D1403" s="6" t="s">
        <v>1723</v>
      </c>
    </row>
    <row r="1404" ht="22" customHeight="1" spans="1:4">
      <c r="A1404" s="6" t="s">
        <v>3088</v>
      </c>
      <c r="B1404" s="6" t="s">
        <v>3408</v>
      </c>
      <c r="C1404" s="6" t="s">
        <v>1573</v>
      </c>
      <c r="D1404" s="6" t="s">
        <v>2654</v>
      </c>
    </row>
    <row r="1405" ht="22" customHeight="1" spans="1:4">
      <c r="A1405" s="6" t="s">
        <v>3088</v>
      </c>
      <c r="B1405" s="6" t="s">
        <v>3409</v>
      </c>
      <c r="C1405" s="6" t="s">
        <v>1573</v>
      </c>
      <c r="D1405" s="6" t="s">
        <v>1685</v>
      </c>
    </row>
    <row r="1406" ht="22" customHeight="1" spans="1:4">
      <c r="A1406" s="6" t="s">
        <v>3088</v>
      </c>
      <c r="B1406" s="6" t="s">
        <v>3410</v>
      </c>
      <c r="C1406" s="6" t="s">
        <v>1573</v>
      </c>
      <c r="D1406" s="6" t="s">
        <v>1596</v>
      </c>
    </row>
    <row r="1407" ht="22" customHeight="1" spans="1:4">
      <c r="A1407" s="6" t="s">
        <v>3088</v>
      </c>
      <c r="B1407" s="6" t="s">
        <v>3411</v>
      </c>
      <c r="C1407" s="6" t="s">
        <v>1605</v>
      </c>
      <c r="D1407" s="6" t="s">
        <v>1855</v>
      </c>
    </row>
    <row r="1408" ht="22" customHeight="1" spans="1:4">
      <c r="A1408" s="6" t="s">
        <v>3088</v>
      </c>
      <c r="B1408" s="6" t="s">
        <v>3412</v>
      </c>
      <c r="C1408" s="6" t="s">
        <v>1573</v>
      </c>
      <c r="D1408" s="6" t="s">
        <v>275</v>
      </c>
    </row>
    <row r="1409" ht="22" customHeight="1" spans="1:4">
      <c r="A1409" s="6" t="s">
        <v>3088</v>
      </c>
      <c r="B1409" s="6" t="s">
        <v>3413</v>
      </c>
      <c r="C1409" s="6" t="s">
        <v>1605</v>
      </c>
      <c r="D1409" s="6" t="s">
        <v>911</v>
      </c>
    </row>
    <row r="1410" ht="22" customHeight="1" spans="1:4">
      <c r="A1410" s="6" t="s">
        <v>3088</v>
      </c>
      <c r="B1410" s="6" t="s">
        <v>3414</v>
      </c>
      <c r="C1410" s="6" t="s">
        <v>1599</v>
      </c>
      <c r="D1410" s="6" t="s">
        <v>3415</v>
      </c>
    </row>
    <row r="1411" ht="22" customHeight="1" spans="1:4">
      <c r="A1411" s="6" t="s">
        <v>3088</v>
      </c>
      <c r="B1411" s="6" t="s">
        <v>3416</v>
      </c>
      <c r="C1411" s="6" t="s">
        <v>1605</v>
      </c>
      <c r="D1411" s="6" t="s">
        <v>1942</v>
      </c>
    </row>
    <row r="1412" ht="22" customHeight="1" spans="1:4">
      <c r="A1412" s="6" t="s">
        <v>3088</v>
      </c>
      <c r="B1412" s="6" t="s">
        <v>3417</v>
      </c>
      <c r="C1412" s="6" t="s">
        <v>1605</v>
      </c>
      <c r="D1412" s="6" t="s">
        <v>1937</v>
      </c>
    </row>
    <row r="1413" ht="22" customHeight="1" spans="1:4">
      <c r="A1413" s="6" t="s">
        <v>3088</v>
      </c>
      <c r="B1413" s="6" t="s">
        <v>3418</v>
      </c>
      <c r="C1413" s="6" t="s">
        <v>1573</v>
      </c>
      <c r="D1413" s="6" t="s">
        <v>1155</v>
      </c>
    </row>
    <row r="1414" ht="22" customHeight="1" spans="1:4">
      <c r="A1414" s="6" t="s">
        <v>3088</v>
      </c>
      <c r="B1414" s="6" t="s">
        <v>3419</v>
      </c>
      <c r="C1414" s="6" t="s">
        <v>1599</v>
      </c>
      <c r="D1414" s="6" t="s">
        <v>3420</v>
      </c>
    </row>
    <row r="1415" ht="22" customHeight="1" spans="1:4">
      <c r="A1415" s="6" t="s">
        <v>3088</v>
      </c>
      <c r="B1415" s="6" t="s">
        <v>3421</v>
      </c>
      <c r="C1415" s="6" t="s">
        <v>1605</v>
      </c>
      <c r="D1415" s="6" t="s">
        <v>1649</v>
      </c>
    </row>
    <row r="1416" ht="22" customHeight="1" spans="1:4">
      <c r="A1416" s="6" t="s">
        <v>3088</v>
      </c>
      <c r="B1416" s="6" t="s">
        <v>3422</v>
      </c>
      <c r="C1416" s="6" t="s">
        <v>1605</v>
      </c>
      <c r="D1416" s="6" t="s">
        <v>1651</v>
      </c>
    </row>
    <row r="1417" ht="22" customHeight="1" spans="1:4">
      <c r="A1417" s="6" t="s">
        <v>3088</v>
      </c>
      <c r="B1417" s="6" t="s">
        <v>3423</v>
      </c>
      <c r="C1417" s="6" t="s">
        <v>1599</v>
      </c>
      <c r="D1417" s="6" t="s">
        <v>1653</v>
      </c>
    </row>
    <row r="1418" ht="22" customHeight="1" spans="1:4">
      <c r="A1418" s="6" t="s">
        <v>3088</v>
      </c>
      <c r="B1418" s="6" t="s">
        <v>3424</v>
      </c>
      <c r="C1418" s="6" t="s">
        <v>1599</v>
      </c>
      <c r="D1418" s="6" t="s">
        <v>1655</v>
      </c>
    </row>
    <row r="1419" ht="22" customHeight="1" spans="1:4">
      <c r="A1419" s="6" t="s">
        <v>3088</v>
      </c>
      <c r="B1419" s="6" t="s">
        <v>3425</v>
      </c>
      <c r="C1419" s="6" t="s">
        <v>1605</v>
      </c>
      <c r="D1419" s="6" t="s">
        <v>1657</v>
      </c>
    </row>
    <row r="1420" ht="22" customHeight="1" spans="1:4">
      <c r="A1420" s="6" t="s">
        <v>3088</v>
      </c>
      <c r="B1420" s="6" t="s">
        <v>3426</v>
      </c>
      <c r="C1420" s="6" t="s">
        <v>1605</v>
      </c>
      <c r="D1420" s="6" t="s">
        <v>3161</v>
      </c>
    </row>
    <row r="1421" ht="22" customHeight="1" spans="1:4">
      <c r="A1421" s="6" t="s">
        <v>3088</v>
      </c>
      <c r="B1421" s="6" t="s">
        <v>3427</v>
      </c>
      <c r="C1421" s="6" t="s">
        <v>1599</v>
      </c>
      <c r="D1421" s="6" t="s">
        <v>1661</v>
      </c>
    </row>
    <row r="1422" ht="22" customHeight="1" spans="1:4">
      <c r="A1422" s="6" t="s">
        <v>3088</v>
      </c>
      <c r="B1422" s="6" t="s">
        <v>3428</v>
      </c>
      <c r="C1422" s="6" t="s">
        <v>1570</v>
      </c>
      <c r="D1422" s="6" t="s">
        <v>1571</v>
      </c>
    </row>
    <row r="1423" ht="22" customHeight="1" spans="1:4">
      <c r="A1423" s="6" t="s">
        <v>3088</v>
      </c>
      <c r="B1423" s="6" t="s">
        <v>3429</v>
      </c>
      <c r="C1423" s="6" t="s">
        <v>1599</v>
      </c>
      <c r="D1423" s="6" t="s">
        <v>3430</v>
      </c>
    </row>
    <row r="1424" ht="22" customHeight="1" spans="1:4">
      <c r="A1424" s="6" t="s">
        <v>3088</v>
      </c>
      <c r="B1424" s="6" t="s">
        <v>3431</v>
      </c>
      <c r="C1424" s="6" t="s">
        <v>1576</v>
      </c>
      <c r="D1424" s="6" t="s">
        <v>1571</v>
      </c>
    </row>
    <row r="1425" ht="22" customHeight="1" spans="1:4">
      <c r="A1425" s="6" t="s">
        <v>3088</v>
      </c>
      <c r="B1425" s="6" t="s">
        <v>3432</v>
      </c>
      <c r="C1425" s="6" t="s">
        <v>1599</v>
      </c>
      <c r="D1425" s="6" t="s">
        <v>1661</v>
      </c>
    </row>
    <row r="1426" ht="22" customHeight="1" spans="1:4">
      <c r="A1426" s="6" t="s">
        <v>3088</v>
      </c>
      <c r="B1426" s="6" t="s">
        <v>3433</v>
      </c>
      <c r="C1426" s="6" t="s">
        <v>1599</v>
      </c>
      <c r="D1426" s="6" t="s">
        <v>3434</v>
      </c>
    </row>
    <row r="1427" ht="22" customHeight="1" spans="1:4">
      <c r="A1427" s="6" t="s">
        <v>3088</v>
      </c>
      <c r="B1427" s="6" t="s">
        <v>3435</v>
      </c>
      <c r="C1427" s="6" t="s">
        <v>1599</v>
      </c>
      <c r="D1427" s="6" t="s">
        <v>3436</v>
      </c>
    </row>
    <row r="1428" ht="22" customHeight="1" spans="1:4">
      <c r="A1428" s="6" t="s">
        <v>3088</v>
      </c>
      <c r="B1428" s="6" t="s">
        <v>3437</v>
      </c>
      <c r="C1428" s="6" t="s">
        <v>1599</v>
      </c>
      <c r="D1428" s="6" t="s">
        <v>1723</v>
      </c>
    </row>
    <row r="1429" ht="22" customHeight="1" spans="1:4">
      <c r="A1429" s="6" t="s">
        <v>3088</v>
      </c>
      <c r="B1429" s="6" t="s">
        <v>3438</v>
      </c>
      <c r="C1429" s="6" t="s">
        <v>1599</v>
      </c>
      <c r="D1429" s="6" t="s">
        <v>1723</v>
      </c>
    </row>
    <row r="1430" ht="22" customHeight="1" spans="1:4">
      <c r="A1430" s="6" t="s">
        <v>3088</v>
      </c>
      <c r="B1430" s="6" t="s">
        <v>3439</v>
      </c>
      <c r="C1430" s="6" t="s">
        <v>1573</v>
      </c>
      <c r="D1430" s="6" t="s">
        <v>3440</v>
      </c>
    </row>
    <row r="1431" ht="22" customHeight="1" spans="1:4">
      <c r="A1431" s="6" t="s">
        <v>3088</v>
      </c>
      <c r="B1431" s="6" t="s">
        <v>3441</v>
      </c>
      <c r="C1431" s="6" t="s">
        <v>1573</v>
      </c>
      <c r="D1431" s="6" t="s">
        <v>3230</v>
      </c>
    </row>
    <row r="1432" ht="22" customHeight="1" spans="1:4">
      <c r="A1432" s="6" t="s">
        <v>3088</v>
      </c>
      <c r="B1432" s="6" t="s">
        <v>3442</v>
      </c>
      <c r="C1432" s="6" t="s">
        <v>1573</v>
      </c>
      <c r="D1432" s="6" t="s">
        <v>1589</v>
      </c>
    </row>
    <row r="1433" ht="22" customHeight="1" spans="1:4">
      <c r="A1433" s="6" t="s">
        <v>3088</v>
      </c>
      <c r="B1433" s="6" t="s">
        <v>3443</v>
      </c>
      <c r="C1433" s="6" t="s">
        <v>1605</v>
      </c>
      <c r="D1433" s="6" t="s">
        <v>2447</v>
      </c>
    </row>
    <row r="1434" ht="22" customHeight="1" spans="1:4">
      <c r="A1434" s="6" t="s">
        <v>3088</v>
      </c>
      <c r="B1434" s="6" t="s">
        <v>3444</v>
      </c>
      <c r="C1434" s="6" t="s">
        <v>1573</v>
      </c>
      <c r="D1434" s="6" t="s">
        <v>1623</v>
      </c>
    </row>
    <row r="1435" ht="22" customHeight="1" spans="1:4">
      <c r="A1435" s="6" t="s">
        <v>3088</v>
      </c>
      <c r="B1435" s="6" t="s">
        <v>3445</v>
      </c>
      <c r="C1435" s="6" t="s">
        <v>1605</v>
      </c>
      <c r="D1435" s="6" t="s">
        <v>909</v>
      </c>
    </row>
    <row r="1436" ht="22" customHeight="1" spans="1:4">
      <c r="A1436" s="6" t="s">
        <v>3088</v>
      </c>
      <c r="B1436" s="6" t="s">
        <v>3446</v>
      </c>
      <c r="C1436" s="6" t="s">
        <v>1599</v>
      </c>
      <c r="D1436" s="6" t="s">
        <v>3447</v>
      </c>
    </row>
    <row r="1437" ht="22" customHeight="1" spans="1:4">
      <c r="A1437" s="6" t="s">
        <v>3088</v>
      </c>
      <c r="B1437" s="6" t="s">
        <v>3448</v>
      </c>
      <c r="C1437" s="6" t="s">
        <v>1605</v>
      </c>
      <c r="D1437" s="6" t="s">
        <v>1942</v>
      </c>
    </row>
    <row r="1438" ht="22" customHeight="1" spans="1:4">
      <c r="A1438" s="6" t="s">
        <v>3088</v>
      </c>
      <c r="B1438" s="6" t="s">
        <v>3449</v>
      </c>
      <c r="C1438" s="6" t="s">
        <v>1605</v>
      </c>
      <c r="D1438" s="6" t="s">
        <v>1778</v>
      </c>
    </row>
    <row r="1439" ht="22" customHeight="1" spans="1:4">
      <c r="A1439" s="6" t="s">
        <v>3088</v>
      </c>
      <c r="B1439" s="6" t="s">
        <v>3450</v>
      </c>
      <c r="C1439" s="6" t="s">
        <v>1605</v>
      </c>
      <c r="D1439" s="6" t="s">
        <v>1649</v>
      </c>
    </row>
    <row r="1440" ht="22" customHeight="1" spans="1:4">
      <c r="A1440" s="6" t="s">
        <v>3088</v>
      </c>
      <c r="B1440" s="6" t="s">
        <v>3451</v>
      </c>
      <c r="C1440" s="6" t="s">
        <v>1599</v>
      </c>
      <c r="D1440" s="6" t="s">
        <v>3452</v>
      </c>
    </row>
    <row r="1441" ht="22" customHeight="1" spans="1:4">
      <c r="A1441" s="6" t="s">
        <v>3088</v>
      </c>
      <c r="B1441" s="6" t="s">
        <v>3453</v>
      </c>
      <c r="C1441" s="6" t="s">
        <v>1605</v>
      </c>
      <c r="D1441" s="6" t="s">
        <v>1649</v>
      </c>
    </row>
    <row r="1442" ht="22" customHeight="1" spans="1:4">
      <c r="A1442" s="6" t="s">
        <v>3088</v>
      </c>
      <c r="B1442" s="6" t="s">
        <v>3454</v>
      </c>
      <c r="C1442" s="6" t="s">
        <v>1605</v>
      </c>
      <c r="D1442" s="6" t="s">
        <v>1651</v>
      </c>
    </row>
    <row r="1443" ht="22" customHeight="1" spans="1:4">
      <c r="A1443" s="6" t="s">
        <v>3088</v>
      </c>
      <c r="B1443" s="6" t="s">
        <v>3455</v>
      </c>
      <c r="C1443" s="6" t="s">
        <v>1570</v>
      </c>
      <c r="D1443" s="6" t="s">
        <v>1571</v>
      </c>
    </row>
    <row r="1444" ht="22" customHeight="1" spans="1:4">
      <c r="A1444" s="6" t="s">
        <v>3088</v>
      </c>
      <c r="B1444" s="6" t="s">
        <v>3456</v>
      </c>
      <c r="C1444" s="6" t="s">
        <v>1599</v>
      </c>
      <c r="D1444" s="6" t="s">
        <v>3457</v>
      </c>
    </row>
    <row r="1445" ht="22" customHeight="1" spans="1:4">
      <c r="A1445" s="6" t="s">
        <v>3088</v>
      </c>
      <c r="B1445" s="6" t="s">
        <v>3458</v>
      </c>
      <c r="C1445" s="6" t="s">
        <v>1576</v>
      </c>
      <c r="D1445" s="6" t="s">
        <v>1571</v>
      </c>
    </row>
    <row r="1446" ht="22" customHeight="1" spans="1:4">
      <c r="A1446" s="6" t="s">
        <v>3088</v>
      </c>
      <c r="B1446" s="6" t="s">
        <v>3459</v>
      </c>
      <c r="C1446" s="6" t="s">
        <v>1599</v>
      </c>
      <c r="D1446" s="6" t="s">
        <v>1655</v>
      </c>
    </row>
    <row r="1447" ht="22" customHeight="1" spans="1:4">
      <c r="A1447" s="6" t="s">
        <v>3088</v>
      </c>
      <c r="B1447" s="6" t="s">
        <v>3460</v>
      </c>
      <c r="C1447" s="6" t="s">
        <v>1599</v>
      </c>
      <c r="D1447" s="6" t="s">
        <v>3461</v>
      </c>
    </row>
    <row r="1448" ht="22" customHeight="1" spans="1:4">
      <c r="A1448" s="6" t="s">
        <v>3088</v>
      </c>
      <c r="B1448" s="6" t="s">
        <v>3462</v>
      </c>
      <c r="C1448" s="6" t="s">
        <v>1599</v>
      </c>
      <c r="D1448" s="6" t="s">
        <v>3463</v>
      </c>
    </row>
    <row r="1449" ht="22" customHeight="1" spans="1:4">
      <c r="A1449" s="6" t="s">
        <v>3088</v>
      </c>
      <c r="B1449" s="6" t="s">
        <v>3464</v>
      </c>
      <c r="C1449" s="6" t="s">
        <v>1599</v>
      </c>
      <c r="D1449" s="6" t="s">
        <v>1621</v>
      </c>
    </row>
    <row r="1450" ht="22" customHeight="1" spans="1:4">
      <c r="A1450" s="6" t="s">
        <v>3088</v>
      </c>
      <c r="B1450" s="6" t="s">
        <v>3465</v>
      </c>
      <c r="C1450" s="6" t="s">
        <v>1599</v>
      </c>
      <c r="D1450" s="6" t="s">
        <v>1621</v>
      </c>
    </row>
    <row r="1451" ht="22" customHeight="1" spans="1:4">
      <c r="A1451" s="6" t="s">
        <v>3088</v>
      </c>
      <c r="B1451" s="6" t="s">
        <v>3466</v>
      </c>
      <c r="C1451" s="6" t="s">
        <v>1573</v>
      </c>
      <c r="D1451" s="6" t="s">
        <v>3467</v>
      </c>
    </row>
    <row r="1452" ht="22" customHeight="1" spans="1:4">
      <c r="A1452" s="6" t="s">
        <v>3088</v>
      </c>
      <c r="B1452" s="6" t="s">
        <v>3468</v>
      </c>
      <c r="C1452" s="6" t="s">
        <v>1573</v>
      </c>
      <c r="D1452" s="6" t="s">
        <v>1970</v>
      </c>
    </row>
    <row r="1453" ht="22" customHeight="1" spans="1:4">
      <c r="A1453" s="6" t="s">
        <v>3088</v>
      </c>
      <c r="B1453" s="6" t="s">
        <v>3469</v>
      </c>
      <c r="C1453" s="6" t="s">
        <v>1573</v>
      </c>
      <c r="D1453" s="6" t="s">
        <v>275</v>
      </c>
    </row>
    <row r="1454" ht="22" customHeight="1" spans="1:4">
      <c r="A1454" s="6" t="s">
        <v>3088</v>
      </c>
      <c r="B1454" s="6" t="s">
        <v>3470</v>
      </c>
      <c r="C1454" s="6" t="s">
        <v>1605</v>
      </c>
      <c r="D1454" s="6" t="s">
        <v>1778</v>
      </c>
    </row>
    <row r="1455" ht="22" customHeight="1" spans="1:4">
      <c r="A1455" s="6" t="s">
        <v>3088</v>
      </c>
      <c r="B1455" s="6" t="s">
        <v>3471</v>
      </c>
      <c r="C1455" s="6" t="s">
        <v>1573</v>
      </c>
      <c r="D1455" s="6" t="s">
        <v>1623</v>
      </c>
    </row>
    <row r="1456" ht="22" customHeight="1" spans="1:4">
      <c r="A1456" s="6" t="s">
        <v>3088</v>
      </c>
      <c r="B1456" s="6" t="s">
        <v>3472</v>
      </c>
      <c r="C1456" s="6" t="s">
        <v>1605</v>
      </c>
      <c r="D1456" s="6" t="s">
        <v>943</v>
      </c>
    </row>
    <row r="1457" ht="22" customHeight="1" spans="1:4">
      <c r="A1457" s="6" t="s">
        <v>3088</v>
      </c>
      <c r="B1457" s="6" t="s">
        <v>3473</v>
      </c>
      <c r="C1457" s="6" t="s">
        <v>1599</v>
      </c>
      <c r="D1457" s="6" t="s">
        <v>3474</v>
      </c>
    </row>
    <row r="1458" ht="22" customHeight="1" spans="1:4">
      <c r="A1458" s="6" t="s">
        <v>3088</v>
      </c>
      <c r="B1458" s="6" t="s">
        <v>3475</v>
      </c>
      <c r="C1458" s="6" t="s">
        <v>1605</v>
      </c>
      <c r="D1458" s="6" t="s">
        <v>1942</v>
      </c>
    </row>
    <row r="1459" ht="22" customHeight="1" spans="1:4">
      <c r="A1459" s="6" t="s">
        <v>3088</v>
      </c>
      <c r="B1459" s="6" t="s">
        <v>3476</v>
      </c>
      <c r="C1459" s="6" t="s">
        <v>1605</v>
      </c>
      <c r="D1459" s="6" t="s">
        <v>2064</v>
      </c>
    </row>
    <row r="1460" ht="22" customHeight="1" spans="1:4">
      <c r="A1460" s="6" t="s">
        <v>3088</v>
      </c>
      <c r="B1460" s="6" t="s">
        <v>3477</v>
      </c>
      <c r="C1460" s="6" t="s">
        <v>1599</v>
      </c>
      <c r="D1460" s="6" t="s">
        <v>3478</v>
      </c>
    </row>
    <row r="1461" ht="22" customHeight="1" spans="1:4">
      <c r="A1461" s="6" t="s">
        <v>3088</v>
      </c>
      <c r="B1461" s="6" t="s">
        <v>3479</v>
      </c>
      <c r="C1461" s="6" t="s">
        <v>1605</v>
      </c>
      <c r="D1461" s="6" t="s">
        <v>1649</v>
      </c>
    </row>
    <row r="1462" ht="22" customHeight="1" spans="1:4">
      <c r="A1462" s="6" t="s">
        <v>3088</v>
      </c>
      <c r="B1462" s="6" t="s">
        <v>3480</v>
      </c>
      <c r="C1462" s="6" t="s">
        <v>1605</v>
      </c>
      <c r="D1462" s="6" t="s">
        <v>1651</v>
      </c>
    </row>
    <row r="1463" ht="22" customHeight="1" spans="1:4">
      <c r="A1463" s="6" t="s">
        <v>3088</v>
      </c>
      <c r="B1463" s="6" t="s">
        <v>3481</v>
      </c>
      <c r="C1463" s="6" t="s">
        <v>1570</v>
      </c>
      <c r="D1463" s="6" t="s">
        <v>1571</v>
      </c>
    </row>
    <row r="1464" ht="22" customHeight="1" spans="1:4">
      <c r="A1464" s="6" t="s">
        <v>3088</v>
      </c>
      <c r="B1464" s="6" t="s">
        <v>3482</v>
      </c>
      <c r="C1464" s="6" t="s">
        <v>1599</v>
      </c>
      <c r="D1464" s="6" t="s">
        <v>3483</v>
      </c>
    </row>
    <row r="1465" ht="22" customHeight="1" spans="1:4">
      <c r="A1465" s="6" t="s">
        <v>3088</v>
      </c>
      <c r="B1465" s="6" t="s">
        <v>3484</v>
      </c>
      <c r="C1465" s="6" t="s">
        <v>1576</v>
      </c>
      <c r="D1465" s="6" t="s">
        <v>1571</v>
      </c>
    </row>
    <row r="1466" ht="22" customHeight="1" spans="1:4">
      <c r="A1466" s="6" t="s">
        <v>3088</v>
      </c>
      <c r="B1466" s="6" t="s">
        <v>3485</v>
      </c>
      <c r="C1466" s="6" t="s">
        <v>1599</v>
      </c>
      <c r="D1466" s="6" t="s">
        <v>1655</v>
      </c>
    </row>
    <row r="1467" ht="22" customHeight="1" spans="1:4">
      <c r="A1467" s="6" t="s">
        <v>3088</v>
      </c>
      <c r="B1467" s="6" t="s">
        <v>3486</v>
      </c>
      <c r="C1467" s="6" t="s">
        <v>1599</v>
      </c>
      <c r="D1467" s="6" t="s">
        <v>3487</v>
      </c>
    </row>
    <row r="1468" ht="22" customHeight="1" spans="1:4">
      <c r="A1468" s="6" t="s">
        <v>3088</v>
      </c>
      <c r="B1468" s="6" t="s">
        <v>3488</v>
      </c>
      <c r="C1468" s="6" t="s">
        <v>1599</v>
      </c>
      <c r="D1468" s="6" t="s">
        <v>3489</v>
      </c>
    </row>
    <row r="1469" ht="22" customHeight="1" spans="1:4">
      <c r="A1469" s="6" t="s">
        <v>3088</v>
      </c>
      <c r="B1469" s="6" t="s">
        <v>3490</v>
      </c>
      <c r="C1469" s="6" t="s">
        <v>1599</v>
      </c>
      <c r="D1469" s="6" t="s">
        <v>1621</v>
      </c>
    </row>
    <row r="1470" ht="22" customHeight="1" spans="1:4">
      <c r="A1470" s="6" t="s">
        <v>3088</v>
      </c>
      <c r="B1470" s="6" t="s">
        <v>3491</v>
      </c>
      <c r="C1470" s="6" t="s">
        <v>1599</v>
      </c>
      <c r="D1470" s="6" t="s">
        <v>1621</v>
      </c>
    </row>
    <row r="1471" ht="22" customHeight="1" spans="1:4">
      <c r="A1471" s="6" t="s">
        <v>3088</v>
      </c>
      <c r="B1471" s="6" t="s">
        <v>3492</v>
      </c>
      <c r="C1471" s="6" t="s">
        <v>1573</v>
      </c>
      <c r="D1471" s="6" t="s">
        <v>2586</v>
      </c>
    </row>
    <row r="1472" ht="22" customHeight="1" spans="1:4">
      <c r="A1472" s="6" t="s">
        <v>3088</v>
      </c>
      <c r="B1472" s="6" t="s">
        <v>3493</v>
      </c>
      <c r="C1472" s="6" t="s">
        <v>1573</v>
      </c>
      <c r="D1472" s="6" t="s">
        <v>1628</v>
      </c>
    </row>
    <row r="1473" ht="22" customHeight="1" spans="1:4">
      <c r="A1473" s="6" t="s">
        <v>3088</v>
      </c>
      <c r="B1473" s="6" t="s">
        <v>3494</v>
      </c>
      <c r="C1473" s="6" t="s">
        <v>1573</v>
      </c>
      <c r="D1473" s="6" t="s">
        <v>463</v>
      </c>
    </row>
    <row r="1474" ht="22" customHeight="1" spans="1:4">
      <c r="A1474" s="6" t="s">
        <v>3088</v>
      </c>
      <c r="B1474" s="6" t="s">
        <v>3495</v>
      </c>
      <c r="C1474" s="6" t="s">
        <v>1605</v>
      </c>
      <c r="D1474" s="6" t="s">
        <v>1649</v>
      </c>
    </row>
    <row r="1475" ht="22" customHeight="1" spans="1:4">
      <c r="A1475" s="6" t="s">
        <v>3088</v>
      </c>
      <c r="B1475" s="6" t="s">
        <v>3496</v>
      </c>
      <c r="C1475" s="6" t="s">
        <v>1573</v>
      </c>
      <c r="D1475" s="6" t="s">
        <v>275</v>
      </c>
    </row>
    <row r="1476" ht="22" customHeight="1" spans="1:4">
      <c r="A1476" s="6" t="s">
        <v>3088</v>
      </c>
      <c r="B1476" s="6" t="s">
        <v>3497</v>
      </c>
      <c r="C1476" s="6" t="s">
        <v>1605</v>
      </c>
      <c r="D1476" s="6" t="s">
        <v>1634</v>
      </c>
    </row>
    <row r="1477" ht="22" customHeight="1" spans="1:4">
      <c r="A1477" s="6" t="s">
        <v>3088</v>
      </c>
      <c r="B1477" s="6" t="s">
        <v>3498</v>
      </c>
      <c r="C1477" s="6" t="s">
        <v>1599</v>
      </c>
      <c r="D1477" s="6" t="s">
        <v>3499</v>
      </c>
    </row>
    <row r="1478" ht="22" customHeight="1" spans="1:4">
      <c r="A1478" s="6" t="s">
        <v>3088</v>
      </c>
      <c r="B1478" s="6" t="s">
        <v>3500</v>
      </c>
      <c r="C1478" s="6" t="s">
        <v>1605</v>
      </c>
      <c r="D1478" s="6" t="s">
        <v>1942</v>
      </c>
    </row>
    <row r="1479" ht="22" customHeight="1" spans="1:4">
      <c r="A1479" s="6" t="s">
        <v>3088</v>
      </c>
      <c r="B1479" s="6" t="s">
        <v>3501</v>
      </c>
      <c r="C1479" s="6" t="s">
        <v>1605</v>
      </c>
      <c r="D1479" s="6" t="s">
        <v>1636</v>
      </c>
    </row>
    <row r="1480" ht="22" customHeight="1" spans="1:4">
      <c r="A1480" s="6" t="s">
        <v>3088</v>
      </c>
      <c r="B1480" s="6" t="s">
        <v>3502</v>
      </c>
      <c r="C1480" s="6" t="s">
        <v>1573</v>
      </c>
      <c r="D1480" s="6" t="s">
        <v>463</v>
      </c>
    </row>
    <row r="1481" ht="22" customHeight="1" spans="1:4">
      <c r="A1481" s="6" t="s">
        <v>3088</v>
      </c>
      <c r="B1481" s="6" t="s">
        <v>3503</v>
      </c>
      <c r="C1481" s="6" t="s">
        <v>1573</v>
      </c>
      <c r="D1481" s="6" t="s">
        <v>3264</v>
      </c>
    </row>
    <row r="1482" ht="22" customHeight="1" spans="1:4">
      <c r="A1482" s="6" t="s">
        <v>3088</v>
      </c>
      <c r="B1482" s="6" t="s">
        <v>3504</v>
      </c>
      <c r="C1482" s="6" t="s">
        <v>1599</v>
      </c>
      <c r="D1482" s="6" t="s">
        <v>3505</v>
      </c>
    </row>
    <row r="1483" ht="22" customHeight="1" spans="1:4">
      <c r="A1483" s="6" t="s">
        <v>3088</v>
      </c>
      <c r="B1483" s="6" t="s">
        <v>3506</v>
      </c>
      <c r="C1483" s="6" t="s">
        <v>1605</v>
      </c>
      <c r="D1483" s="6" t="s">
        <v>1649</v>
      </c>
    </row>
    <row r="1484" ht="22" customHeight="1" spans="1:4">
      <c r="A1484" s="6" t="s">
        <v>3088</v>
      </c>
      <c r="B1484" s="6" t="s">
        <v>3507</v>
      </c>
      <c r="C1484" s="6" t="s">
        <v>1605</v>
      </c>
      <c r="D1484" s="6" t="s">
        <v>1651</v>
      </c>
    </row>
    <row r="1485" ht="22" customHeight="1" spans="1:4">
      <c r="A1485" s="6" t="s">
        <v>3088</v>
      </c>
      <c r="B1485" s="6" t="s">
        <v>3508</v>
      </c>
      <c r="C1485" s="6" t="s">
        <v>1570</v>
      </c>
      <c r="D1485" s="6" t="s">
        <v>1571</v>
      </c>
    </row>
    <row r="1486" ht="22" customHeight="1" spans="1:4">
      <c r="A1486" s="6" t="s">
        <v>3088</v>
      </c>
      <c r="B1486" s="6" t="s">
        <v>3509</v>
      </c>
      <c r="C1486" s="6" t="s">
        <v>1599</v>
      </c>
      <c r="D1486" s="6" t="s">
        <v>3510</v>
      </c>
    </row>
    <row r="1487" ht="22" customHeight="1" spans="1:4">
      <c r="A1487" s="6" t="s">
        <v>3088</v>
      </c>
      <c r="B1487" s="6" t="s">
        <v>3511</v>
      </c>
      <c r="C1487" s="6" t="s">
        <v>1576</v>
      </c>
      <c r="D1487" s="6" t="s">
        <v>1571</v>
      </c>
    </row>
    <row r="1488" ht="22" customHeight="1" spans="1:4">
      <c r="A1488" s="6" t="s">
        <v>3088</v>
      </c>
      <c r="B1488" s="6" t="s">
        <v>3512</v>
      </c>
      <c r="C1488" s="6" t="s">
        <v>1599</v>
      </c>
      <c r="D1488" s="6" t="s">
        <v>1655</v>
      </c>
    </row>
    <row r="1489" ht="22" customHeight="1" spans="1:4">
      <c r="A1489" s="6" t="s">
        <v>3088</v>
      </c>
      <c r="B1489" s="6" t="s">
        <v>3513</v>
      </c>
      <c r="C1489" s="6" t="s">
        <v>1599</v>
      </c>
      <c r="D1489" s="6" t="s">
        <v>3514</v>
      </c>
    </row>
    <row r="1490" ht="22" customHeight="1" spans="1:4">
      <c r="A1490" s="6" t="s">
        <v>3088</v>
      </c>
      <c r="B1490" s="6" t="s">
        <v>3515</v>
      </c>
      <c r="C1490" s="6" t="s">
        <v>1599</v>
      </c>
      <c r="D1490" s="6" t="s">
        <v>3516</v>
      </c>
    </row>
    <row r="1491" ht="22" customHeight="1" spans="1:4">
      <c r="A1491" s="6" t="s">
        <v>3088</v>
      </c>
      <c r="B1491" s="6" t="s">
        <v>3517</v>
      </c>
      <c r="C1491" s="6" t="s">
        <v>1599</v>
      </c>
      <c r="D1491" s="6" t="s">
        <v>1621</v>
      </c>
    </row>
    <row r="1492" ht="22" customHeight="1" spans="1:4">
      <c r="A1492" s="6" t="s">
        <v>3088</v>
      </c>
      <c r="B1492" s="6" t="s">
        <v>3518</v>
      </c>
      <c r="C1492" s="6" t="s">
        <v>1599</v>
      </c>
      <c r="D1492" s="6" t="s">
        <v>1621</v>
      </c>
    </row>
    <row r="1493" ht="22" customHeight="1" spans="1:4">
      <c r="A1493" s="6" t="s">
        <v>3088</v>
      </c>
      <c r="B1493" s="6" t="s">
        <v>3519</v>
      </c>
      <c r="C1493" s="6" t="s">
        <v>1573</v>
      </c>
      <c r="D1493" s="6" t="s">
        <v>1626</v>
      </c>
    </row>
    <row r="1494" ht="22" customHeight="1" spans="1:4">
      <c r="A1494" s="6" t="s">
        <v>3088</v>
      </c>
      <c r="B1494" s="6" t="s">
        <v>3520</v>
      </c>
      <c r="C1494" s="6" t="s">
        <v>1573</v>
      </c>
      <c r="D1494" s="6" t="s">
        <v>2552</v>
      </c>
    </row>
    <row r="1495" ht="22" customHeight="1" spans="1:4">
      <c r="A1495" s="6" t="s">
        <v>3088</v>
      </c>
      <c r="B1495" s="6" t="s">
        <v>3521</v>
      </c>
      <c r="C1495" s="6" t="s">
        <v>1573</v>
      </c>
      <c r="D1495" s="6" t="s">
        <v>1585</v>
      </c>
    </row>
    <row r="1496" ht="22" customHeight="1" spans="1:4">
      <c r="A1496" s="6" t="s">
        <v>3088</v>
      </c>
      <c r="B1496" s="6" t="s">
        <v>3522</v>
      </c>
      <c r="C1496" s="6" t="s">
        <v>1605</v>
      </c>
      <c r="D1496" s="6" t="s">
        <v>1631</v>
      </c>
    </row>
    <row r="1497" ht="22" customHeight="1" spans="1:4">
      <c r="A1497" s="6" t="s">
        <v>3088</v>
      </c>
      <c r="B1497" s="6" t="s">
        <v>3523</v>
      </c>
      <c r="C1497" s="6" t="s">
        <v>1573</v>
      </c>
      <c r="D1497" s="6" t="s">
        <v>1623</v>
      </c>
    </row>
    <row r="1498" ht="22" customHeight="1" spans="1:4">
      <c r="A1498" s="6" t="s">
        <v>3088</v>
      </c>
      <c r="B1498" s="6" t="s">
        <v>3524</v>
      </c>
      <c r="C1498" s="6" t="s">
        <v>1605</v>
      </c>
      <c r="D1498" s="6" t="s">
        <v>923</v>
      </c>
    </row>
    <row r="1499" ht="22" customHeight="1" spans="1:4">
      <c r="A1499" s="6" t="s">
        <v>3088</v>
      </c>
      <c r="B1499" s="6" t="s">
        <v>3525</v>
      </c>
      <c r="C1499" s="6" t="s">
        <v>1599</v>
      </c>
      <c r="D1499" s="6" t="s">
        <v>3526</v>
      </c>
    </row>
    <row r="1500" ht="22" customHeight="1" spans="1:4">
      <c r="A1500" s="6" t="s">
        <v>3088</v>
      </c>
      <c r="B1500" s="6" t="s">
        <v>3527</v>
      </c>
      <c r="C1500" s="6" t="s">
        <v>1605</v>
      </c>
      <c r="D1500" s="6" t="s">
        <v>1942</v>
      </c>
    </row>
    <row r="1501" ht="22" customHeight="1" spans="1:4">
      <c r="A1501" s="6" t="s">
        <v>3088</v>
      </c>
      <c r="B1501" s="6" t="s">
        <v>3528</v>
      </c>
      <c r="C1501" s="6" t="s">
        <v>1605</v>
      </c>
      <c r="D1501" s="6" t="s">
        <v>1606</v>
      </c>
    </row>
    <row r="1502" ht="22" customHeight="1" spans="1:4">
      <c r="A1502" s="6" t="s">
        <v>3088</v>
      </c>
      <c r="B1502" s="6" t="s">
        <v>3529</v>
      </c>
      <c r="C1502" s="6" t="s">
        <v>1599</v>
      </c>
      <c r="D1502" s="6" t="s">
        <v>3530</v>
      </c>
    </row>
    <row r="1503" ht="22" customHeight="1" spans="1:4">
      <c r="A1503" s="6" t="s">
        <v>3088</v>
      </c>
      <c r="B1503" s="6" t="s">
        <v>3531</v>
      </c>
      <c r="C1503" s="6" t="s">
        <v>1605</v>
      </c>
      <c r="D1503" s="6" t="s">
        <v>1649</v>
      </c>
    </row>
    <row r="1504" ht="22" customHeight="1" spans="1:4">
      <c r="A1504" s="6" t="s">
        <v>3088</v>
      </c>
      <c r="B1504" s="6" t="s">
        <v>3532</v>
      </c>
      <c r="C1504" s="6" t="s">
        <v>1605</v>
      </c>
      <c r="D1504" s="6" t="s">
        <v>1651</v>
      </c>
    </row>
    <row r="1505" ht="22" customHeight="1" spans="1:4">
      <c r="A1505" s="6" t="s">
        <v>3088</v>
      </c>
      <c r="B1505" s="6" t="s">
        <v>3533</v>
      </c>
      <c r="C1505" s="6" t="s">
        <v>1570</v>
      </c>
      <c r="D1505" s="6" t="s">
        <v>1571</v>
      </c>
    </row>
    <row r="1506" ht="22" customHeight="1" spans="1:4">
      <c r="A1506" s="6" t="s">
        <v>3088</v>
      </c>
      <c r="B1506" s="6" t="s">
        <v>3534</v>
      </c>
      <c r="C1506" s="6" t="s">
        <v>1599</v>
      </c>
      <c r="D1506" s="6" t="s">
        <v>3535</v>
      </c>
    </row>
    <row r="1507" ht="22" customHeight="1" spans="1:4">
      <c r="A1507" s="6" t="s">
        <v>3088</v>
      </c>
      <c r="B1507" s="6" t="s">
        <v>3536</v>
      </c>
      <c r="C1507" s="6" t="s">
        <v>1576</v>
      </c>
      <c r="D1507" s="6" t="s">
        <v>1571</v>
      </c>
    </row>
    <row r="1508" ht="22" customHeight="1" spans="1:4">
      <c r="A1508" s="6" t="s">
        <v>3088</v>
      </c>
      <c r="B1508" s="6" t="s">
        <v>3537</v>
      </c>
      <c r="C1508" s="6" t="s">
        <v>1599</v>
      </c>
      <c r="D1508" s="6" t="s">
        <v>1655</v>
      </c>
    </row>
    <row r="1509" ht="22" customHeight="1" spans="1:4">
      <c r="A1509" s="6" t="s">
        <v>3088</v>
      </c>
      <c r="B1509" s="6" t="s">
        <v>3538</v>
      </c>
      <c r="C1509" s="6" t="s">
        <v>1599</v>
      </c>
      <c r="D1509" s="6" t="s">
        <v>3539</v>
      </c>
    </row>
    <row r="1510" ht="22" customHeight="1" spans="1:4">
      <c r="A1510" s="6" t="s">
        <v>3088</v>
      </c>
      <c r="B1510" s="6" t="s">
        <v>3540</v>
      </c>
      <c r="C1510" s="6" t="s">
        <v>1599</v>
      </c>
      <c r="D1510" s="6" t="s">
        <v>3541</v>
      </c>
    </row>
    <row r="1511" ht="22" customHeight="1" spans="1:4">
      <c r="A1511" s="6" t="s">
        <v>3088</v>
      </c>
      <c r="B1511" s="6" t="s">
        <v>3542</v>
      </c>
      <c r="C1511" s="6" t="s">
        <v>1599</v>
      </c>
      <c r="D1511" s="6" t="s">
        <v>1621</v>
      </c>
    </row>
    <row r="1512" ht="22" customHeight="1" spans="1:4">
      <c r="A1512" s="6" t="s">
        <v>3088</v>
      </c>
      <c r="B1512" s="6" t="s">
        <v>3543</v>
      </c>
      <c r="C1512" s="6" t="s">
        <v>1599</v>
      </c>
      <c r="D1512" s="6" t="s">
        <v>1621</v>
      </c>
    </row>
    <row r="1513" ht="22" customHeight="1" spans="1:4">
      <c r="A1513" s="6" t="s">
        <v>3088</v>
      </c>
      <c r="B1513" s="6" t="s">
        <v>3544</v>
      </c>
      <c r="C1513" s="6" t="s">
        <v>1573</v>
      </c>
      <c r="D1513" s="6" t="s">
        <v>2118</v>
      </c>
    </row>
    <row r="1514" ht="22" customHeight="1" spans="1:4">
      <c r="A1514" s="6" t="s">
        <v>3088</v>
      </c>
      <c r="B1514" s="6" t="s">
        <v>3545</v>
      </c>
      <c r="C1514" s="6" t="s">
        <v>1573</v>
      </c>
      <c r="D1514" s="6" t="s">
        <v>3546</v>
      </c>
    </row>
    <row r="1515" ht="22" customHeight="1" spans="1:4">
      <c r="A1515" s="6" t="s">
        <v>3088</v>
      </c>
      <c r="B1515" s="6" t="s">
        <v>3547</v>
      </c>
      <c r="C1515" s="6" t="s">
        <v>1573</v>
      </c>
      <c r="D1515" s="6" t="s">
        <v>493</v>
      </c>
    </row>
    <row r="1516" ht="22" customHeight="1" spans="1:4">
      <c r="A1516" s="6" t="s">
        <v>3088</v>
      </c>
      <c r="B1516" s="6" t="s">
        <v>3548</v>
      </c>
      <c r="C1516" s="6" t="s">
        <v>1605</v>
      </c>
      <c r="D1516" s="6" t="s">
        <v>1649</v>
      </c>
    </row>
    <row r="1517" ht="22" customHeight="1" spans="1:4">
      <c r="A1517" s="6" t="s">
        <v>3088</v>
      </c>
      <c r="B1517" s="6" t="s">
        <v>3549</v>
      </c>
      <c r="C1517" s="6" t="s">
        <v>1573</v>
      </c>
      <c r="D1517" s="6" t="s">
        <v>275</v>
      </c>
    </row>
    <row r="1518" ht="22" customHeight="1" spans="1:4">
      <c r="A1518" s="6" t="s">
        <v>3088</v>
      </c>
      <c r="B1518" s="6" t="s">
        <v>3550</v>
      </c>
      <c r="C1518" s="6" t="s">
        <v>1605</v>
      </c>
      <c r="D1518" s="6" t="s">
        <v>923</v>
      </c>
    </row>
    <row r="1519" ht="22" customHeight="1" spans="1:4">
      <c r="A1519" s="6" t="s">
        <v>3088</v>
      </c>
      <c r="B1519" s="6" t="s">
        <v>3551</v>
      </c>
      <c r="C1519" s="6" t="s">
        <v>1599</v>
      </c>
      <c r="D1519" s="6" t="s">
        <v>2280</v>
      </c>
    </row>
    <row r="1520" ht="22" customHeight="1" spans="1:4">
      <c r="A1520" s="6" t="s">
        <v>3088</v>
      </c>
      <c r="B1520" s="6" t="s">
        <v>3552</v>
      </c>
      <c r="C1520" s="6" t="s">
        <v>1599</v>
      </c>
      <c r="D1520" s="6" t="s">
        <v>3553</v>
      </c>
    </row>
    <row r="1521" ht="22" customHeight="1" spans="1:4">
      <c r="A1521" s="6" t="s">
        <v>3088</v>
      </c>
      <c r="B1521" s="6" t="s">
        <v>3554</v>
      </c>
      <c r="C1521" s="6" t="s">
        <v>1605</v>
      </c>
      <c r="D1521" s="6" t="s">
        <v>1649</v>
      </c>
    </row>
    <row r="1522" ht="22" customHeight="1" spans="1:4">
      <c r="A1522" s="6" t="s">
        <v>3088</v>
      </c>
      <c r="B1522" s="6" t="s">
        <v>3555</v>
      </c>
      <c r="C1522" s="6" t="s">
        <v>1605</v>
      </c>
      <c r="D1522" s="6" t="s">
        <v>1651</v>
      </c>
    </row>
    <row r="1523" ht="22" customHeight="1" spans="1:4">
      <c r="A1523" s="6" t="s">
        <v>3556</v>
      </c>
      <c r="B1523" s="6" t="s">
        <v>1569</v>
      </c>
      <c r="C1523" s="6" t="s">
        <v>1570</v>
      </c>
      <c r="D1523" s="6" t="s">
        <v>1571</v>
      </c>
    </row>
    <row r="1524" ht="22" customHeight="1" spans="1:4">
      <c r="A1524" s="6" t="s">
        <v>3556</v>
      </c>
      <c r="B1524" s="6" t="s">
        <v>1582</v>
      </c>
      <c r="C1524" s="6" t="s">
        <v>1576</v>
      </c>
      <c r="D1524" s="6" t="s">
        <v>1571</v>
      </c>
    </row>
    <row r="1525" ht="22" customHeight="1" spans="1:4">
      <c r="A1525" s="6" t="s">
        <v>3556</v>
      </c>
      <c r="B1525" s="6" t="s">
        <v>1583</v>
      </c>
      <c r="C1525" s="6" t="s">
        <v>1573</v>
      </c>
      <c r="D1525" s="6" t="s">
        <v>463</v>
      </c>
    </row>
    <row r="1526" ht="22" customHeight="1" spans="1:4">
      <c r="A1526" s="6" t="s">
        <v>3556</v>
      </c>
      <c r="B1526" s="6" t="s">
        <v>1584</v>
      </c>
      <c r="C1526" s="6" t="s">
        <v>1573</v>
      </c>
      <c r="D1526" s="6" t="s">
        <v>1585</v>
      </c>
    </row>
    <row r="1527" ht="22" customHeight="1" spans="1:4">
      <c r="A1527" s="6" t="s">
        <v>3556</v>
      </c>
      <c r="B1527" s="6" t="s">
        <v>1586</v>
      </c>
      <c r="C1527" s="6" t="s">
        <v>1573</v>
      </c>
      <c r="D1527" s="6" t="s">
        <v>1587</v>
      </c>
    </row>
    <row r="1528" ht="22" customHeight="1" spans="1:4">
      <c r="A1528" s="6" t="s">
        <v>3556</v>
      </c>
      <c r="B1528" s="6" t="s">
        <v>1588</v>
      </c>
      <c r="C1528" s="6" t="s">
        <v>1573</v>
      </c>
      <c r="D1528" s="6" t="s">
        <v>1589</v>
      </c>
    </row>
    <row r="1529" ht="22" customHeight="1" spans="1:4">
      <c r="A1529" s="6" t="s">
        <v>3556</v>
      </c>
      <c r="B1529" s="6" t="s">
        <v>3557</v>
      </c>
      <c r="C1529" s="6" t="s">
        <v>1570</v>
      </c>
      <c r="D1529" s="6" t="s">
        <v>1571</v>
      </c>
    </row>
    <row r="1530" ht="22" customHeight="1" spans="1:4">
      <c r="A1530" s="6" t="s">
        <v>3556</v>
      </c>
      <c r="B1530" s="6" t="s">
        <v>3558</v>
      </c>
      <c r="C1530" s="6" t="s">
        <v>1605</v>
      </c>
      <c r="D1530" s="6" t="s">
        <v>3559</v>
      </c>
    </row>
    <row r="1531" ht="22" customHeight="1" spans="1:4">
      <c r="A1531" s="6" t="s">
        <v>3556</v>
      </c>
      <c r="B1531" s="6" t="s">
        <v>3560</v>
      </c>
      <c r="C1531" s="6" t="s">
        <v>1605</v>
      </c>
      <c r="D1531" s="6" t="s">
        <v>2123</v>
      </c>
    </row>
    <row r="1532" ht="22" customHeight="1" spans="1:4">
      <c r="A1532" s="6" t="s">
        <v>3556</v>
      </c>
      <c r="B1532" s="6" t="s">
        <v>3561</v>
      </c>
      <c r="C1532" s="6" t="s">
        <v>1605</v>
      </c>
      <c r="D1532" s="6" t="s">
        <v>3562</v>
      </c>
    </row>
    <row r="1533" ht="22" customHeight="1" spans="1:4">
      <c r="A1533" s="6" t="s">
        <v>3556</v>
      </c>
      <c r="B1533" s="6" t="s">
        <v>3563</v>
      </c>
      <c r="C1533" s="6" t="s">
        <v>1605</v>
      </c>
      <c r="D1533" s="6" t="s">
        <v>3559</v>
      </c>
    </row>
    <row r="1534" ht="22" customHeight="1" spans="1:4">
      <c r="A1534" s="6" t="s">
        <v>3556</v>
      </c>
      <c r="B1534" s="6" t="s">
        <v>3564</v>
      </c>
      <c r="C1534" s="6" t="s">
        <v>1570</v>
      </c>
      <c r="D1534" s="6" t="s">
        <v>1571</v>
      </c>
    </row>
    <row r="1535" ht="22" customHeight="1" spans="1:4">
      <c r="A1535" s="6" t="s">
        <v>3556</v>
      </c>
      <c r="B1535" s="6" t="s">
        <v>3565</v>
      </c>
      <c r="C1535" s="6" t="s">
        <v>1573</v>
      </c>
      <c r="D1535" s="6" t="s">
        <v>1155</v>
      </c>
    </row>
    <row r="1536" ht="22" customHeight="1" spans="1:4">
      <c r="A1536" s="6" t="s">
        <v>3556</v>
      </c>
      <c r="B1536" s="6" t="s">
        <v>3566</v>
      </c>
      <c r="C1536" s="6" t="s">
        <v>1573</v>
      </c>
      <c r="D1536" s="6" t="s">
        <v>3567</v>
      </c>
    </row>
    <row r="1537" ht="22" customHeight="1" spans="1:4">
      <c r="A1537" s="6" t="s">
        <v>3556</v>
      </c>
      <c r="B1537" s="6" t="s">
        <v>3568</v>
      </c>
      <c r="C1537" s="6" t="s">
        <v>1573</v>
      </c>
      <c r="D1537" s="6" t="s">
        <v>3569</v>
      </c>
    </row>
    <row r="1538" ht="22" customHeight="1" spans="1:4">
      <c r="A1538" s="6" t="s">
        <v>3556</v>
      </c>
      <c r="B1538" s="6" t="s">
        <v>3570</v>
      </c>
      <c r="C1538" s="6" t="s">
        <v>1573</v>
      </c>
      <c r="D1538" s="6" t="s">
        <v>3571</v>
      </c>
    </row>
    <row r="1539" ht="22" customHeight="1" spans="1:4">
      <c r="A1539" s="6" t="s">
        <v>3556</v>
      </c>
      <c r="B1539" s="6" t="s">
        <v>3572</v>
      </c>
      <c r="C1539" s="6" t="s">
        <v>1576</v>
      </c>
      <c r="D1539" s="6" t="s">
        <v>1571</v>
      </c>
    </row>
    <row r="1540" ht="22" customHeight="1" spans="1:4">
      <c r="A1540" s="6" t="s">
        <v>3556</v>
      </c>
      <c r="B1540" s="6" t="s">
        <v>3573</v>
      </c>
      <c r="C1540" s="6" t="s">
        <v>1570</v>
      </c>
      <c r="D1540" s="6" t="s">
        <v>1571</v>
      </c>
    </row>
    <row r="1541" ht="22" customHeight="1" spans="1:4">
      <c r="A1541" s="6" t="s">
        <v>3556</v>
      </c>
      <c r="B1541" s="6" t="s">
        <v>3574</v>
      </c>
      <c r="C1541" s="6" t="s">
        <v>1599</v>
      </c>
      <c r="D1541" s="6" t="s">
        <v>3575</v>
      </c>
    </row>
    <row r="1542" ht="22" customHeight="1" spans="1:4">
      <c r="A1542" s="6" t="s">
        <v>3556</v>
      </c>
      <c r="B1542" s="6" t="s">
        <v>3576</v>
      </c>
      <c r="C1542" s="6" t="s">
        <v>1576</v>
      </c>
      <c r="D1542" s="6" t="s">
        <v>1571</v>
      </c>
    </row>
    <row r="1543" ht="22" customHeight="1" spans="1:4">
      <c r="A1543" s="6" t="s">
        <v>3556</v>
      </c>
      <c r="B1543" s="6" t="s">
        <v>3577</v>
      </c>
      <c r="C1543" s="6" t="s">
        <v>1599</v>
      </c>
      <c r="D1543" s="6" t="s">
        <v>1661</v>
      </c>
    </row>
    <row r="1544" ht="22" customHeight="1" spans="1:4">
      <c r="A1544" s="6" t="s">
        <v>3556</v>
      </c>
      <c r="B1544" s="6" t="s">
        <v>3578</v>
      </c>
      <c r="C1544" s="6" t="s">
        <v>1599</v>
      </c>
      <c r="D1544" s="6" t="s">
        <v>3579</v>
      </c>
    </row>
    <row r="1545" ht="22" customHeight="1" spans="1:4">
      <c r="A1545" s="6" t="s">
        <v>3556</v>
      </c>
      <c r="B1545" s="6" t="s">
        <v>3580</v>
      </c>
      <c r="C1545" s="6" t="s">
        <v>1599</v>
      </c>
      <c r="D1545" s="6" t="s">
        <v>3581</v>
      </c>
    </row>
    <row r="1546" ht="22" customHeight="1" spans="1:4">
      <c r="A1546" s="6" t="s">
        <v>3556</v>
      </c>
      <c r="B1546" s="6" t="s">
        <v>3582</v>
      </c>
      <c r="C1546" s="6" t="s">
        <v>1599</v>
      </c>
      <c r="D1546" s="6" t="s">
        <v>1769</v>
      </c>
    </row>
    <row r="1547" ht="22" customHeight="1" spans="1:4">
      <c r="A1547" s="6" t="s">
        <v>3556</v>
      </c>
      <c r="B1547" s="6" t="s">
        <v>3583</v>
      </c>
      <c r="C1547" s="6" t="s">
        <v>1573</v>
      </c>
      <c r="D1547" s="6" t="s">
        <v>3584</v>
      </c>
    </row>
    <row r="1548" ht="22" customHeight="1" spans="1:4">
      <c r="A1548" s="6" t="s">
        <v>3556</v>
      </c>
      <c r="B1548" s="6" t="s">
        <v>3585</v>
      </c>
      <c r="C1548" s="6" t="s">
        <v>1573</v>
      </c>
      <c r="D1548" s="6" t="s">
        <v>3586</v>
      </c>
    </row>
    <row r="1549" ht="22" customHeight="1" spans="1:4">
      <c r="A1549" s="6" t="s">
        <v>3556</v>
      </c>
      <c r="B1549" s="6" t="s">
        <v>3587</v>
      </c>
      <c r="C1549" s="6" t="s">
        <v>1573</v>
      </c>
      <c r="D1549" s="6" t="s">
        <v>1585</v>
      </c>
    </row>
    <row r="1550" ht="22" customHeight="1" spans="1:4">
      <c r="A1550" s="6" t="s">
        <v>3556</v>
      </c>
      <c r="B1550" s="6" t="s">
        <v>3588</v>
      </c>
      <c r="C1550" s="6" t="s">
        <v>1605</v>
      </c>
      <c r="D1550" s="6" t="s">
        <v>1895</v>
      </c>
    </row>
    <row r="1551" ht="22" customHeight="1" spans="1:4">
      <c r="A1551" s="6" t="s">
        <v>3556</v>
      </c>
      <c r="B1551" s="6" t="s">
        <v>3589</v>
      </c>
      <c r="C1551" s="6" t="s">
        <v>1573</v>
      </c>
      <c r="D1551" s="6" t="s">
        <v>275</v>
      </c>
    </row>
    <row r="1552" ht="22" customHeight="1" spans="1:4">
      <c r="A1552" s="6" t="s">
        <v>3556</v>
      </c>
      <c r="B1552" s="6" t="s">
        <v>3590</v>
      </c>
      <c r="C1552" s="6" t="s">
        <v>1605</v>
      </c>
      <c r="D1552" s="6" t="s">
        <v>2483</v>
      </c>
    </row>
    <row r="1553" ht="22" customHeight="1" spans="1:4">
      <c r="A1553" s="6" t="s">
        <v>3556</v>
      </c>
      <c r="B1553" s="6" t="s">
        <v>3591</v>
      </c>
      <c r="C1553" s="6" t="s">
        <v>1573</v>
      </c>
      <c r="D1553" s="6" t="s">
        <v>1725</v>
      </c>
    </row>
    <row r="1554" ht="22" customHeight="1" spans="1:4">
      <c r="A1554" s="6" t="s">
        <v>3556</v>
      </c>
      <c r="B1554" s="6" t="s">
        <v>3592</v>
      </c>
      <c r="C1554" s="6" t="s">
        <v>1599</v>
      </c>
      <c r="D1554" s="6" t="s">
        <v>3593</v>
      </c>
    </row>
    <row r="1555" ht="22" customHeight="1" spans="1:4">
      <c r="A1555" s="6" t="s">
        <v>3556</v>
      </c>
      <c r="B1555" s="6" t="s">
        <v>3594</v>
      </c>
      <c r="C1555" s="6" t="s">
        <v>1605</v>
      </c>
      <c r="D1555" s="6" t="s">
        <v>1697</v>
      </c>
    </row>
    <row r="1556" ht="22" customHeight="1" spans="1:4">
      <c r="A1556" s="6" t="s">
        <v>3556</v>
      </c>
      <c r="B1556" s="6" t="s">
        <v>3595</v>
      </c>
      <c r="C1556" s="6" t="s">
        <v>1573</v>
      </c>
      <c r="D1556" s="6" t="s">
        <v>1718</v>
      </c>
    </row>
    <row r="1557" ht="22" customHeight="1" spans="1:4">
      <c r="A1557" s="6" t="s">
        <v>3556</v>
      </c>
      <c r="B1557" s="6" t="s">
        <v>3596</v>
      </c>
      <c r="C1557" s="6" t="s">
        <v>1599</v>
      </c>
      <c r="D1557" s="6" t="s">
        <v>3597</v>
      </c>
    </row>
    <row r="1558" ht="22" customHeight="1" spans="1:4">
      <c r="A1558" s="6" t="s">
        <v>3556</v>
      </c>
      <c r="B1558" s="6" t="s">
        <v>3598</v>
      </c>
      <c r="C1558" s="6" t="s">
        <v>1605</v>
      </c>
      <c r="D1558" s="6" t="s">
        <v>2064</v>
      </c>
    </row>
    <row r="1559" ht="22" customHeight="1" spans="1:4">
      <c r="A1559" s="6" t="s">
        <v>3556</v>
      </c>
      <c r="B1559" s="6" t="s">
        <v>3599</v>
      </c>
      <c r="C1559" s="6" t="s">
        <v>1605</v>
      </c>
      <c r="D1559" s="6" t="s">
        <v>1651</v>
      </c>
    </row>
    <row r="1560" ht="22" customHeight="1" spans="1:4">
      <c r="A1560" s="6" t="s">
        <v>3556</v>
      </c>
      <c r="B1560" s="6" t="s">
        <v>3600</v>
      </c>
      <c r="C1560" s="6" t="s">
        <v>1599</v>
      </c>
      <c r="D1560" s="6" t="s">
        <v>1653</v>
      </c>
    </row>
    <row r="1561" ht="22" customHeight="1" spans="1:4">
      <c r="A1561" s="6" t="s">
        <v>3556</v>
      </c>
      <c r="B1561" s="6" t="s">
        <v>3601</v>
      </c>
      <c r="C1561" s="6" t="s">
        <v>1599</v>
      </c>
      <c r="D1561" s="6" t="s">
        <v>1655</v>
      </c>
    </row>
    <row r="1562" ht="22" customHeight="1" spans="1:4">
      <c r="A1562" s="6" t="s">
        <v>3556</v>
      </c>
      <c r="B1562" s="6" t="s">
        <v>3602</v>
      </c>
      <c r="C1562" s="6" t="s">
        <v>1605</v>
      </c>
      <c r="D1562" s="6" t="s">
        <v>1657</v>
      </c>
    </row>
    <row r="1563" ht="22" customHeight="1" spans="1:4">
      <c r="A1563" s="6" t="s">
        <v>3556</v>
      </c>
      <c r="B1563" s="6" t="s">
        <v>3603</v>
      </c>
      <c r="C1563" s="6" t="s">
        <v>1605</v>
      </c>
      <c r="D1563" s="6" t="s">
        <v>3161</v>
      </c>
    </row>
    <row r="1564" ht="22" customHeight="1" spans="1:4">
      <c r="A1564" s="6" t="s">
        <v>3556</v>
      </c>
      <c r="B1564" s="6" t="s">
        <v>3604</v>
      </c>
      <c r="C1564" s="6" t="s">
        <v>1599</v>
      </c>
      <c r="D1564" s="6" t="s">
        <v>1661</v>
      </c>
    </row>
    <row r="1565" ht="22" customHeight="1" spans="1:4">
      <c r="A1565" s="6" t="s">
        <v>3556</v>
      </c>
      <c r="B1565" s="6" t="s">
        <v>3605</v>
      </c>
      <c r="C1565" s="6" t="s">
        <v>1570</v>
      </c>
      <c r="D1565" s="6" t="s">
        <v>1571</v>
      </c>
    </row>
    <row r="1566" ht="22" customHeight="1" spans="1:4">
      <c r="A1566" s="6" t="s">
        <v>3556</v>
      </c>
      <c r="B1566" s="6" t="s">
        <v>3606</v>
      </c>
      <c r="C1566" s="6" t="s">
        <v>1599</v>
      </c>
      <c r="D1566" s="6" t="s">
        <v>3607</v>
      </c>
    </row>
    <row r="1567" ht="22" customHeight="1" spans="1:4">
      <c r="A1567" s="6" t="s">
        <v>3556</v>
      </c>
      <c r="B1567" s="6" t="s">
        <v>3608</v>
      </c>
      <c r="C1567" s="6" t="s">
        <v>1576</v>
      </c>
      <c r="D1567" s="6" t="s">
        <v>1571</v>
      </c>
    </row>
    <row r="1568" ht="22" customHeight="1" spans="1:4">
      <c r="A1568" s="6" t="s">
        <v>3556</v>
      </c>
      <c r="B1568" s="6" t="s">
        <v>3609</v>
      </c>
      <c r="C1568" s="6" t="s">
        <v>1599</v>
      </c>
      <c r="D1568" s="6" t="s">
        <v>1661</v>
      </c>
    </row>
    <row r="1569" ht="22" customHeight="1" spans="1:4">
      <c r="A1569" s="6" t="s">
        <v>3556</v>
      </c>
      <c r="B1569" s="6" t="s">
        <v>3610</v>
      </c>
      <c r="C1569" s="6" t="s">
        <v>1599</v>
      </c>
      <c r="D1569" s="6" t="s">
        <v>3611</v>
      </c>
    </row>
    <row r="1570" ht="22" customHeight="1" spans="1:4">
      <c r="A1570" s="6" t="s">
        <v>3556</v>
      </c>
      <c r="B1570" s="6" t="s">
        <v>3612</v>
      </c>
      <c r="C1570" s="6" t="s">
        <v>1599</v>
      </c>
      <c r="D1570" s="6" t="s">
        <v>3613</v>
      </c>
    </row>
    <row r="1571" ht="22" customHeight="1" spans="1:4">
      <c r="A1571" s="6" t="s">
        <v>3556</v>
      </c>
      <c r="B1571" s="6" t="s">
        <v>3614</v>
      </c>
      <c r="C1571" s="6" t="s">
        <v>1599</v>
      </c>
      <c r="D1571" s="6" t="s">
        <v>1769</v>
      </c>
    </row>
    <row r="1572" ht="22" customHeight="1" spans="1:4">
      <c r="A1572" s="6" t="s">
        <v>3556</v>
      </c>
      <c r="B1572" s="6" t="s">
        <v>3615</v>
      </c>
      <c r="C1572" s="6" t="s">
        <v>1573</v>
      </c>
      <c r="D1572" s="6" t="s">
        <v>3616</v>
      </c>
    </row>
    <row r="1573" ht="22" customHeight="1" spans="1:4">
      <c r="A1573" s="6" t="s">
        <v>3556</v>
      </c>
      <c r="B1573" s="6" t="s">
        <v>3617</v>
      </c>
      <c r="C1573" s="6" t="s">
        <v>1573</v>
      </c>
      <c r="D1573" s="6" t="s">
        <v>3618</v>
      </c>
    </row>
    <row r="1574" ht="22" customHeight="1" spans="1:4">
      <c r="A1574" s="6" t="s">
        <v>3556</v>
      </c>
      <c r="B1574" s="6" t="s">
        <v>3619</v>
      </c>
      <c r="C1574" s="6" t="s">
        <v>1573</v>
      </c>
      <c r="D1574" s="6" t="s">
        <v>1587</v>
      </c>
    </row>
    <row r="1575" ht="22" customHeight="1" spans="1:4">
      <c r="A1575" s="6" t="s">
        <v>3556</v>
      </c>
      <c r="B1575" s="6" t="s">
        <v>3620</v>
      </c>
      <c r="C1575" s="6" t="s">
        <v>1605</v>
      </c>
      <c r="D1575" s="6" t="s">
        <v>1735</v>
      </c>
    </row>
    <row r="1576" ht="22" customHeight="1" spans="1:4">
      <c r="A1576" s="6" t="s">
        <v>3556</v>
      </c>
      <c r="B1576" s="6" t="s">
        <v>3621</v>
      </c>
      <c r="C1576" s="6" t="s">
        <v>1573</v>
      </c>
      <c r="D1576" s="6" t="s">
        <v>275</v>
      </c>
    </row>
    <row r="1577" ht="22" customHeight="1" spans="1:4">
      <c r="A1577" s="6" t="s">
        <v>3556</v>
      </c>
      <c r="B1577" s="6" t="s">
        <v>3622</v>
      </c>
      <c r="C1577" s="6" t="s">
        <v>1605</v>
      </c>
      <c r="D1577" s="6" t="s">
        <v>909</v>
      </c>
    </row>
    <row r="1578" ht="22" customHeight="1" spans="1:4">
      <c r="A1578" s="6" t="s">
        <v>3556</v>
      </c>
      <c r="B1578" s="6" t="s">
        <v>3623</v>
      </c>
      <c r="C1578" s="6" t="s">
        <v>1573</v>
      </c>
      <c r="D1578" s="6" t="s">
        <v>1725</v>
      </c>
    </row>
    <row r="1579" ht="22" customHeight="1" spans="1:4">
      <c r="A1579" s="6" t="s">
        <v>3556</v>
      </c>
      <c r="B1579" s="6" t="s">
        <v>3624</v>
      </c>
      <c r="C1579" s="6" t="s">
        <v>1599</v>
      </c>
      <c r="D1579" s="6" t="s">
        <v>3625</v>
      </c>
    </row>
    <row r="1580" ht="22" customHeight="1" spans="1:4">
      <c r="A1580" s="6" t="s">
        <v>3556</v>
      </c>
      <c r="B1580" s="6" t="s">
        <v>3626</v>
      </c>
      <c r="C1580" s="6" t="s">
        <v>1573</v>
      </c>
      <c r="D1580" s="6" t="s">
        <v>1593</v>
      </c>
    </row>
    <row r="1581" ht="22" customHeight="1" spans="1:4">
      <c r="A1581" s="6" t="s">
        <v>3556</v>
      </c>
      <c r="B1581" s="6" t="s">
        <v>3627</v>
      </c>
      <c r="C1581" s="6" t="s">
        <v>1573</v>
      </c>
      <c r="D1581" s="6" t="s">
        <v>3628</v>
      </c>
    </row>
    <row r="1582" ht="22" customHeight="1" spans="1:4">
      <c r="A1582" s="6" t="s">
        <v>3556</v>
      </c>
      <c r="B1582" s="6" t="s">
        <v>3629</v>
      </c>
      <c r="C1582" s="6" t="s">
        <v>1605</v>
      </c>
      <c r="D1582" s="6" t="s">
        <v>1645</v>
      </c>
    </row>
    <row r="1583" ht="22" customHeight="1" spans="1:4">
      <c r="A1583" s="6" t="s">
        <v>3556</v>
      </c>
      <c r="B1583" s="6" t="s">
        <v>3630</v>
      </c>
      <c r="C1583" s="6" t="s">
        <v>1599</v>
      </c>
      <c r="D1583" s="6" t="s">
        <v>3631</v>
      </c>
    </row>
    <row r="1584" ht="22" customHeight="1" spans="1:4">
      <c r="A1584" s="6" t="s">
        <v>3556</v>
      </c>
      <c r="B1584" s="6" t="s">
        <v>3632</v>
      </c>
      <c r="C1584" s="6" t="s">
        <v>1605</v>
      </c>
      <c r="D1584" s="6" t="s">
        <v>2064</v>
      </c>
    </row>
    <row r="1585" ht="22" customHeight="1" spans="1:4">
      <c r="A1585" s="6" t="s">
        <v>3556</v>
      </c>
      <c r="B1585" s="6" t="s">
        <v>3633</v>
      </c>
      <c r="C1585" s="6" t="s">
        <v>1605</v>
      </c>
      <c r="D1585" s="6" t="s">
        <v>1651</v>
      </c>
    </row>
    <row r="1586" ht="22" customHeight="1" spans="1:4">
      <c r="A1586" s="6" t="s">
        <v>3556</v>
      </c>
      <c r="B1586" s="6" t="s">
        <v>3634</v>
      </c>
      <c r="C1586" s="6" t="s">
        <v>1599</v>
      </c>
      <c r="D1586" s="6" t="s">
        <v>1653</v>
      </c>
    </row>
    <row r="1587" ht="22" customHeight="1" spans="1:4">
      <c r="A1587" s="6" t="s">
        <v>3556</v>
      </c>
      <c r="B1587" s="6" t="s">
        <v>3635</v>
      </c>
      <c r="C1587" s="6" t="s">
        <v>1599</v>
      </c>
      <c r="D1587" s="6" t="s">
        <v>1655</v>
      </c>
    </row>
    <row r="1588" ht="22" customHeight="1" spans="1:4">
      <c r="A1588" s="6" t="s">
        <v>3556</v>
      </c>
      <c r="B1588" s="6" t="s">
        <v>3636</v>
      </c>
      <c r="C1588" s="6" t="s">
        <v>1605</v>
      </c>
      <c r="D1588" s="6" t="s">
        <v>1657</v>
      </c>
    </row>
    <row r="1589" ht="22" customHeight="1" spans="1:4">
      <c r="A1589" s="6" t="s">
        <v>3556</v>
      </c>
      <c r="B1589" s="6" t="s">
        <v>3637</v>
      </c>
      <c r="C1589" s="6" t="s">
        <v>1605</v>
      </c>
      <c r="D1589" s="6" t="s">
        <v>3161</v>
      </c>
    </row>
    <row r="1590" ht="22" customHeight="1" spans="1:4">
      <c r="A1590" s="6" t="s">
        <v>3556</v>
      </c>
      <c r="B1590" s="6" t="s">
        <v>3638</v>
      </c>
      <c r="C1590" s="6" t="s">
        <v>1599</v>
      </c>
      <c r="D1590" s="6" t="s">
        <v>1661</v>
      </c>
    </row>
    <row r="1591" ht="22" customHeight="1" spans="1:4">
      <c r="A1591" s="6" t="s">
        <v>3556</v>
      </c>
      <c r="B1591" s="6" t="s">
        <v>3639</v>
      </c>
      <c r="C1591" s="6" t="s">
        <v>1570</v>
      </c>
      <c r="D1591" s="6" t="s">
        <v>1571</v>
      </c>
    </row>
    <row r="1592" ht="22" customHeight="1" spans="1:4">
      <c r="A1592" s="6" t="s">
        <v>3556</v>
      </c>
      <c r="B1592" s="6" t="s">
        <v>3640</v>
      </c>
      <c r="C1592" s="6" t="s">
        <v>1599</v>
      </c>
      <c r="D1592" s="6" t="s">
        <v>3641</v>
      </c>
    </row>
    <row r="1593" ht="22" customHeight="1" spans="1:4">
      <c r="A1593" s="6" t="s">
        <v>3556</v>
      </c>
      <c r="B1593" s="6" t="s">
        <v>3642</v>
      </c>
      <c r="C1593" s="6" t="s">
        <v>1576</v>
      </c>
      <c r="D1593" s="6" t="s">
        <v>1571</v>
      </c>
    </row>
    <row r="1594" ht="22" customHeight="1" spans="1:4">
      <c r="A1594" s="6" t="s">
        <v>3556</v>
      </c>
      <c r="B1594" s="6" t="s">
        <v>3643</v>
      </c>
      <c r="C1594" s="6" t="s">
        <v>1599</v>
      </c>
      <c r="D1594" s="6" t="s">
        <v>1661</v>
      </c>
    </row>
    <row r="1595" ht="22" customHeight="1" spans="1:4">
      <c r="A1595" s="6" t="s">
        <v>3556</v>
      </c>
      <c r="B1595" s="6" t="s">
        <v>3644</v>
      </c>
      <c r="C1595" s="6" t="s">
        <v>1599</v>
      </c>
      <c r="D1595" s="6" t="s">
        <v>3645</v>
      </c>
    </row>
    <row r="1596" ht="22" customHeight="1" spans="1:4">
      <c r="A1596" s="6" t="s">
        <v>3556</v>
      </c>
      <c r="B1596" s="6" t="s">
        <v>3646</v>
      </c>
      <c r="C1596" s="6" t="s">
        <v>1599</v>
      </c>
      <c r="D1596" s="6" t="s">
        <v>3647</v>
      </c>
    </row>
    <row r="1597" ht="22" customHeight="1" spans="1:4">
      <c r="A1597" s="6" t="s">
        <v>3556</v>
      </c>
      <c r="B1597" s="6" t="s">
        <v>3648</v>
      </c>
      <c r="C1597" s="6" t="s">
        <v>1599</v>
      </c>
      <c r="D1597" s="6" t="s">
        <v>1621</v>
      </c>
    </row>
    <row r="1598" ht="22" customHeight="1" spans="1:4">
      <c r="A1598" s="6" t="s">
        <v>3556</v>
      </c>
      <c r="B1598" s="6" t="s">
        <v>3649</v>
      </c>
      <c r="C1598" s="6" t="s">
        <v>1573</v>
      </c>
      <c r="D1598" s="6" t="s">
        <v>1928</v>
      </c>
    </row>
    <row r="1599" ht="22" customHeight="1" spans="1:4">
      <c r="A1599" s="6" t="s">
        <v>3556</v>
      </c>
      <c r="B1599" s="6" t="s">
        <v>3650</v>
      </c>
      <c r="C1599" s="6" t="s">
        <v>1573</v>
      </c>
      <c r="D1599" s="6" t="s">
        <v>1775</v>
      </c>
    </row>
    <row r="1600" ht="22" customHeight="1" spans="1:4">
      <c r="A1600" s="6" t="s">
        <v>3556</v>
      </c>
      <c r="B1600" s="6" t="s">
        <v>3651</v>
      </c>
      <c r="C1600" s="6" t="s">
        <v>1573</v>
      </c>
      <c r="D1600" s="6" t="s">
        <v>1593</v>
      </c>
    </row>
    <row r="1601" ht="22" customHeight="1" spans="1:4">
      <c r="A1601" s="6" t="s">
        <v>3556</v>
      </c>
      <c r="B1601" s="6" t="s">
        <v>3652</v>
      </c>
      <c r="C1601" s="6" t="s">
        <v>1605</v>
      </c>
      <c r="D1601" s="6" t="s">
        <v>1631</v>
      </c>
    </row>
    <row r="1602" ht="22" customHeight="1" spans="1:4">
      <c r="A1602" s="6" t="s">
        <v>3556</v>
      </c>
      <c r="B1602" s="6" t="s">
        <v>3653</v>
      </c>
      <c r="C1602" s="6" t="s">
        <v>1573</v>
      </c>
      <c r="D1602" s="6" t="s">
        <v>1623</v>
      </c>
    </row>
    <row r="1603" ht="22" customHeight="1" spans="1:4">
      <c r="A1603" s="6" t="s">
        <v>3556</v>
      </c>
      <c r="B1603" s="6" t="s">
        <v>3654</v>
      </c>
      <c r="C1603" s="6" t="s">
        <v>1605</v>
      </c>
      <c r="D1603" s="6" t="s">
        <v>1738</v>
      </c>
    </row>
    <row r="1604" ht="22" customHeight="1" spans="1:4">
      <c r="A1604" s="6" t="s">
        <v>3556</v>
      </c>
      <c r="B1604" s="6" t="s">
        <v>3655</v>
      </c>
      <c r="C1604" s="6" t="s">
        <v>1573</v>
      </c>
      <c r="D1604" s="6" t="s">
        <v>1725</v>
      </c>
    </row>
    <row r="1605" ht="22" customHeight="1" spans="1:4">
      <c r="A1605" s="6" t="s">
        <v>3556</v>
      </c>
      <c r="B1605" s="6" t="s">
        <v>3656</v>
      </c>
      <c r="C1605" s="6" t="s">
        <v>1599</v>
      </c>
      <c r="D1605" s="6" t="s">
        <v>3657</v>
      </c>
    </row>
    <row r="1606" ht="22" customHeight="1" spans="1:4">
      <c r="A1606" s="6" t="s">
        <v>3556</v>
      </c>
      <c r="B1606" s="6" t="s">
        <v>3658</v>
      </c>
      <c r="C1606" s="6" t="s">
        <v>1605</v>
      </c>
      <c r="D1606" s="6" t="s">
        <v>1645</v>
      </c>
    </row>
    <row r="1607" ht="22" customHeight="1" spans="1:4">
      <c r="A1607" s="6" t="s">
        <v>3556</v>
      </c>
      <c r="B1607" s="6" t="s">
        <v>3659</v>
      </c>
      <c r="C1607" s="6" t="s">
        <v>1605</v>
      </c>
      <c r="D1607" s="6" t="s">
        <v>2385</v>
      </c>
    </row>
    <row r="1608" ht="22" customHeight="1" spans="1:4">
      <c r="A1608" s="6" t="s">
        <v>3556</v>
      </c>
      <c r="B1608" s="6" t="s">
        <v>3660</v>
      </c>
      <c r="C1608" s="6" t="s">
        <v>1605</v>
      </c>
      <c r="D1608" s="6" t="s">
        <v>1659</v>
      </c>
    </row>
    <row r="1609" ht="22" customHeight="1" spans="1:4">
      <c r="A1609" s="6" t="s">
        <v>3556</v>
      </c>
      <c r="B1609" s="6" t="s">
        <v>3661</v>
      </c>
      <c r="C1609" s="6" t="s">
        <v>1573</v>
      </c>
      <c r="D1609" s="6" t="s">
        <v>2445</v>
      </c>
    </row>
    <row r="1610" ht="22" customHeight="1" spans="1:4">
      <c r="A1610" s="6" t="s">
        <v>3556</v>
      </c>
      <c r="B1610" s="6" t="s">
        <v>3662</v>
      </c>
      <c r="C1610" s="6" t="s">
        <v>1599</v>
      </c>
      <c r="D1610" s="6" t="s">
        <v>3663</v>
      </c>
    </row>
    <row r="1611" ht="22" customHeight="1" spans="1:4">
      <c r="A1611" s="6" t="s">
        <v>3556</v>
      </c>
      <c r="B1611" s="6" t="s">
        <v>3664</v>
      </c>
      <c r="C1611" s="6" t="s">
        <v>1605</v>
      </c>
      <c r="D1611" s="6" t="s">
        <v>2064</v>
      </c>
    </row>
    <row r="1612" ht="22" customHeight="1" spans="1:4">
      <c r="A1612" s="6" t="s">
        <v>3556</v>
      </c>
      <c r="B1612" s="6" t="s">
        <v>3665</v>
      </c>
      <c r="C1612" s="6" t="s">
        <v>1605</v>
      </c>
      <c r="D1612" s="6" t="s">
        <v>1651</v>
      </c>
    </row>
    <row r="1613" ht="22" customHeight="1" spans="1:4">
      <c r="A1613" s="6" t="s">
        <v>3556</v>
      </c>
      <c r="B1613" s="6" t="s">
        <v>3666</v>
      </c>
      <c r="C1613" s="6" t="s">
        <v>1599</v>
      </c>
      <c r="D1613" s="6" t="s">
        <v>1653</v>
      </c>
    </row>
    <row r="1614" ht="22" customHeight="1" spans="1:4">
      <c r="A1614" s="6" t="s">
        <v>3556</v>
      </c>
      <c r="B1614" s="6" t="s">
        <v>3667</v>
      </c>
      <c r="C1614" s="6" t="s">
        <v>1599</v>
      </c>
      <c r="D1614" s="6" t="s">
        <v>1655</v>
      </c>
    </row>
    <row r="1615" ht="22" customHeight="1" spans="1:4">
      <c r="A1615" s="6" t="s">
        <v>3556</v>
      </c>
      <c r="B1615" s="6" t="s">
        <v>3668</v>
      </c>
      <c r="C1615" s="6" t="s">
        <v>1605</v>
      </c>
      <c r="D1615" s="6" t="s">
        <v>1657</v>
      </c>
    </row>
    <row r="1616" ht="22" customHeight="1" spans="1:4">
      <c r="A1616" s="6" t="s">
        <v>3556</v>
      </c>
      <c r="B1616" s="6" t="s">
        <v>3669</v>
      </c>
      <c r="C1616" s="6" t="s">
        <v>1605</v>
      </c>
      <c r="D1616" s="6" t="s">
        <v>3161</v>
      </c>
    </row>
    <row r="1617" ht="22" customHeight="1" spans="1:4">
      <c r="A1617" s="6" t="s">
        <v>3556</v>
      </c>
      <c r="B1617" s="6" t="s">
        <v>3670</v>
      </c>
      <c r="C1617" s="6" t="s">
        <v>1599</v>
      </c>
      <c r="D1617" s="6" t="s">
        <v>1661</v>
      </c>
    </row>
    <row r="1618" ht="22" customHeight="1" spans="1:4">
      <c r="A1618" s="6" t="s">
        <v>3556</v>
      </c>
      <c r="B1618" s="6" t="s">
        <v>3671</v>
      </c>
      <c r="C1618" s="6" t="s">
        <v>1570</v>
      </c>
      <c r="D1618" s="6" t="s">
        <v>1571</v>
      </c>
    </row>
    <row r="1619" ht="22" customHeight="1" spans="1:4">
      <c r="A1619" s="6" t="s">
        <v>3556</v>
      </c>
      <c r="B1619" s="6" t="s">
        <v>3672</v>
      </c>
      <c r="C1619" s="6" t="s">
        <v>1599</v>
      </c>
      <c r="D1619" s="6" t="s">
        <v>3673</v>
      </c>
    </row>
    <row r="1620" ht="22" customHeight="1" spans="1:4">
      <c r="A1620" s="6" t="s">
        <v>3556</v>
      </c>
      <c r="B1620" s="6" t="s">
        <v>3674</v>
      </c>
      <c r="C1620" s="6" t="s">
        <v>1576</v>
      </c>
      <c r="D1620" s="6" t="s">
        <v>1571</v>
      </c>
    </row>
    <row r="1621" ht="22" customHeight="1" spans="1:4">
      <c r="A1621" s="6" t="s">
        <v>3556</v>
      </c>
      <c r="B1621" s="6" t="s">
        <v>3675</v>
      </c>
      <c r="C1621" s="6" t="s">
        <v>1599</v>
      </c>
      <c r="D1621" s="6" t="s">
        <v>1661</v>
      </c>
    </row>
    <row r="1622" ht="22" customHeight="1" spans="1:4">
      <c r="A1622" s="6" t="s">
        <v>3556</v>
      </c>
      <c r="B1622" s="6" t="s">
        <v>3676</v>
      </c>
      <c r="C1622" s="6" t="s">
        <v>1599</v>
      </c>
      <c r="D1622" s="6" t="s">
        <v>3677</v>
      </c>
    </row>
    <row r="1623" ht="22" customHeight="1" spans="1:4">
      <c r="A1623" s="6" t="s">
        <v>3556</v>
      </c>
      <c r="B1623" s="6" t="s">
        <v>3678</v>
      </c>
      <c r="C1623" s="6" t="s">
        <v>1599</v>
      </c>
      <c r="D1623" s="6" t="s">
        <v>3679</v>
      </c>
    </row>
    <row r="1624" ht="22" customHeight="1" spans="1:4">
      <c r="A1624" s="6" t="s">
        <v>3556</v>
      </c>
      <c r="B1624" s="6" t="s">
        <v>3680</v>
      </c>
      <c r="C1624" s="6" t="s">
        <v>1599</v>
      </c>
      <c r="D1624" s="6" t="s">
        <v>1621</v>
      </c>
    </row>
    <row r="1625" ht="22" customHeight="1" spans="1:4">
      <c r="A1625" s="6" t="s">
        <v>3556</v>
      </c>
      <c r="B1625" s="6" t="s">
        <v>3681</v>
      </c>
      <c r="C1625" s="6" t="s">
        <v>1573</v>
      </c>
      <c r="D1625" s="6" t="s">
        <v>3682</v>
      </c>
    </row>
    <row r="1626" ht="22" customHeight="1" spans="1:4">
      <c r="A1626" s="6" t="s">
        <v>3556</v>
      </c>
      <c r="B1626" s="6" t="s">
        <v>3683</v>
      </c>
      <c r="C1626" s="6" t="s">
        <v>1573</v>
      </c>
      <c r="D1626" s="6" t="s">
        <v>1888</v>
      </c>
    </row>
    <row r="1627" ht="22" customHeight="1" spans="1:4">
      <c r="A1627" s="6" t="s">
        <v>3556</v>
      </c>
      <c r="B1627" s="6" t="s">
        <v>3684</v>
      </c>
      <c r="C1627" s="6" t="s">
        <v>1573</v>
      </c>
      <c r="D1627" s="6" t="s">
        <v>1585</v>
      </c>
    </row>
    <row r="1628" ht="22" customHeight="1" spans="1:4">
      <c r="A1628" s="6" t="s">
        <v>3556</v>
      </c>
      <c r="B1628" s="6" t="s">
        <v>3685</v>
      </c>
      <c r="C1628" s="6" t="s">
        <v>1605</v>
      </c>
      <c r="D1628" s="6" t="s">
        <v>1855</v>
      </c>
    </row>
    <row r="1629" ht="22" customHeight="1" spans="1:4">
      <c r="A1629" s="6" t="s">
        <v>3556</v>
      </c>
      <c r="B1629" s="6" t="s">
        <v>3686</v>
      </c>
      <c r="C1629" s="6" t="s">
        <v>1573</v>
      </c>
      <c r="D1629" s="6" t="s">
        <v>275</v>
      </c>
    </row>
    <row r="1630" ht="22" customHeight="1" spans="1:4">
      <c r="A1630" s="6" t="s">
        <v>3556</v>
      </c>
      <c r="B1630" s="6" t="s">
        <v>3687</v>
      </c>
      <c r="C1630" s="6" t="s">
        <v>1605</v>
      </c>
      <c r="D1630" s="6" t="s">
        <v>911</v>
      </c>
    </row>
    <row r="1631" ht="22" customHeight="1" spans="1:4">
      <c r="A1631" s="6" t="s">
        <v>3556</v>
      </c>
      <c r="B1631" s="6" t="s">
        <v>3688</v>
      </c>
      <c r="C1631" s="6" t="s">
        <v>1573</v>
      </c>
      <c r="D1631" s="6" t="s">
        <v>1725</v>
      </c>
    </row>
    <row r="1632" ht="22" customHeight="1" spans="1:4">
      <c r="A1632" s="6" t="s">
        <v>3556</v>
      </c>
      <c r="B1632" s="6" t="s">
        <v>3689</v>
      </c>
      <c r="C1632" s="6" t="s">
        <v>1599</v>
      </c>
      <c r="D1632" s="6" t="s">
        <v>3690</v>
      </c>
    </row>
    <row r="1633" ht="22" customHeight="1" spans="1:4">
      <c r="A1633" s="6" t="s">
        <v>3556</v>
      </c>
      <c r="B1633" s="6" t="s">
        <v>3691</v>
      </c>
      <c r="C1633" s="6" t="s">
        <v>1605</v>
      </c>
      <c r="D1633" s="6" t="s">
        <v>1942</v>
      </c>
    </row>
    <row r="1634" ht="22" customHeight="1" spans="1:4">
      <c r="A1634" s="6" t="s">
        <v>3556</v>
      </c>
      <c r="B1634" s="6" t="s">
        <v>3692</v>
      </c>
      <c r="C1634" s="6" t="s">
        <v>1605</v>
      </c>
      <c r="D1634" s="6" t="s">
        <v>1937</v>
      </c>
    </row>
    <row r="1635" ht="22" customHeight="1" spans="1:4">
      <c r="A1635" s="6" t="s">
        <v>3556</v>
      </c>
      <c r="B1635" s="6" t="s">
        <v>3693</v>
      </c>
      <c r="C1635" s="6" t="s">
        <v>1605</v>
      </c>
      <c r="D1635" s="6" t="s">
        <v>898</v>
      </c>
    </row>
    <row r="1636" ht="22" customHeight="1" spans="1:4">
      <c r="A1636" s="6" t="s">
        <v>3556</v>
      </c>
      <c r="B1636" s="6" t="s">
        <v>3694</v>
      </c>
      <c r="C1636" s="6" t="s">
        <v>1599</v>
      </c>
      <c r="D1636" s="6" t="s">
        <v>3695</v>
      </c>
    </row>
    <row r="1637" ht="22" customHeight="1" spans="1:4">
      <c r="A1637" s="6" t="s">
        <v>3556</v>
      </c>
      <c r="B1637" s="6" t="s">
        <v>3696</v>
      </c>
      <c r="C1637" s="6" t="s">
        <v>1605</v>
      </c>
      <c r="D1637" s="6" t="s">
        <v>2064</v>
      </c>
    </row>
    <row r="1638" ht="22" customHeight="1" spans="1:4">
      <c r="A1638" s="6" t="s">
        <v>3556</v>
      </c>
      <c r="B1638" s="6" t="s">
        <v>3697</v>
      </c>
      <c r="C1638" s="6" t="s">
        <v>1605</v>
      </c>
      <c r="D1638" s="6" t="s">
        <v>1651</v>
      </c>
    </row>
    <row r="1639" ht="22" customHeight="1" spans="1:4">
      <c r="A1639" s="6" t="s">
        <v>3556</v>
      </c>
      <c r="B1639" s="6" t="s">
        <v>3698</v>
      </c>
      <c r="C1639" s="6" t="s">
        <v>1599</v>
      </c>
      <c r="D1639" s="6" t="s">
        <v>1653</v>
      </c>
    </row>
    <row r="1640" ht="22" customHeight="1" spans="1:4">
      <c r="A1640" s="6" t="s">
        <v>3556</v>
      </c>
      <c r="B1640" s="6" t="s">
        <v>3699</v>
      </c>
      <c r="C1640" s="6" t="s">
        <v>1599</v>
      </c>
      <c r="D1640" s="6" t="s">
        <v>1655</v>
      </c>
    </row>
    <row r="1641" ht="22" customHeight="1" spans="1:4">
      <c r="A1641" s="6" t="s">
        <v>3556</v>
      </c>
      <c r="B1641" s="6" t="s">
        <v>3700</v>
      </c>
      <c r="C1641" s="6" t="s">
        <v>1605</v>
      </c>
      <c r="D1641" s="6" t="s">
        <v>1657</v>
      </c>
    </row>
    <row r="1642" ht="22" customHeight="1" spans="1:4">
      <c r="A1642" s="6" t="s">
        <v>3556</v>
      </c>
      <c r="B1642" s="6" t="s">
        <v>3701</v>
      </c>
      <c r="C1642" s="6" t="s">
        <v>1605</v>
      </c>
      <c r="D1642" s="6" t="s">
        <v>3161</v>
      </c>
    </row>
    <row r="1643" ht="22" customHeight="1" spans="1:4">
      <c r="A1643" s="6" t="s">
        <v>3556</v>
      </c>
      <c r="B1643" s="6" t="s">
        <v>3702</v>
      </c>
      <c r="C1643" s="6" t="s">
        <v>1599</v>
      </c>
      <c r="D1643" s="6" t="s">
        <v>1661</v>
      </c>
    </row>
    <row r="1644" ht="22" customHeight="1" spans="1:4">
      <c r="A1644" s="6" t="s">
        <v>3556</v>
      </c>
      <c r="B1644" s="6" t="s">
        <v>3703</v>
      </c>
      <c r="C1644" s="6" t="s">
        <v>1570</v>
      </c>
      <c r="D1644" s="6" t="s">
        <v>1571</v>
      </c>
    </row>
    <row r="1645" ht="22" customHeight="1" spans="1:4">
      <c r="A1645" s="6" t="s">
        <v>3556</v>
      </c>
      <c r="B1645" s="6" t="s">
        <v>3704</v>
      </c>
      <c r="C1645" s="6" t="s">
        <v>1599</v>
      </c>
      <c r="D1645" s="6" t="s">
        <v>3705</v>
      </c>
    </row>
    <row r="1646" ht="22" customHeight="1" spans="1:4">
      <c r="A1646" s="6" t="s">
        <v>3556</v>
      </c>
      <c r="B1646" s="6" t="s">
        <v>3706</v>
      </c>
      <c r="C1646" s="6" t="s">
        <v>1576</v>
      </c>
      <c r="D1646" s="6" t="s">
        <v>1571</v>
      </c>
    </row>
    <row r="1647" ht="22" customHeight="1" spans="1:4">
      <c r="A1647" s="6" t="s">
        <v>3556</v>
      </c>
      <c r="B1647" s="6" t="s">
        <v>3707</v>
      </c>
      <c r="C1647" s="6" t="s">
        <v>1599</v>
      </c>
      <c r="D1647" s="6" t="s">
        <v>1661</v>
      </c>
    </row>
    <row r="1648" ht="22" customHeight="1" spans="1:4">
      <c r="A1648" s="6" t="s">
        <v>3556</v>
      </c>
      <c r="B1648" s="6" t="s">
        <v>3708</v>
      </c>
      <c r="C1648" s="6" t="s">
        <v>1599</v>
      </c>
      <c r="D1648" s="6" t="s">
        <v>3709</v>
      </c>
    </row>
    <row r="1649" ht="22" customHeight="1" spans="1:4">
      <c r="A1649" s="6" t="s">
        <v>3556</v>
      </c>
      <c r="B1649" s="6" t="s">
        <v>3710</v>
      </c>
      <c r="C1649" s="6" t="s">
        <v>1599</v>
      </c>
      <c r="D1649" s="6" t="s">
        <v>3711</v>
      </c>
    </row>
    <row r="1650" ht="22" customHeight="1" spans="1:4">
      <c r="A1650" s="6" t="s">
        <v>3556</v>
      </c>
      <c r="B1650" s="6" t="s">
        <v>3712</v>
      </c>
      <c r="C1650" s="6" t="s">
        <v>1599</v>
      </c>
      <c r="D1650" s="6" t="s">
        <v>1723</v>
      </c>
    </row>
    <row r="1651" ht="22" customHeight="1" spans="1:4">
      <c r="A1651" s="6" t="s">
        <v>3556</v>
      </c>
      <c r="B1651" s="6" t="s">
        <v>3713</v>
      </c>
      <c r="C1651" s="6" t="s">
        <v>1573</v>
      </c>
      <c r="D1651" s="6" t="s">
        <v>3714</v>
      </c>
    </row>
    <row r="1652" ht="22" customHeight="1" spans="1:4">
      <c r="A1652" s="6" t="s">
        <v>3556</v>
      </c>
      <c r="B1652" s="6" t="s">
        <v>3715</v>
      </c>
      <c r="C1652" s="6" t="s">
        <v>1573</v>
      </c>
      <c r="D1652" s="6" t="s">
        <v>2051</v>
      </c>
    </row>
    <row r="1653" ht="22" customHeight="1" spans="1:4">
      <c r="A1653" s="6" t="s">
        <v>3556</v>
      </c>
      <c r="B1653" s="6" t="s">
        <v>3716</v>
      </c>
      <c r="C1653" s="6" t="s">
        <v>1573</v>
      </c>
      <c r="D1653" s="6" t="s">
        <v>463</v>
      </c>
    </row>
    <row r="1654" ht="22" customHeight="1" spans="1:4">
      <c r="A1654" s="6" t="s">
        <v>3556</v>
      </c>
      <c r="B1654" s="6" t="s">
        <v>3717</v>
      </c>
      <c r="C1654" s="6" t="s">
        <v>1605</v>
      </c>
      <c r="D1654" s="6" t="s">
        <v>1649</v>
      </c>
    </row>
    <row r="1655" ht="22" customHeight="1" spans="1:4">
      <c r="A1655" s="6" t="s">
        <v>3556</v>
      </c>
      <c r="B1655" s="6" t="s">
        <v>3718</v>
      </c>
      <c r="C1655" s="6" t="s">
        <v>1573</v>
      </c>
      <c r="D1655" s="6" t="s">
        <v>1623</v>
      </c>
    </row>
    <row r="1656" ht="22" customHeight="1" spans="1:4">
      <c r="A1656" s="6" t="s">
        <v>3556</v>
      </c>
      <c r="B1656" s="6" t="s">
        <v>3719</v>
      </c>
      <c r="C1656" s="6" t="s">
        <v>1605</v>
      </c>
      <c r="D1656" s="6" t="s">
        <v>1634</v>
      </c>
    </row>
    <row r="1657" ht="22" customHeight="1" spans="1:4">
      <c r="A1657" s="6" t="s">
        <v>3556</v>
      </c>
      <c r="B1657" s="6" t="s">
        <v>3720</v>
      </c>
      <c r="C1657" s="6" t="s">
        <v>1573</v>
      </c>
      <c r="D1657" s="6" t="s">
        <v>1725</v>
      </c>
    </row>
    <row r="1658" ht="22" customHeight="1" spans="1:4">
      <c r="A1658" s="6" t="s">
        <v>3556</v>
      </c>
      <c r="B1658" s="6" t="s">
        <v>3721</v>
      </c>
      <c r="C1658" s="6" t="s">
        <v>1599</v>
      </c>
      <c r="D1658" s="6" t="s">
        <v>3722</v>
      </c>
    </row>
    <row r="1659" ht="22" customHeight="1" spans="1:4">
      <c r="A1659" s="6" t="s">
        <v>3556</v>
      </c>
      <c r="B1659" s="6" t="s">
        <v>3723</v>
      </c>
      <c r="C1659" s="6" t="s">
        <v>1605</v>
      </c>
      <c r="D1659" s="6" t="s">
        <v>2296</v>
      </c>
    </row>
    <row r="1660" ht="22" customHeight="1" spans="1:4">
      <c r="A1660" s="6" t="s">
        <v>3556</v>
      </c>
      <c r="B1660" s="6" t="s">
        <v>3724</v>
      </c>
      <c r="C1660" s="6" t="s">
        <v>1605</v>
      </c>
      <c r="D1660" s="6" t="s">
        <v>2296</v>
      </c>
    </row>
    <row r="1661" ht="22" customHeight="1" spans="1:4">
      <c r="A1661" s="6" t="s">
        <v>3556</v>
      </c>
      <c r="B1661" s="6" t="s">
        <v>3725</v>
      </c>
      <c r="C1661" s="6" t="s">
        <v>1573</v>
      </c>
      <c r="D1661" s="6" t="s">
        <v>1589</v>
      </c>
    </row>
    <row r="1662" ht="22" customHeight="1" spans="1:4">
      <c r="A1662" s="6" t="s">
        <v>3556</v>
      </c>
      <c r="B1662" s="6" t="s">
        <v>3726</v>
      </c>
      <c r="C1662" s="6" t="s">
        <v>1599</v>
      </c>
      <c r="D1662" s="6" t="s">
        <v>3727</v>
      </c>
    </row>
    <row r="1663" ht="22" customHeight="1" spans="1:4">
      <c r="A1663" s="6" t="s">
        <v>3556</v>
      </c>
      <c r="B1663" s="6" t="s">
        <v>3728</v>
      </c>
      <c r="C1663" s="6" t="s">
        <v>1605</v>
      </c>
      <c r="D1663" s="6" t="s">
        <v>2064</v>
      </c>
    </row>
    <row r="1664" ht="22" customHeight="1" spans="1:4">
      <c r="A1664" s="6" t="s">
        <v>3556</v>
      </c>
      <c r="B1664" s="6" t="s">
        <v>3729</v>
      </c>
      <c r="C1664" s="6" t="s">
        <v>1605</v>
      </c>
      <c r="D1664" s="6" t="s">
        <v>1651</v>
      </c>
    </row>
    <row r="1665" ht="22" customHeight="1" spans="1:4">
      <c r="A1665" s="6" t="s">
        <v>3556</v>
      </c>
      <c r="B1665" s="6" t="s">
        <v>3730</v>
      </c>
      <c r="C1665" s="6" t="s">
        <v>1599</v>
      </c>
      <c r="D1665" s="6" t="s">
        <v>1653</v>
      </c>
    </row>
    <row r="1666" ht="22" customHeight="1" spans="1:4">
      <c r="A1666" s="6" t="s">
        <v>3556</v>
      </c>
      <c r="B1666" s="6" t="s">
        <v>3731</v>
      </c>
      <c r="C1666" s="6" t="s">
        <v>1599</v>
      </c>
      <c r="D1666" s="6" t="s">
        <v>1655</v>
      </c>
    </row>
    <row r="1667" ht="22" customHeight="1" spans="1:4">
      <c r="A1667" s="6" t="s">
        <v>3556</v>
      </c>
      <c r="B1667" s="6" t="s">
        <v>3732</v>
      </c>
      <c r="C1667" s="6" t="s">
        <v>1605</v>
      </c>
      <c r="D1667" s="6" t="s">
        <v>1657</v>
      </c>
    </row>
    <row r="1668" ht="22" customHeight="1" spans="1:4">
      <c r="A1668" s="6" t="s">
        <v>3556</v>
      </c>
      <c r="B1668" s="6" t="s">
        <v>3733</v>
      </c>
      <c r="C1668" s="6" t="s">
        <v>1605</v>
      </c>
      <c r="D1668" s="6" t="s">
        <v>3161</v>
      </c>
    </row>
    <row r="1669" ht="22" customHeight="1" spans="1:4">
      <c r="A1669" s="6" t="s">
        <v>3556</v>
      </c>
      <c r="B1669" s="6" t="s">
        <v>3734</v>
      </c>
      <c r="C1669" s="6" t="s">
        <v>1599</v>
      </c>
      <c r="D1669" s="6" t="s">
        <v>1661</v>
      </c>
    </row>
    <row r="1670" ht="22" customHeight="1" spans="1:4">
      <c r="A1670" s="6" t="s">
        <v>3556</v>
      </c>
      <c r="B1670" s="6" t="s">
        <v>3735</v>
      </c>
      <c r="C1670" s="6" t="s">
        <v>1570</v>
      </c>
      <c r="D1670" s="6" t="s">
        <v>1571</v>
      </c>
    </row>
    <row r="1671" ht="22" customHeight="1" spans="1:4">
      <c r="A1671" s="6" t="s">
        <v>3556</v>
      </c>
      <c r="B1671" s="6" t="s">
        <v>3736</v>
      </c>
      <c r="C1671" s="6" t="s">
        <v>1599</v>
      </c>
      <c r="D1671" s="6" t="s">
        <v>3737</v>
      </c>
    </row>
    <row r="1672" ht="22" customHeight="1" spans="1:4">
      <c r="A1672" s="6" t="s">
        <v>3556</v>
      </c>
      <c r="B1672" s="6" t="s">
        <v>3738</v>
      </c>
      <c r="C1672" s="6" t="s">
        <v>1576</v>
      </c>
      <c r="D1672" s="6" t="s">
        <v>1571</v>
      </c>
    </row>
    <row r="1673" ht="22" customHeight="1" spans="1:4">
      <c r="A1673" s="6" t="s">
        <v>3556</v>
      </c>
      <c r="B1673" s="6" t="s">
        <v>3739</v>
      </c>
      <c r="C1673" s="6" t="s">
        <v>1599</v>
      </c>
      <c r="D1673" s="6" t="s">
        <v>1661</v>
      </c>
    </row>
    <row r="1674" ht="22" customHeight="1" spans="1:4">
      <c r="A1674" s="6" t="s">
        <v>3556</v>
      </c>
      <c r="B1674" s="6" t="s">
        <v>3740</v>
      </c>
      <c r="C1674" s="6" t="s">
        <v>1599</v>
      </c>
      <c r="D1674" s="6" t="s">
        <v>3741</v>
      </c>
    </row>
    <row r="1675" ht="22" customHeight="1" spans="1:4">
      <c r="A1675" s="6" t="s">
        <v>3556</v>
      </c>
      <c r="B1675" s="6" t="s">
        <v>3742</v>
      </c>
      <c r="C1675" s="6" t="s">
        <v>1599</v>
      </c>
      <c r="D1675" s="6" t="s">
        <v>3743</v>
      </c>
    </row>
    <row r="1676" ht="22" customHeight="1" spans="1:4">
      <c r="A1676" s="6" t="s">
        <v>3556</v>
      </c>
      <c r="B1676" s="6" t="s">
        <v>3744</v>
      </c>
      <c r="C1676" s="6" t="s">
        <v>1599</v>
      </c>
      <c r="D1676" s="6" t="s">
        <v>1621</v>
      </c>
    </row>
    <row r="1677" ht="22" customHeight="1" spans="1:4">
      <c r="A1677" s="6" t="s">
        <v>3556</v>
      </c>
      <c r="B1677" s="6" t="s">
        <v>3745</v>
      </c>
      <c r="C1677" s="6" t="s">
        <v>1573</v>
      </c>
      <c r="D1677" s="6" t="s">
        <v>3682</v>
      </c>
    </row>
    <row r="1678" ht="22" customHeight="1" spans="1:4">
      <c r="A1678" s="6" t="s">
        <v>3556</v>
      </c>
      <c r="B1678" s="6" t="s">
        <v>3746</v>
      </c>
      <c r="C1678" s="6" t="s">
        <v>1573</v>
      </c>
      <c r="D1678" s="6" t="s">
        <v>3618</v>
      </c>
    </row>
    <row r="1679" ht="22" customHeight="1" spans="1:4">
      <c r="A1679" s="6" t="s">
        <v>3556</v>
      </c>
      <c r="B1679" s="6" t="s">
        <v>3747</v>
      </c>
      <c r="C1679" s="6" t="s">
        <v>1573</v>
      </c>
      <c r="D1679" s="6" t="s">
        <v>922</v>
      </c>
    </row>
    <row r="1680" ht="22" customHeight="1" spans="1:4">
      <c r="A1680" s="6" t="s">
        <v>3556</v>
      </c>
      <c r="B1680" s="6" t="s">
        <v>3748</v>
      </c>
      <c r="C1680" s="6" t="s">
        <v>1605</v>
      </c>
      <c r="D1680" s="6" t="s">
        <v>1895</v>
      </c>
    </row>
    <row r="1681" ht="22" customHeight="1" spans="1:4">
      <c r="A1681" s="6" t="s">
        <v>3556</v>
      </c>
      <c r="B1681" s="6" t="s">
        <v>3749</v>
      </c>
      <c r="C1681" s="6" t="s">
        <v>1573</v>
      </c>
      <c r="D1681" s="6" t="s">
        <v>1623</v>
      </c>
    </row>
    <row r="1682" ht="22" customHeight="1" spans="1:4">
      <c r="A1682" s="6" t="s">
        <v>3556</v>
      </c>
      <c r="B1682" s="6" t="s">
        <v>3750</v>
      </c>
      <c r="C1682" s="6" t="s">
        <v>1605</v>
      </c>
      <c r="D1682" s="6" t="s">
        <v>1738</v>
      </c>
    </row>
    <row r="1683" ht="22" customHeight="1" spans="1:4">
      <c r="A1683" s="6" t="s">
        <v>3556</v>
      </c>
      <c r="B1683" s="6" t="s">
        <v>3751</v>
      </c>
      <c r="C1683" s="6" t="s">
        <v>1573</v>
      </c>
      <c r="D1683" s="6" t="s">
        <v>1725</v>
      </c>
    </row>
    <row r="1684" ht="22" customHeight="1" spans="1:4">
      <c r="A1684" s="6" t="s">
        <v>3556</v>
      </c>
      <c r="B1684" s="6" t="s">
        <v>3752</v>
      </c>
      <c r="C1684" s="6" t="s">
        <v>1599</v>
      </c>
      <c r="D1684" s="6" t="s">
        <v>3753</v>
      </c>
    </row>
    <row r="1685" ht="22" customHeight="1" spans="1:4">
      <c r="A1685" s="6" t="s">
        <v>3556</v>
      </c>
      <c r="B1685" s="6" t="s">
        <v>3754</v>
      </c>
      <c r="C1685" s="6" t="s">
        <v>1605</v>
      </c>
      <c r="D1685" s="6" t="s">
        <v>1750</v>
      </c>
    </row>
    <row r="1686" ht="22" customHeight="1" spans="1:4">
      <c r="A1686" s="6" t="s">
        <v>3556</v>
      </c>
      <c r="B1686" s="6" t="s">
        <v>3755</v>
      </c>
      <c r="C1686" s="6" t="s">
        <v>1605</v>
      </c>
      <c r="D1686" s="6" t="s">
        <v>1659</v>
      </c>
    </row>
    <row r="1687" ht="22" customHeight="1" spans="1:4">
      <c r="A1687" s="6" t="s">
        <v>3556</v>
      </c>
      <c r="B1687" s="6" t="s">
        <v>3756</v>
      </c>
      <c r="C1687" s="6" t="s">
        <v>1605</v>
      </c>
      <c r="D1687" s="6" t="s">
        <v>2385</v>
      </c>
    </row>
    <row r="1688" ht="22" customHeight="1" spans="1:4">
      <c r="A1688" s="6" t="s">
        <v>3556</v>
      </c>
      <c r="B1688" s="6" t="s">
        <v>3757</v>
      </c>
      <c r="C1688" s="6" t="s">
        <v>1605</v>
      </c>
      <c r="D1688" s="6" t="s">
        <v>898</v>
      </c>
    </row>
    <row r="1689" ht="22" customHeight="1" spans="1:4">
      <c r="A1689" s="6" t="s">
        <v>3556</v>
      </c>
      <c r="B1689" s="6" t="s">
        <v>3758</v>
      </c>
      <c r="C1689" s="6" t="s">
        <v>1599</v>
      </c>
      <c r="D1689" s="6" t="s">
        <v>3759</v>
      </c>
    </row>
    <row r="1690" ht="22" customHeight="1" spans="1:4">
      <c r="A1690" s="6" t="s">
        <v>3556</v>
      </c>
      <c r="B1690" s="6" t="s">
        <v>3760</v>
      </c>
      <c r="C1690" s="6" t="s">
        <v>1605</v>
      </c>
      <c r="D1690" s="6" t="s">
        <v>2064</v>
      </c>
    </row>
    <row r="1691" ht="22" customHeight="1" spans="1:4">
      <c r="A1691" s="6" t="s">
        <v>3556</v>
      </c>
      <c r="B1691" s="6" t="s">
        <v>3761</v>
      </c>
      <c r="C1691" s="6" t="s">
        <v>1605</v>
      </c>
      <c r="D1691" s="6" t="s">
        <v>1651</v>
      </c>
    </row>
    <row r="1692" ht="22" customHeight="1" spans="1:4">
      <c r="A1692" s="6" t="s">
        <v>3556</v>
      </c>
      <c r="B1692" s="6" t="s">
        <v>3762</v>
      </c>
      <c r="C1692" s="6" t="s">
        <v>1599</v>
      </c>
      <c r="D1692" s="6" t="s">
        <v>1653</v>
      </c>
    </row>
    <row r="1693" ht="22" customHeight="1" spans="1:4">
      <c r="A1693" s="6" t="s">
        <v>3556</v>
      </c>
      <c r="B1693" s="6" t="s">
        <v>3763</v>
      </c>
      <c r="C1693" s="6" t="s">
        <v>1599</v>
      </c>
      <c r="D1693" s="6" t="s">
        <v>1655</v>
      </c>
    </row>
    <row r="1694" ht="22" customHeight="1" spans="1:4">
      <c r="A1694" s="6" t="s">
        <v>3556</v>
      </c>
      <c r="B1694" s="6" t="s">
        <v>3764</v>
      </c>
      <c r="C1694" s="6" t="s">
        <v>1605</v>
      </c>
      <c r="D1694" s="6" t="s">
        <v>1657</v>
      </c>
    </row>
    <row r="1695" ht="22" customHeight="1" spans="1:4">
      <c r="A1695" s="6" t="s">
        <v>3556</v>
      </c>
      <c r="B1695" s="6" t="s">
        <v>3765</v>
      </c>
      <c r="C1695" s="6" t="s">
        <v>1605</v>
      </c>
      <c r="D1695" s="6" t="s">
        <v>3161</v>
      </c>
    </row>
    <row r="1696" ht="22" customHeight="1" spans="1:4">
      <c r="A1696" s="6" t="s">
        <v>3556</v>
      </c>
      <c r="B1696" s="6" t="s">
        <v>3766</v>
      </c>
      <c r="C1696" s="6" t="s">
        <v>1599</v>
      </c>
      <c r="D1696" s="6" t="s">
        <v>1661</v>
      </c>
    </row>
    <row r="1697" ht="22" customHeight="1" spans="1:4">
      <c r="A1697" s="6" t="s">
        <v>3556</v>
      </c>
      <c r="B1697" s="6" t="s">
        <v>3767</v>
      </c>
      <c r="C1697" s="6" t="s">
        <v>1570</v>
      </c>
      <c r="D1697" s="6" t="s">
        <v>1571</v>
      </c>
    </row>
    <row r="1698" ht="22" customHeight="1" spans="1:4">
      <c r="A1698" s="6" t="s">
        <v>3556</v>
      </c>
      <c r="B1698" s="6" t="s">
        <v>3768</v>
      </c>
      <c r="C1698" s="6" t="s">
        <v>1599</v>
      </c>
      <c r="D1698" s="6" t="s">
        <v>3769</v>
      </c>
    </row>
    <row r="1699" ht="22" customHeight="1" spans="1:4">
      <c r="A1699" s="6" t="s">
        <v>3556</v>
      </c>
      <c r="B1699" s="6" t="s">
        <v>3770</v>
      </c>
      <c r="C1699" s="6" t="s">
        <v>1576</v>
      </c>
      <c r="D1699" s="6" t="s">
        <v>1571</v>
      </c>
    </row>
    <row r="1700" ht="22" customHeight="1" spans="1:4">
      <c r="A1700" s="6" t="s">
        <v>3556</v>
      </c>
      <c r="B1700" s="6" t="s">
        <v>3771</v>
      </c>
      <c r="C1700" s="6" t="s">
        <v>1599</v>
      </c>
      <c r="D1700" s="6" t="s">
        <v>1661</v>
      </c>
    </row>
    <row r="1701" ht="22" customHeight="1" spans="1:4">
      <c r="A1701" s="6" t="s">
        <v>3556</v>
      </c>
      <c r="B1701" s="6" t="s">
        <v>3772</v>
      </c>
      <c r="C1701" s="6" t="s">
        <v>1599</v>
      </c>
      <c r="D1701" s="6" t="s">
        <v>3773</v>
      </c>
    </row>
    <row r="1702" ht="22" customHeight="1" spans="1:4">
      <c r="A1702" s="6" t="s">
        <v>3556</v>
      </c>
      <c r="B1702" s="6" t="s">
        <v>3774</v>
      </c>
      <c r="C1702" s="6" t="s">
        <v>1599</v>
      </c>
      <c r="D1702" s="6" t="s">
        <v>3775</v>
      </c>
    </row>
    <row r="1703" ht="22" customHeight="1" spans="1:4">
      <c r="A1703" s="6" t="s">
        <v>3556</v>
      </c>
      <c r="B1703" s="6" t="s">
        <v>3776</v>
      </c>
      <c r="C1703" s="6" t="s">
        <v>1599</v>
      </c>
      <c r="D1703" s="6" t="s">
        <v>1621</v>
      </c>
    </row>
    <row r="1704" ht="22" customHeight="1" spans="1:4">
      <c r="A1704" s="6" t="s">
        <v>3556</v>
      </c>
      <c r="B1704" s="6" t="s">
        <v>3777</v>
      </c>
      <c r="C1704" s="6" t="s">
        <v>1573</v>
      </c>
      <c r="D1704" s="6" t="s">
        <v>3778</v>
      </c>
    </row>
    <row r="1705" ht="22" customHeight="1" spans="1:4">
      <c r="A1705" s="6" t="s">
        <v>3556</v>
      </c>
      <c r="B1705" s="6" t="s">
        <v>3779</v>
      </c>
      <c r="C1705" s="6" t="s">
        <v>1573</v>
      </c>
      <c r="D1705" s="6" t="s">
        <v>1852</v>
      </c>
    </row>
    <row r="1706" ht="22" customHeight="1" spans="1:4">
      <c r="A1706" s="6" t="s">
        <v>3556</v>
      </c>
      <c r="B1706" s="6" t="s">
        <v>3780</v>
      </c>
      <c r="C1706" s="6" t="s">
        <v>1573</v>
      </c>
      <c r="D1706" s="6" t="s">
        <v>1585</v>
      </c>
    </row>
    <row r="1707" ht="22" customHeight="1" spans="1:4">
      <c r="A1707" s="6" t="s">
        <v>3556</v>
      </c>
      <c r="B1707" s="6" t="s">
        <v>3781</v>
      </c>
      <c r="C1707" s="6" t="s">
        <v>1605</v>
      </c>
      <c r="D1707" s="6" t="s">
        <v>1688</v>
      </c>
    </row>
    <row r="1708" ht="22" customHeight="1" spans="1:4">
      <c r="A1708" s="6" t="s">
        <v>3556</v>
      </c>
      <c r="B1708" s="6" t="s">
        <v>3782</v>
      </c>
      <c r="C1708" s="6" t="s">
        <v>1573</v>
      </c>
      <c r="D1708" s="6" t="s">
        <v>1623</v>
      </c>
    </row>
    <row r="1709" ht="22" customHeight="1" spans="1:4">
      <c r="A1709" s="6" t="s">
        <v>3556</v>
      </c>
      <c r="B1709" s="6" t="s">
        <v>3783</v>
      </c>
      <c r="C1709" s="6" t="s">
        <v>1605</v>
      </c>
      <c r="D1709" s="6" t="s">
        <v>1738</v>
      </c>
    </row>
    <row r="1710" ht="22" customHeight="1" spans="1:4">
      <c r="A1710" s="6" t="s">
        <v>3556</v>
      </c>
      <c r="B1710" s="6" t="s">
        <v>3784</v>
      </c>
      <c r="C1710" s="6" t="s">
        <v>1573</v>
      </c>
      <c r="D1710" s="6" t="s">
        <v>1725</v>
      </c>
    </row>
    <row r="1711" ht="22" customHeight="1" spans="1:4">
      <c r="A1711" s="6" t="s">
        <v>3556</v>
      </c>
      <c r="B1711" s="6" t="s">
        <v>3785</v>
      </c>
      <c r="C1711" s="6" t="s">
        <v>1599</v>
      </c>
      <c r="D1711" s="6" t="s">
        <v>3786</v>
      </c>
    </row>
    <row r="1712" ht="22" customHeight="1" spans="1:4">
      <c r="A1712" s="6" t="s">
        <v>3556</v>
      </c>
      <c r="B1712" s="6" t="s">
        <v>3787</v>
      </c>
      <c r="C1712" s="6" t="s">
        <v>1605</v>
      </c>
      <c r="D1712" s="6" t="s">
        <v>1701</v>
      </c>
    </row>
    <row r="1713" ht="22" customHeight="1" spans="1:4">
      <c r="A1713" s="6" t="s">
        <v>3556</v>
      </c>
      <c r="B1713" s="6" t="s">
        <v>3788</v>
      </c>
      <c r="C1713" s="6" t="s">
        <v>1605</v>
      </c>
      <c r="D1713" s="6" t="s">
        <v>898</v>
      </c>
    </row>
    <row r="1714" ht="22" customHeight="1" spans="1:4">
      <c r="A1714" s="6" t="s">
        <v>3556</v>
      </c>
      <c r="B1714" s="6" t="s">
        <v>3789</v>
      </c>
      <c r="C1714" s="6" t="s">
        <v>1599</v>
      </c>
      <c r="D1714" s="6" t="s">
        <v>3790</v>
      </c>
    </row>
    <row r="1715" ht="22" customHeight="1" spans="1:4">
      <c r="A1715" s="6" t="s">
        <v>3556</v>
      </c>
      <c r="B1715" s="6" t="s">
        <v>3791</v>
      </c>
      <c r="C1715" s="6" t="s">
        <v>1605</v>
      </c>
      <c r="D1715" s="6" t="s">
        <v>2064</v>
      </c>
    </row>
    <row r="1716" ht="22" customHeight="1" spans="1:4">
      <c r="A1716" s="6" t="s">
        <v>3556</v>
      </c>
      <c r="B1716" s="6" t="s">
        <v>3792</v>
      </c>
      <c r="C1716" s="6" t="s">
        <v>1605</v>
      </c>
      <c r="D1716" s="6" t="s">
        <v>1651</v>
      </c>
    </row>
    <row r="1717" ht="22" customHeight="1" spans="1:4">
      <c r="A1717" s="6" t="s">
        <v>3556</v>
      </c>
      <c r="B1717" s="6" t="s">
        <v>3793</v>
      </c>
      <c r="C1717" s="6" t="s">
        <v>1599</v>
      </c>
      <c r="D1717" s="6" t="s">
        <v>1653</v>
      </c>
    </row>
    <row r="1718" ht="22" customHeight="1" spans="1:4">
      <c r="A1718" s="6" t="s">
        <v>3556</v>
      </c>
      <c r="B1718" s="6" t="s">
        <v>3794</v>
      </c>
      <c r="C1718" s="6" t="s">
        <v>1599</v>
      </c>
      <c r="D1718" s="6" t="s">
        <v>1655</v>
      </c>
    </row>
    <row r="1719" ht="22" customHeight="1" spans="1:4">
      <c r="A1719" s="6" t="s">
        <v>3556</v>
      </c>
      <c r="B1719" s="6" t="s">
        <v>3795</v>
      </c>
      <c r="C1719" s="6" t="s">
        <v>1605</v>
      </c>
      <c r="D1719" s="6" t="s">
        <v>1657</v>
      </c>
    </row>
    <row r="1720" ht="22" customHeight="1" spans="1:4">
      <c r="A1720" s="6" t="s">
        <v>3556</v>
      </c>
      <c r="B1720" s="6" t="s">
        <v>3796</v>
      </c>
      <c r="C1720" s="6" t="s">
        <v>1605</v>
      </c>
      <c r="D1720" s="6" t="s">
        <v>3161</v>
      </c>
    </row>
    <row r="1721" ht="22" customHeight="1" spans="1:4">
      <c r="A1721" s="6" t="s">
        <v>3556</v>
      </c>
      <c r="B1721" s="6" t="s">
        <v>3797</v>
      </c>
      <c r="C1721" s="6" t="s">
        <v>1599</v>
      </c>
      <c r="D1721" s="6" t="s">
        <v>1661</v>
      </c>
    </row>
    <row r="1722" ht="22" customHeight="1" spans="1:4">
      <c r="A1722" s="6" t="s">
        <v>3556</v>
      </c>
      <c r="B1722" s="6" t="s">
        <v>3798</v>
      </c>
      <c r="C1722" s="6" t="s">
        <v>1570</v>
      </c>
      <c r="D1722" s="6" t="s">
        <v>1571</v>
      </c>
    </row>
    <row r="1723" ht="22" customHeight="1" spans="1:4">
      <c r="A1723" s="6" t="s">
        <v>3556</v>
      </c>
      <c r="B1723" s="6" t="s">
        <v>3799</v>
      </c>
      <c r="C1723" s="6" t="s">
        <v>1599</v>
      </c>
      <c r="D1723" s="6" t="s">
        <v>3800</v>
      </c>
    </row>
    <row r="1724" ht="22" customHeight="1" spans="1:4">
      <c r="A1724" s="6" t="s">
        <v>3556</v>
      </c>
      <c r="B1724" s="6" t="s">
        <v>3801</v>
      </c>
      <c r="C1724" s="6" t="s">
        <v>1576</v>
      </c>
      <c r="D1724" s="6" t="s">
        <v>1571</v>
      </c>
    </row>
    <row r="1725" ht="22" customHeight="1" spans="1:4">
      <c r="A1725" s="6" t="s">
        <v>3556</v>
      </c>
      <c r="B1725" s="6" t="s">
        <v>3802</v>
      </c>
      <c r="C1725" s="6" t="s">
        <v>1599</v>
      </c>
      <c r="D1725" s="6" t="s">
        <v>1661</v>
      </c>
    </row>
    <row r="1726" ht="22" customHeight="1" spans="1:4">
      <c r="A1726" s="6" t="s">
        <v>3556</v>
      </c>
      <c r="B1726" s="6" t="s">
        <v>3803</v>
      </c>
      <c r="C1726" s="6" t="s">
        <v>1599</v>
      </c>
      <c r="D1726" s="6" t="s">
        <v>3804</v>
      </c>
    </row>
    <row r="1727" ht="22" customHeight="1" spans="1:4">
      <c r="A1727" s="6" t="s">
        <v>3556</v>
      </c>
      <c r="B1727" s="6" t="s">
        <v>3805</v>
      </c>
      <c r="C1727" s="6" t="s">
        <v>1599</v>
      </c>
      <c r="D1727" s="6" t="s">
        <v>3806</v>
      </c>
    </row>
    <row r="1728" ht="22" customHeight="1" spans="1:4">
      <c r="A1728" s="6" t="s">
        <v>3556</v>
      </c>
      <c r="B1728" s="6" t="s">
        <v>3807</v>
      </c>
      <c r="C1728" s="6" t="s">
        <v>1599</v>
      </c>
      <c r="D1728" s="6" t="s">
        <v>1723</v>
      </c>
    </row>
    <row r="1729" ht="22" customHeight="1" spans="1:4">
      <c r="A1729" s="6" t="s">
        <v>3556</v>
      </c>
      <c r="B1729" s="6" t="s">
        <v>3808</v>
      </c>
      <c r="C1729" s="6" t="s">
        <v>1573</v>
      </c>
      <c r="D1729" s="6" t="s">
        <v>3440</v>
      </c>
    </row>
    <row r="1730" ht="22" customHeight="1" spans="1:4">
      <c r="A1730" s="6" t="s">
        <v>3556</v>
      </c>
      <c r="B1730" s="6" t="s">
        <v>3809</v>
      </c>
      <c r="C1730" s="6" t="s">
        <v>1573</v>
      </c>
      <c r="D1730" s="6" t="s">
        <v>2154</v>
      </c>
    </row>
    <row r="1731" ht="22" customHeight="1" spans="1:4">
      <c r="A1731" s="6" t="s">
        <v>3556</v>
      </c>
      <c r="B1731" s="6" t="s">
        <v>3810</v>
      </c>
      <c r="C1731" s="6" t="s">
        <v>1573</v>
      </c>
      <c r="D1731" s="6" t="s">
        <v>1585</v>
      </c>
    </row>
    <row r="1732" ht="22" customHeight="1" spans="1:4">
      <c r="A1732" s="6" t="s">
        <v>3556</v>
      </c>
      <c r="B1732" s="6" t="s">
        <v>3811</v>
      </c>
      <c r="C1732" s="6" t="s">
        <v>1605</v>
      </c>
      <c r="D1732" s="6" t="s">
        <v>1688</v>
      </c>
    </row>
    <row r="1733" ht="22" customHeight="1" spans="1:4">
      <c r="A1733" s="6" t="s">
        <v>3556</v>
      </c>
      <c r="B1733" s="6" t="s">
        <v>3812</v>
      </c>
      <c r="C1733" s="6" t="s">
        <v>1573</v>
      </c>
      <c r="D1733" s="6" t="s">
        <v>1623</v>
      </c>
    </row>
    <row r="1734" ht="22" customHeight="1" spans="1:4">
      <c r="A1734" s="6" t="s">
        <v>3556</v>
      </c>
      <c r="B1734" s="6" t="s">
        <v>3813</v>
      </c>
      <c r="C1734" s="6" t="s">
        <v>1605</v>
      </c>
      <c r="D1734" s="6" t="s">
        <v>1738</v>
      </c>
    </row>
    <row r="1735" ht="22" customHeight="1" spans="1:4">
      <c r="A1735" s="6" t="s">
        <v>3556</v>
      </c>
      <c r="B1735" s="6" t="s">
        <v>3814</v>
      </c>
      <c r="C1735" s="6" t="s">
        <v>1573</v>
      </c>
      <c r="D1735" s="6" t="s">
        <v>1725</v>
      </c>
    </row>
    <row r="1736" ht="22" customHeight="1" spans="1:4">
      <c r="A1736" s="6" t="s">
        <v>3556</v>
      </c>
      <c r="B1736" s="6" t="s">
        <v>3815</v>
      </c>
      <c r="C1736" s="6" t="s">
        <v>1599</v>
      </c>
      <c r="D1736" s="6" t="s">
        <v>3816</v>
      </c>
    </row>
    <row r="1737" ht="22" customHeight="1" spans="1:4">
      <c r="A1737" s="6" t="s">
        <v>3556</v>
      </c>
      <c r="B1737" s="6" t="s">
        <v>3817</v>
      </c>
      <c r="C1737" s="6" t="s">
        <v>1714</v>
      </c>
      <c r="D1737" s="6" t="s">
        <v>1715</v>
      </c>
    </row>
    <row r="1738" ht="22" customHeight="1" spans="1:4">
      <c r="A1738" s="6" t="s">
        <v>3556</v>
      </c>
      <c r="B1738" s="6" t="s">
        <v>3818</v>
      </c>
      <c r="C1738" s="6" t="s">
        <v>1605</v>
      </c>
      <c r="D1738" s="6" t="s">
        <v>2164</v>
      </c>
    </row>
    <row r="1739" ht="22" customHeight="1" spans="1:4">
      <c r="A1739" s="6" t="s">
        <v>3556</v>
      </c>
      <c r="B1739" s="6" t="s">
        <v>3819</v>
      </c>
      <c r="C1739" s="6" t="s">
        <v>1605</v>
      </c>
      <c r="D1739" s="6" t="s">
        <v>2385</v>
      </c>
    </row>
    <row r="1740" ht="22" customHeight="1" spans="1:4">
      <c r="A1740" s="6" t="s">
        <v>3556</v>
      </c>
      <c r="B1740" s="6" t="s">
        <v>3820</v>
      </c>
      <c r="C1740" s="6" t="s">
        <v>1573</v>
      </c>
      <c r="D1740" s="6" t="s">
        <v>1623</v>
      </c>
    </row>
    <row r="1741" ht="22" customHeight="1" spans="1:4">
      <c r="A1741" s="6" t="s">
        <v>3556</v>
      </c>
      <c r="B1741" s="6" t="s">
        <v>3821</v>
      </c>
      <c r="C1741" s="6" t="s">
        <v>1599</v>
      </c>
      <c r="D1741" s="6" t="s">
        <v>1769</v>
      </c>
    </row>
    <row r="1742" ht="22" customHeight="1" spans="1:4">
      <c r="A1742" s="6" t="s">
        <v>3556</v>
      </c>
      <c r="B1742" s="6" t="s">
        <v>3822</v>
      </c>
      <c r="C1742" s="6" t="s">
        <v>1599</v>
      </c>
      <c r="D1742" s="6" t="s">
        <v>3823</v>
      </c>
    </row>
    <row r="1743" ht="22" customHeight="1" spans="1:4">
      <c r="A1743" s="6" t="s">
        <v>3556</v>
      </c>
      <c r="B1743" s="6" t="s">
        <v>3824</v>
      </c>
      <c r="C1743" s="6" t="s">
        <v>1570</v>
      </c>
      <c r="D1743" s="6" t="s">
        <v>1571</v>
      </c>
    </row>
    <row r="1744" ht="22" customHeight="1" spans="1:4">
      <c r="A1744" s="6" t="s">
        <v>3556</v>
      </c>
      <c r="B1744" s="6" t="s">
        <v>3825</v>
      </c>
      <c r="C1744" s="6" t="s">
        <v>1599</v>
      </c>
      <c r="D1744" s="6" t="s">
        <v>3823</v>
      </c>
    </row>
    <row r="1745" ht="22" customHeight="1" spans="1:4">
      <c r="A1745" s="6" t="s">
        <v>3556</v>
      </c>
      <c r="B1745" s="6" t="s">
        <v>3826</v>
      </c>
      <c r="C1745" s="6" t="s">
        <v>1599</v>
      </c>
      <c r="D1745" s="6" t="s">
        <v>3827</v>
      </c>
    </row>
    <row r="1746" ht="22" customHeight="1" spans="1:4">
      <c r="A1746" s="6" t="s">
        <v>3556</v>
      </c>
      <c r="B1746" s="6" t="s">
        <v>3828</v>
      </c>
      <c r="C1746" s="6" t="s">
        <v>1605</v>
      </c>
      <c r="D1746" s="6" t="s">
        <v>2064</v>
      </c>
    </row>
    <row r="1747" ht="22" customHeight="1" spans="1:4">
      <c r="A1747" s="6" t="s">
        <v>3556</v>
      </c>
      <c r="B1747" s="6" t="s">
        <v>3829</v>
      </c>
      <c r="C1747" s="6" t="s">
        <v>1605</v>
      </c>
      <c r="D1747" s="6" t="s">
        <v>1651</v>
      </c>
    </row>
    <row r="1748" ht="22" customHeight="1" spans="1:4">
      <c r="A1748" s="6" t="s">
        <v>3556</v>
      </c>
      <c r="B1748" s="6" t="s">
        <v>3830</v>
      </c>
      <c r="C1748" s="6" t="s">
        <v>1599</v>
      </c>
      <c r="D1748" s="6" t="s">
        <v>1653</v>
      </c>
    </row>
    <row r="1749" ht="22" customHeight="1" spans="1:4">
      <c r="A1749" s="6" t="s">
        <v>3556</v>
      </c>
      <c r="B1749" s="6" t="s">
        <v>3831</v>
      </c>
      <c r="C1749" s="6" t="s">
        <v>1599</v>
      </c>
      <c r="D1749" s="6" t="s">
        <v>1655</v>
      </c>
    </row>
    <row r="1750" ht="22" customHeight="1" spans="1:4">
      <c r="A1750" s="6" t="s">
        <v>3556</v>
      </c>
      <c r="B1750" s="6" t="s">
        <v>3832</v>
      </c>
      <c r="C1750" s="6" t="s">
        <v>1605</v>
      </c>
      <c r="D1750" s="6" t="s">
        <v>1657</v>
      </c>
    </row>
    <row r="1751" ht="22" customHeight="1" spans="1:4">
      <c r="A1751" s="6" t="s">
        <v>3556</v>
      </c>
      <c r="B1751" s="6" t="s">
        <v>3833</v>
      </c>
      <c r="C1751" s="6" t="s">
        <v>1605</v>
      </c>
      <c r="D1751" s="6" t="s">
        <v>3161</v>
      </c>
    </row>
    <row r="1752" ht="22" customHeight="1" spans="1:4">
      <c r="A1752" s="6" t="s">
        <v>3556</v>
      </c>
      <c r="B1752" s="6" t="s">
        <v>3834</v>
      </c>
      <c r="C1752" s="6" t="s">
        <v>1599</v>
      </c>
      <c r="D1752" s="6" t="s">
        <v>1661</v>
      </c>
    </row>
    <row r="1753" ht="22" customHeight="1" spans="1:4">
      <c r="A1753" s="6" t="s">
        <v>3556</v>
      </c>
      <c r="B1753" s="6" t="s">
        <v>3835</v>
      </c>
      <c r="C1753" s="6" t="s">
        <v>1570</v>
      </c>
      <c r="D1753" s="6" t="s">
        <v>1571</v>
      </c>
    </row>
    <row r="1754" ht="22" customHeight="1" spans="1:4">
      <c r="A1754" s="6" t="s">
        <v>3556</v>
      </c>
      <c r="B1754" s="6" t="s">
        <v>3836</v>
      </c>
      <c r="C1754" s="6" t="s">
        <v>1599</v>
      </c>
      <c r="D1754" s="6" t="s">
        <v>3837</v>
      </c>
    </row>
    <row r="1755" ht="22" customHeight="1" spans="1:4">
      <c r="A1755" s="6" t="s">
        <v>3556</v>
      </c>
      <c r="B1755" s="6" t="s">
        <v>3838</v>
      </c>
      <c r="C1755" s="6" t="s">
        <v>1576</v>
      </c>
      <c r="D1755" s="6" t="s">
        <v>1571</v>
      </c>
    </row>
    <row r="1756" ht="22" customHeight="1" spans="1:4">
      <c r="A1756" s="6" t="s">
        <v>3556</v>
      </c>
      <c r="B1756" s="6" t="s">
        <v>3839</v>
      </c>
      <c r="C1756" s="6" t="s">
        <v>1599</v>
      </c>
      <c r="D1756" s="6" t="s">
        <v>1661</v>
      </c>
    </row>
    <row r="1757" ht="22" customHeight="1" spans="1:4">
      <c r="A1757" s="6" t="s">
        <v>3556</v>
      </c>
      <c r="B1757" s="6" t="s">
        <v>3840</v>
      </c>
      <c r="C1757" s="6" t="s">
        <v>1599</v>
      </c>
      <c r="D1757" s="6" t="s">
        <v>3841</v>
      </c>
    </row>
    <row r="1758" ht="22" customHeight="1" spans="1:4">
      <c r="A1758" s="6" t="s">
        <v>3556</v>
      </c>
      <c r="B1758" s="6" t="s">
        <v>3842</v>
      </c>
      <c r="C1758" s="6" t="s">
        <v>1599</v>
      </c>
      <c r="D1758" s="6" t="s">
        <v>3843</v>
      </c>
    </row>
    <row r="1759" ht="22" customHeight="1" spans="1:4">
      <c r="A1759" s="6" t="s">
        <v>3556</v>
      </c>
      <c r="B1759" s="6" t="s">
        <v>3844</v>
      </c>
      <c r="C1759" s="6" t="s">
        <v>1599</v>
      </c>
      <c r="D1759" s="6" t="s">
        <v>1769</v>
      </c>
    </row>
    <row r="1760" ht="22" customHeight="1" spans="1:4">
      <c r="A1760" s="6" t="s">
        <v>3556</v>
      </c>
      <c r="B1760" s="6" t="s">
        <v>3845</v>
      </c>
      <c r="C1760" s="6" t="s">
        <v>1573</v>
      </c>
      <c r="D1760" s="6" t="s">
        <v>3846</v>
      </c>
    </row>
    <row r="1761" ht="22" customHeight="1" spans="1:4">
      <c r="A1761" s="6" t="s">
        <v>3556</v>
      </c>
      <c r="B1761" s="6" t="s">
        <v>3847</v>
      </c>
      <c r="C1761" s="6" t="s">
        <v>1573</v>
      </c>
      <c r="D1761" s="6" t="s">
        <v>2413</v>
      </c>
    </row>
    <row r="1762" ht="22" customHeight="1" spans="1:4">
      <c r="A1762" s="6" t="s">
        <v>3556</v>
      </c>
      <c r="B1762" s="6" t="s">
        <v>3848</v>
      </c>
      <c r="C1762" s="6" t="s">
        <v>1573</v>
      </c>
      <c r="D1762" s="6" t="s">
        <v>1733</v>
      </c>
    </row>
    <row r="1763" ht="22" customHeight="1" spans="1:4">
      <c r="A1763" s="6" t="s">
        <v>3556</v>
      </c>
      <c r="B1763" s="6" t="s">
        <v>3849</v>
      </c>
      <c r="C1763" s="6" t="s">
        <v>1605</v>
      </c>
      <c r="D1763" s="6" t="s">
        <v>1735</v>
      </c>
    </row>
    <row r="1764" ht="22" customHeight="1" spans="1:4">
      <c r="A1764" s="6" t="s">
        <v>3556</v>
      </c>
      <c r="B1764" s="6" t="s">
        <v>3850</v>
      </c>
      <c r="C1764" s="6" t="s">
        <v>1573</v>
      </c>
      <c r="D1764" s="6" t="s">
        <v>275</v>
      </c>
    </row>
    <row r="1765" ht="22" customHeight="1" spans="1:4">
      <c r="A1765" s="6" t="s">
        <v>3556</v>
      </c>
      <c r="B1765" s="6" t="s">
        <v>3851</v>
      </c>
      <c r="C1765" s="6" t="s">
        <v>1605</v>
      </c>
      <c r="D1765" s="6" t="s">
        <v>911</v>
      </c>
    </row>
    <row r="1766" ht="22" customHeight="1" spans="1:4">
      <c r="A1766" s="6" t="s">
        <v>3556</v>
      </c>
      <c r="B1766" s="6" t="s">
        <v>3852</v>
      </c>
      <c r="C1766" s="6" t="s">
        <v>1573</v>
      </c>
      <c r="D1766" s="6" t="s">
        <v>1725</v>
      </c>
    </row>
    <row r="1767" ht="22" customHeight="1" spans="1:4">
      <c r="A1767" s="6" t="s">
        <v>3556</v>
      </c>
      <c r="B1767" s="6" t="s">
        <v>3853</v>
      </c>
      <c r="C1767" s="6" t="s">
        <v>1599</v>
      </c>
      <c r="D1767" s="6" t="s">
        <v>3854</v>
      </c>
    </row>
    <row r="1768" ht="22" customHeight="1" spans="1:4">
      <c r="A1768" s="6" t="s">
        <v>3556</v>
      </c>
      <c r="B1768" s="6" t="s">
        <v>3855</v>
      </c>
      <c r="C1768" s="6" t="s">
        <v>1605</v>
      </c>
      <c r="D1768" s="6" t="s">
        <v>3081</v>
      </c>
    </row>
    <row r="1769" ht="22" customHeight="1" spans="1:4">
      <c r="A1769" s="6" t="s">
        <v>3556</v>
      </c>
      <c r="B1769" s="6" t="s">
        <v>3856</v>
      </c>
      <c r="C1769" s="6" t="s">
        <v>1605</v>
      </c>
      <c r="D1769" s="6" t="s">
        <v>2064</v>
      </c>
    </row>
    <row r="1770" ht="22" customHeight="1" spans="1:4">
      <c r="A1770" s="6" t="s">
        <v>3556</v>
      </c>
      <c r="B1770" s="6" t="s">
        <v>3857</v>
      </c>
      <c r="C1770" s="6" t="s">
        <v>1605</v>
      </c>
      <c r="D1770" s="6" t="s">
        <v>898</v>
      </c>
    </row>
    <row r="1771" ht="22" customHeight="1" spans="1:4">
      <c r="A1771" s="6" t="s">
        <v>3556</v>
      </c>
      <c r="B1771" s="6" t="s">
        <v>3858</v>
      </c>
      <c r="C1771" s="6" t="s">
        <v>1605</v>
      </c>
      <c r="D1771" s="6" t="s">
        <v>909</v>
      </c>
    </row>
    <row r="1772" ht="22" customHeight="1" spans="1:4">
      <c r="A1772" s="6" t="s">
        <v>3556</v>
      </c>
      <c r="B1772" s="6" t="s">
        <v>3859</v>
      </c>
      <c r="C1772" s="6" t="s">
        <v>1714</v>
      </c>
      <c r="D1772" s="6" t="s">
        <v>1715</v>
      </c>
    </row>
    <row r="1773" ht="22" customHeight="1" spans="1:4">
      <c r="A1773" s="6" t="s">
        <v>3556</v>
      </c>
      <c r="B1773" s="6" t="s">
        <v>3860</v>
      </c>
      <c r="C1773" s="6" t="s">
        <v>1599</v>
      </c>
      <c r="D1773" s="6" t="s">
        <v>3861</v>
      </c>
    </row>
    <row r="1774" ht="22" customHeight="1" spans="1:4">
      <c r="A1774" s="6" t="s">
        <v>3556</v>
      </c>
      <c r="B1774" s="6" t="s">
        <v>3862</v>
      </c>
      <c r="C1774" s="6" t="s">
        <v>1605</v>
      </c>
      <c r="D1774" s="6" t="s">
        <v>2064</v>
      </c>
    </row>
    <row r="1775" ht="22" customHeight="1" spans="1:4">
      <c r="A1775" s="6" t="s">
        <v>3556</v>
      </c>
      <c r="B1775" s="6" t="s">
        <v>3863</v>
      </c>
      <c r="C1775" s="6" t="s">
        <v>1605</v>
      </c>
      <c r="D1775" s="6" t="s">
        <v>1651</v>
      </c>
    </row>
    <row r="1776" ht="22" customHeight="1" spans="1:4">
      <c r="A1776" s="6" t="s">
        <v>3556</v>
      </c>
      <c r="B1776" s="6" t="s">
        <v>3864</v>
      </c>
      <c r="C1776" s="6" t="s">
        <v>1599</v>
      </c>
      <c r="D1776" s="6" t="s">
        <v>1653</v>
      </c>
    </row>
    <row r="1777" ht="22" customHeight="1" spans="1:4">
      <c r="A1777" s="6" t="s">
        <v>3556</v>
      </c>
      <c r="B1777" s="6" t="s">
        <v>3865</v>
      </c>
      <c r="C1777" s="6" t="s">
        <v>1599</v>
      </c>
      <c r="D1777" s="6" t="s">
        <v>1655</v>
      </c>
    </row>
    <row r="1778" ht="22" customHeight="1" spans="1:4">
      <c r="A1778" s="6" t="s">
        <v>3556</v>
      </c>
      <c r="B1778" s="6" t="s">
        <v>3866</v>
      </c>
      <c r="C1778" s="6" t="s">
        <v>1605</v>
      </c>
      <c r="D1778" s="6" t="s">
        <v>1657</v>
      </c>
    </row>
    <row r="1779" ht="22" customHeight="1" spans="1:4">
      <c r="A1779" s="6" t="s">
        <v>3556</v>
      </c>
      <c r="B1779" s="6" t="s">
        <v>3867</v>
      </c>
      <c r="C1779" s="6" t="s">
        <v>1605</v>
      </c>
      <c r="D1779" s="6" t="s">
        <v>3161</v>
      </c>
    </row>
    <row r="1780" ht="22" customHeight="1" spans="1:4">
      <c r="A1780" s="6" t="s">
        <v>3556</v>
      </c>
      <c r="B1780" s="6" t="s">
        <v>3868</v>
      </c>
      <c r="C1780" s="6" t="s">
        <v>1599</v>
      </c>
      <c r="D1780" s="6" t="s">
        <v>1661</v>
      </c>
    </row>
    <row r="1781" ht="22" customHeight="1" spans="1:4">
      <c r="A1781" s="6" t="s">
        <v>3869</v>
      </c>
      <c r="B1781" s="6" t="s">
        <v>1569</v>
      </c>
      <c r="C1781" s="6" t="s">
        <v>1570</v>
      </c>
      <c r="D1781" s="6" t="s">
        <v>1571</v>
      </c>
    </row>
    <row r="1782" ht="22" customHeight="1" spans="1:4">
      <c r="A1782" s="6" t="s">
        <v>3869</v>
      </c>
      <c r="B1782" s="6" t="s">
        <v>3870</v>
      </c>
      <c r="C1782" s="6" t="s">
        <v>1570</v>
      </c>
      <c r="D1782" s="6" t="s">
        <v>1571</v>
      </c>
    </row>
    <row r="1783" ht="22" customHeight="1" spans="1:4">
      <c r="A1783" s="6" t="s">
        <v>3869</v>
      </c>
      <c r="B1783" s="6" t="s">
        <v>3871</v>
      </c>
      <c r="C1783" s="6" t="s">
        <v>1714</v>
      </c>
      <c r="D1783" s="6" t="s">
        <v>3872</v>
      </c>
    </row>
    <row r="1784" ht="22" customHeight="1" spans="1:4">
      <c r="A1784" s="6" t="s">
        <v>3869</v>
      </c>
      <c r="B1784" s="6" t="s">
        <v>3873</v>
      </c>
      <c r="C1784" s="6" t="s">
        <v>1714</v>
      </c>
      <c r="D1784" s="6" t="s">
        <v>3872</v>
      </c>
    </row>
    <row r="1785" ht="22" customHeight="1" spans="1:4">
      <c r="A1785" s="6" t="s">
        <v>3869</v>
      </c>
      <c r="B1785" s="6" t="s">
        <v>3874</v>
      </c>
      <c r="C1785" s="6" t="s">
        <v>1714</v>
      </c>
      <c r="D1785" s="6" t="s">
        <v>3872</v>
      </c>
    </row>
    <row r="1786" ht="22" customHeight="1" spans="1:4">
      <c r="A1786" s="6" t="s">
        <v>3869</v>
      </c>
      <c r="B1786" s="6" t="s">
        <v>3875</v>
      </c>
      <c r="C1786" s="6" t="s">
        <v>1573</v>
      </c>
      <c r="D1786" s="6" t="s">
        <v>2445</v>
      </c>
    </row>
    <row r="1787" ht="22" customHeight="1" spans="1:4">
      <c r="A1787" s="6" t="s">
        <v>3869</v>
      </c>
      <c r="B1787" s="6" t="s">
        <v>3876</v>
      </c>
      <c r="C1787" s="6" t="s">
        <v>1576</v>
      </c>
      <c r="D1787" s="6" t="s">
        <v>1571</v>
      </c>
    </row>
    <row r="1788" ht="22" customHeight="1" spans="1:4">
      <c r="A1788" s="6" t="s">
        <v>3869</v>
      </c>
      <c r="B1788" s="6" t="s">
        <v>3877</v>
      </c>
      <c r="C1788" s="6" t="s">
        <v>1570</v>
      </c>
      <c r="D1788" s="6" t="s">
        <v>1571</v>
      </c>
    </row>
    <row r="1789" ht="22" customHeight="1" spans="1:4">
      <c r="A1789" s="6" t="s">
        <v>3869</v>
      </c>
      <c r="B1789" s="6" t="s">
        <v>3878</v>
      </c>
      <c r="C1789" s="6" t="s">
        <v>1599</v>
      </c>
      <c r="D1789" s="6" t="s">
        <v>3879</v>
      </c>
    </row>
    <row r="1790" ht="22" customHeight="1" spans="1:4">
      <c r="A1790" s="6" t="s">
        <v>3869</v>
      </c>
      <c r="B1790" s="6" t="s">
        <v>3880</v>
      </c>
      <c r="C1790" s="6" t="s">
        <v>1576</v>
      </c>
      <c r="D1790" s="6" t="s">
        <v>1571</v>
      </c>
    </row>
    <row r="1791" ht="22" customHeight="1" spans="1:4">
      <c r="A1791" s="6" t="s">
        <v>3869</v>
      </c>
      <c r="B1791" s="6" t="s">
        <v>3881</v>
      </c>
      <c r="C1791" s="6" t="s">
        <v>1599</v>
      </c>
      <c r="D1791" s="6" t="s">
        <v>1661</v>
      </c>
    </row>
    <row r="1792" ht="22" customHeight="1" spans="1:4">
      <c r="A1792" s="6" t="s">
        <v>3869</v>
      </c>
      <c r="B1792" s="6" t="s">
        <v>3882</v>
      </c>
      <c r="C1792" s="6" t="s">
        <v>1599</v>
      </c>
      <c r="D1792" s="6" t="s">
        <v>3883</v>
      </c>
    </row>
    <row r="1793" ht="22" customHeight="1" spans="1:4">
      <c r="A1793" s="6" t="s">
        <v>3869</v>
      </c>
      <c r="B1793" s="6" t="s">
        <v>3884</v>
      </c>
      <c r="C1793" s="6" t="s">
        <v>1573</v>
      </c>
      <c r="D1793" s="6" t="s">
        <v>1888</v>
      </c>
    </row>
    <row r="1794" ht="22" customHeight="1" spans="1:4">
      <c r="A1794" s="6" t="s">
        <v>3869</v>
      </c>
      <c r="B1794" s="6" t="s">
        <v>3885</v>
      </c>
      <c r="C1794" s="6" t="s">
        <v>1573</v>
      </c>
      <c r="D1794" s="6" t="s">
        <v>921</v>
      </c>
    </row>
    <row r="1795" ht="22" customHeight="1" spans="1:4">
      <c r="A1795" s="6" t="s">
        <v>3869</v>
      </c>
      <c r="B1795" s="6" t="s">
        <v>3886</v>
      </c>
      <c r="C1795" s="6" t="s">
        <v>1573</v>
      </c>
      <c r="D1795" s="6" t="s">
        <v>2586</v>
      </c>
    </row>
    <row r="1796" ht="22" customHeight="1" spans="1:4">
      <c r="A1796" s="6" t="s">
        <v>3869</v>
      </c>
      <c r="B1796" s="6" t="s">
        <v>3887</v>
      </c>
      <c r="C1796" s="6" t="s">
        <v>1573</v>
      </c>
      <c r="D1796" s="6" t="s">
        <v>3888</v>
      </c>
    </row>
    <row r="1797" ht="22" customHeight="1" spans="1:4">
      <c r="A1797" s="6" t="s">
        <v>3869</v>
      </c>
      <c r="B1797" s="6" t="s">
        <v>3889</v>
      </c>
      <c r="C1797" s="6" t="s">
        <v>1573</v>
      </c>
      <c r="D1797" s="6" t="s">
        <v>921</v>
      </c>
    </row>
    <row r="1798" ht="22" customHeight="1" spans="1:4">
      <c r="A1798" s="6" t="s">
        <v>3869</v>
      </c>
      <c r="B1798" s="6" t="s">
        <v>3890</v>
      </c>
      <c r="C1798" s="6" t="s">
        <v>1605</v>
      </c>
      <c r="D1798" s="6" t="s">
        <v>1649</v>
      </c>
    </row>
    <row r="1799" ht="22" customHeight="1" spans="1:4">
      <c r="A1799" s="6" t="s">
        <v>3869</v>
      </c>
      <c r="B1799" s="6" t="s">
        <v>3891</v>
      </c>
      <c r="C1799" s="6" t="s">
        <v>1573</v>
      </c>
      <c r="D1799" s="6" t="s">
        <v>275</v>
      </c>
    </row>
    <row r="1800" ht="22" customHeight="1" spans="1:4">
      <c r="A1800" s="6" t="s">
        <v>3869</v>
      </c>
      <c r="B1800" s="6" t="s">
        <v>3892</v>
      </c>
      <c r="C1800" s="6" t="s">
        <v>1605</v>
      </c>
      <c r="D1800" s="6" t="s">
        <v>1738</v>
      </c>
    </row>
    <row r="1801" ht="22" customHeight="1" spans="1:4">
      <c r="A1801" s="6" t="s">
        <v>3869</v>
      </c>
      <c r="B1801" s="6" t="s">
        <v>3893</v>
      </c>
      <c r="C1801" s="6" t="s">
        <v>1599</v>
      </c>
      <c r="D1801" s="6" t="s">
        <v>3894</v>
      </c>
    </row>
    <row r="1802" ht="22" customHeight="1" spans="1:4">
      <c r="A1802" s="6" t="s">
        <v>3869</v>
      </c>
      <c r="B1802" s="6" t="s">
        <v>3895</v>
      </c>
      <c r="C1802" s="6" t="s">
        <v>1605</v>
      </c>
      <c r="D1802" s="6" t="s">
        <v>1697</v>
      </c>
    </row>
    <row r="1803" ht="22" customHeight="1" spans="1:4">
      <c r="A1803" s="6" t="s">
        <v>3869</v>
      </c>
      <c r="B1803" s="6" t="s">
        <v>3896</v>
      </c>
      <c r="C1803" s="6" t="s">
        <v>1573</v>
      </c>
      <c r="D1803" s="6" t="s">
        <v>3897</v>
      </c>
    </row>
    <row r="1804" ht="22" customHeight="1" spans="1:4">
      <c r="A1804" s="6" t="s">
        <v>3869</v>
      </c>
      <c r="B1804" s="6" t="s">
        <v>3898</v>
      </c>
      <c r="C1804" s="6" t="s">
        <v>1605</v>
      </c>
      <c r="D1804" s="6" t="s">
        <v>2385</v>
      </c>
    </row>
    <row r="1805" ht="22" customHeight="1" spans="1:4">
      <c r="A1805" s="6" t="s">
        <v>3869</v>
      </c>
      <c r="B1805" s="6" t="s">
        <v>3899</v>
      </c>
      <c r="C1805" s="6" t="s">
        <v>1573</v>
      </c>
      <c r="D1805" s="6" t="s">
        <v>3900</v>
      </c>
    </row>
    <row r="1806" ht="22" customHeight="1" spans="1:4">
      <c r="A1806" s="6" t="s">
        <v>3869</v>
      </c>
      <c r="B1806" s="6" t="s">
        <v>3901</v>
      </c>
      <c r="C1806" s="6" t="s">
        <v>1605</v>
      </c>
      <c r="D1806" s="6" t="s">
        <v>1636</v>
      </c>
    </row>
    <row r="1807" ht="22" customHeight="1" spans="1:4">
      <c r="A1807" s="6" t="s">
        <v>3869</v>
      </c>
      <c r="B1807" s="6" t="s">
        <v>3902</v>
      </c>
      <c r="C1807" s="6" t="s">
        <v>1605</v>
      </c>
      <c r="D1807" s="6" t="s">
        <v>1606</v>
      </c>
    </row>
    <row r="1808" ht="22" customHeight="1" spans="1:4">
      <c r="A1808" s="6" t="s">
        <v>3869</v>
      </c>
      <c r="B1808" s="6" t="s">
        <v>3903</v>
      </c>
      <c r="C1808" s="6" t="s">
        <v>1599</v>
      </c>
      <c r="D1808" s="6" t="s">
        <v>3904</v>
      </c>
    </row>
    <row r="1809" ht="22" customHeight="1" spans="1:4">
      <c r="A1809" s="6" t="s">
        <v>3869</v>
      </c>
      <c r="B1809" s="6" t="s">
        <v>3905</v>
      </c>
      <c r="C1809" s="6" t="s">
        <v>1605</v>
      </c>
      <c r="D1809" s="6" t="s">
        <v>1649</v>
      </c>
    </row>
    <row r="1810" ht="22" customHeight="1" spans="1:4">
      <c r="A1810" s="6" t="s">
        <v>3869</v>
      </c>
      <c r="B1810" s="6" t="s">
        <v>3906</v>
      </c>
      <c r="C1810" s="6" t="s">
        <v>1605</v>
      </c>
      <c r="D1810" s="6" t="s">
        <v>1651</v>
      </c>
    </row>
    <row r="1811" ht="22" customHeight="1" spans="1:4">
      <c r="A1811" s="6" t="s">
        <v>3869</v>
      </c>
      <c r="B1811" s="6" t="s">
        <v>3907</v>
      </c>
      <c r="C1811" s="6" t="s">
        <v>1599</v>
      </c>
      <c r="D1811" s="6" t="s">
        <v>1653</v>
      </c>
    </row>
    <row r="1812" ht="22" customHeight="1" spans="1:4">
      <c r="A1812" s="6" t="s">
        <v>3869</v>
      </c>
      <c r="B1812" s="6" t="s">
        <v>3908</v>
      </c>
      <c r="C1812" s="6" t="s">
        <v>1599</v>
      </c>
      <c r="D1812" s="6" t="s">
        <v>1655</v>
      </c>
    </row>
    <row r="1813" ht="22" customHeight="1" spans="1:4">
      <c r="A1813" s="6" t="s">
        <v>3869</v>
      </c>
      <c r="B1813" s="6" t="s">
        <v>3909</v>
      </c>
      <c r="C1813" s="6" t="s">
        <v>1605</v>
      </c>
      <c r="D1813" s="6" t="s">
        <v>1657</v>
      </c>
    </row>
    <row r="1814" ht="22" customHeight="1" spans="1:4">
      <c r="A1814" s="6" t="s">
        <v>3869</v>
      </c>
      <c r="B1814" s="6" t="s">
        <v>3910</v>
      </c>
      <c r="C1814" s="6" t="s">
        <v>1605</v>
      </c>
      <c r="D1814" s="6" t="s">
        <v>3161</v>
      </c>
    </row>
    <row r="1815" ht="22" customHeight="1" spans="1:4">
      <c r="A1815" s="6" t="s">
        <v>3869</v>
      </c>
      <c r="B1815" s="6" t="s">
        <v>3911</v>
      </c>
      <c r="C1815" s="6" t="s">
        <v>1599</v>
      </c>
      <c r="D1815" s="6" t="s">
        <v>1661</v>
      </c>
    </row>
    <row r="1816" ht="22" customHeight="1" spans="1:4">
      <c r="A1816" s="6" t="s">
        <v>3869</v>
      </c>
      <c r="B1816" s="6" t="s">
        <v>3912</v>
      </c>
      <c r="C1816" s="6" t="s">
        <v>1599</v>
      </c>
      <c r="D1816" s="6" t="s">
        <v>3913</v>
      </c>
    </row>
    <row r="1817" ht="22" customHeight="1" spans="1:4">
      <c r="A1817" s="6" t="s">
        <v>3869</v>
      </c>
      <c r="B1817" s="6" t="s">
        <v>3914</v>
      </c>
      <c r="C1817" s="6" t="s">
        <v>1570</v>
      </c>
      <c r="D1817" s="6" t="s">
        <v>1571</v>
      </c>
    </row>
    <row r="1818" ht="22" customHeight="1" spans="1:4">
      <c r="A1818" s="6" t="s">
        <v>3869</v>
      </c>
      <c r="B1818" s="6" t="s">
        <v>3915</v>
      </c>
      <c r="C1818" s="6" t="s">
        <v>1599</v>
      </c>
      <c r="D1818" s="6" t="s">
        <v>3916</v>
      </c>
    </row>
    <row r="1819" ht="22" customHeight="1" spans="1:4">
      <c r="A1819" s="6" t="s">
        <v>3869</v>
      </c>
      <c r="B1819" s="6" t="s">
        <v>3917</v>
      </c>
      <c r="C1819" s="6" t="s">
        <v>1599</v>
      </c>
      <c r="D1819" s="6" t="s">
        <v>3918</v>
      </c>
    </row>
    <row r="1820" ht="22" customHeight="1" spans="1:4">
      <c r="A1820" s="6" t="s">
        <v>3869</v>
      </c>
      <c r="B1820" s="6" t="s">
        <v>3919</v>
      </c>
      <c r="C1820" s="6" t="s">
        <v>1573</v>
      </c>
      <c r="D1820" s="6" t="s">
        <v>1155</v>
      </c>
    </row>
    <row r="1821" ht="22" customHeight="1" spans="1:4">
      <c r="A1821" s="6" t="s">
        <v>3869</v>
      </c>
      <c r="B1821" s="6" t="s">
        <v>3920</v>
      </c>
      <c r="C1821" s="6" t="s">
        <v>1573</v>
      </c>
      <c r="D1821" s="6" t="s">
        <v>493</v>
      </c>
    </row>
    <row r="1822" ht="22" customHeight="1" spans="1:4">
      <c r="A1822" s="6" t="s">
        <v>3869</v>
      </c>
      <c r="B1822" s="6" t="s">
        <v>3921</v>
      </c>
      <c r="C1822" s="6" t="s">
        <v>1573</v>
      </c>
      <c r="D1822" s="6" t="s">
        <v>2718</v>
      </c>
    </row>
    <row r="1823" ht="22" customHeight="1" spans="1:4">
      <c r="A1823" s="6" t="s">
        <v>3869</v>
      </c>
      <c r="B1823" s="6" t="s">
        <v>3922</v>
      </c>
      <c r="C1823" s="6" t="s">
        <v>1573</v>
      </c>
      <c r="D1823" s="6" t="s">
        <v>2862</v>
      </c>
    </row>
    <row r="1824" ht="22" customHeight="1" spans="1:4">
      <c r="A1824" s="6" t="s">
        <v>3869</v>
      </c>
      <c r="B1824" s="6" t="s">
        <v>3923</v>
      </c>
      <c r="C1824" s="6" t="s">
        <v>1573</v>
      </c>
      <c r="D1824" s="6" t="s">
        <v>463</v>
      </c>
    </row>
    <row r="1825" ht="22" customHeight="1" spans="1:4">
      <c r="A1825" s="6" t="s">
        <v>3869</v>
      </c>
      <c r="B1825" s="6" t="s">
        <v>3924</v>
      </c>
      <c r="C1825" s="6" t="s">
        <v>1605</v>
      </c>
      <c r="D1825" s="6" t="s">
        <v>1895</v>
      </c>
    </row>
    <row r="1826" ht="22" customHeight="1" spans="1:4">
      <c r="A1826" s="6" t="s">
        <v>3869</v>
      </c>
      <c r="B1826" s="6" t="s">
        <v>3925</v>
      </c>
      <c r="C1826" s="6" t="s">
        <v>1573</v>
      </c>
      <c r="D1826" s="6" t="s">
        <v>1623</v>
      </c>
    </row>
    <row r="1827" ht="22" customHeight="1" spans="1:4">
      <c r="A1827" s="6" t="s">
        <v>3869</v>
      </c>
      <c r="B1827" s="6" t="s">
        <v>3926</v>
      </c>
      <c r="C1827" s="6" t="s">
        <v>1605</v>
      </c>
      <c r="D1827" s="6" t="s">
        <v>2483</v>
      </c>
    </row>
    <row r="1828" ht="22" customHeight="1" spans="1:4">
      <c r="A1828" s="6" t="s">
        <v>3869</v>
      </c>
      <c r="B1828" s="6" t="s">
        <v>3927</v>
      </c>
      <c r="C1828" s="6" t="s">
        <v>1599</v>
      </c>
      <c r="D1828" s="6" t="s">
        <v>3928</v>
      </c>
    </row>
    <row r="1829" ht="22" customHeight="1" spans="1:4">
      <c r="A1829" s="6" t="s">
        <v>3869</v>
      </c>
      <c r="B1829" s="6" t="s">
        <v>3929</v>
      </c>
      <c r="C1829" s="6" t="s">
        <v>1605</v>
      </c>
      <c r="D1829" s="6" t="s">
        <v>1615</v>
      </c>
    </row>
    <row r="1830" ht="22" customHeight="1" spans="1:4">
      <c r="A1830" s="6" t="s">
        <v>3869</v>
      </c>
      <c r="B1830" s="6" t="s">
        <v>3930</v>
      </c>
      <c r="C1830" s="6" t="s">
        <v>1605</v>
      </c>
      <c r="D1830" s="6" t="s">
        <v>2164</v>
      </c>
    </row>
    <row r="1831" ht="22" customHeight="1" spans="1:4">
      <c r="A1831" s="6" t="s">
        <v>3869</v>
      </c>
      <c r="B1831" s="6" t="s">
        <v>3931</v>
      </c>
      <c r="C1831" s="6" t="s">
        <v>1605</v>
      </c>
      <c r="D1831" s="6" t="s">
        <v>1636</v>
      </c>
    </row>
    <row r="1832" ht="22" customHeight="1" spans="1:4">
      <c r="A1832" s="6" t="s">
        <v>3869</v>
      </c>
      <c r="B1832" s="6" t="s">
        <v>3932</v>
      </c>
      <c r="C1832" s="6" t="s">
        <v>1605</v>
      </c>
      <c r="D1832" s="6" t="s">
        <v>1606</v>
      </c>
    </row>
    <row r="1833" ht="22" customHeight="1" spans="1:4">
      <c r="A1833" s="6" t="s">
        <v>3869</v>
      </c>
      <c r="B1833" s="6" t="s">
        <v>3933</v>
      </c>
      <c r="C1833" s="6" t="s">
        <v>1599</v>
      </c>
      <c r="D1833" s="6" t="s">
        <v>3934</v>
      </c>
    </row>
    <row r="1834" ht="22" customHeight="1" spans="1:4">
      <c r="A1834" s="6" t="s">
        <v>3869</v>
      </c>
      <c r="B1834" s="6" t="s">
        <v>3935</v>
      </c>
      <c r="C1834" s="6" t="s">
        <v>1605</v>
      </c>
      <c r="D1834" s="6" t="s">
        <v>2064</v>
      </c>
    </row>
    <row r="1835" ht="22" customHeight="1" spans="1:4">
      <c r="A1835" s="6" t="s">
        <v>3869</v>
      </c>
      <c r="B1835" s="6" t="s">
        <v>3936</v>
      </c>
      <c r="C1835" s="6" t="s">
        <v>1605</v>
      </c>
      <c r="D1835" s="6" t="s">
        <v>1651</v>
      </c>
    </row>
    <row r="1836" ht="22" customHeight="1" spans="1:4">
      <c r="A1836" s="6" t="s">
        <v>3869</v>
      </c>
      <c r="B1836" s="6" t="s">
        <v>3937</v>
      </c>
      <c r="C1836" s="6" t="s">
        <v>1599</v>
      </c>
      <c r="D1836" s="6" t="s">
        <v>1653</v>
      </c>
    </row>
    <row r="1837" ht="22" customHeight="1" spans="1:4">
      <c r="A1837" s="6" t="s">
        <v>3869</v>
      </c>
      <c r="B1837" s="6" t="s">
        <v>3938</v>
      </c>
      <c r="C1837" s="6" t="s">
        <v>1599</v>
      </c>
      <c r="D1837" s="6" t="s">
        <v>1655</v>
      </c>
    </row>
    <row r="1838" ht="22" customHeight="1" spans="1:4">
      <c r="A1838" s="6" t="s">
        <v>3869</v>
      </c>
      <c r="B1838" s="6" t="s">
        <v>3939</v>
      </c>
      <c r="C1838" s="6" t="s">
        <v>1605</v>
      </c>
      <c r="D1838" s="6" t="s">
        <v>1657</v>
      </c>
    </row>
    <row r="1839" ht="22" customHeight="1" spans="1:4">
      <c r="A1839" s="6" t="s">
        <v>3869</v>
      </c>
      <c r="B1839" s="6" t="s">
        <v>3940</v>
      </c>
      <c r="C1839" s="6" t="s">
        <v>1605</v>
      </c>
      <c r="D1839" s="6" t="s">
        <v>3161</v>
      </c>
    </row>
    <row r="1840" ht="22" customHeight="1" spans="1:4">
      <c r="A1840" s="6" t="s">
        <v>3869</v>
      </c>
      <c r="B1840" s="6" t="s">
        <v>3941</v>
      </c>
      <c r="C1840" s="6" t="s">
        <v>1599</v>
      </c>
      <c r="D1840" s="6" t="s">
        <v>1661</v>
      </c>
    </row>
    <row r="1841" ht="22" customHeight="1" spans="1:4">
      <c r="A1841" s="6" t="s">
        <v>3869</v>
      </c>
      <c r="B1841" s="6" t="s">
        <v>3942</v>
      </c>
      <c r="C1841" s="6" t="s">
        <v>1599</v>
      </c>
      <c r="D1841" s="6" t="s">
        <v>3943</v>
      </c>
    </row>
    <row r="1842" ht="22" customHeight="1" spans="1:4">
      <c r="A1842" s="6" t="s">
        <v>3869</v>
      </c>
      <c r="B1842" s="6" t="s">
        <v>3944</v>
      </c>
      <c r="C1842" s="6" t="s">
        <v>1570</v>
      </c>
      <c r="D1842" s="6" t="s">
        <v>1571</v>
      </c>
    </row>
    <row r="1843" ht="22" customHeight="1" spans="1:4">
      <c r="A1843" s="6" t="s">
        <v>3869</v>
      </c>
      <c r="B1843" s="6" t="s">
        <v>3945</v>
      </c>
      <c r="C1843" s="6" t="s">
        <v>1599</v>
      </c>
      <c r="D1843" s="6" t="s">
        <v>3946</v>
      </c>
    </row>
    <row r="1844" ht="22" customHeight="1" spans="1:4">
      <c r="A1844" s="6" t="s">
        <v>3869</v>
      </c>
      <c r="B1844" s="6" t="s">
        <v>3947</v>
      </c>
      <c r="C1844" s="6" t="s">
        <v>1576</v>
      </c>
      <c r="D1844" s="6" t="s">
        <v>1571</v>
      </c>
    </row>
    <row r="1845" ht="22" customHeight="1" spans="1:4">
      <c r="A1845" s="6" t="s">
        <v>3869</v>
      </c>
      <c r="B1845" s="6" t="s">
        <v>3948</v>
      </c>
      <c r="C1845" s="6" t="s">
        <v>1599</v>
      </c>
      <c r="D1845" s="6" t="s">
        <v>1661</v>
      </c>
    </row>
    <row r="1846" ht="22" customHeight="1" spans="1:4">
      <c r="A1846" s="6" t="s">
        <v>3869</v>
      </c>
      <c r="B1846" s="6" t="s">
        <v>3949</v>
      </c>
      <c r="C1846" s="6" t="s">
        <v>1599</v>
      </c>
      <c r="D1846" s="6" t="s">
        <v>3950</v>
      </c>
    </row>
    <row r="1847" ht="22" customHeight="1" spans="1:4">
      <c r="A1847" s="6" t="s">
        <v>3869</v>
      </c>
      <c r="B1847" s="6" t="s">
        <v>3951</v>
      </c>
      <c r="C1847" s="6" t="s">
        <v>1573</v>
      </c>
      <c r="D1847" s="6" t="s">
        <v>3567</v>
      </c>
    </row>
    <row r="1848" ht="22" customHeight="1" spans="1:4">
      <c r="A1848" s="6" t="s">
        <v>3869</v>
      </c>
      <c r="B1848" s="6" t="s">
        <v>3952</v>
      </c>
      <c r="C1848" s="6" t="s">
        <v>1573</v>
      </c>
      <c r="D1848" s="6" t="s">
        <v>910</v>
      </c>
    </row>
    <row r="1849" ht="22" customHeight="1" spans="1:4">
      <c r="A1849" s="6" t="s">
        <v>3869</v>
      </c>
      <c r="B1849" s="6" t="s">
        <v>3953</v>
      </c>
      <c r="C1849" s="6" t="s">
        <v>1573</v>
      </c>
      <c r="D1849" s="6" t="s">
        <v>3954</v>
      </c>
    </row>
    <row r="1850" ht="22" customHeight="1" spans="1:4">
      <c r="A1850" s="6" t="s">
        <v>3869</v>
      </c>
      <c r="B1850" s="6" t="s">
        <v>3955</v>
      </c>
      <c r="C1850" s="6" t="s">
        <v>1573</v>
      </c>
      <c r="D1850" s="6" t="s">
        <v>2898</v>
      </c>
    </row>
    <row r="1851" ht="22" customHeight="1" spans="1:4">
      <c r="A1851" s="6" t="s">
        <v>3869</v>
      </c>
      <c r="B1851" s="6" t="s">
        <v>3956</v>
      </c>
      <c r="C1851" s="6" t="s">
        <v>1573</v>
      </c>
      <c r="D1851" s="6" t="s">
        <v>2053</v>
      </c>
    </row>
    <row r="1852" ht="22" customHeight="1" spans="1:4">
      <c r="A1852" s="6" t="s">
        <v>3869</v>
      </c>
      <c r="B1852" s="6" t="s">
        <v>3957</v>
      </c>
      <c r="C1852" s="6" t="s">
        <v>1605</v>
      </c>
      <c r="D1852" s="6" t="s">
        <v>1649</v>
      </c>
    </row>
    <row r="1853" ht="22" customHeight="1" spans="1:4">
      <c r="A1853" s="6" t="s">
        <v>3869</v>
      </c>
      <c r="B1853" s="6" t="s">
        <v>3958</v>
      </c>
      <c r="C1853" s="6" t="s">
        <v>1573</v>
      </c>
      <c r="D1853" s="6" t="s">
        <v>1623</v>
      </c>
    </row>
    <row r="1854" ht="22" customHeight="1" spans="1:4">
      <c r="A1854" s="6" t="s">
        <v>3869</v>
      </c>
      <c r="B1854" s="6" t="s">
        <v>3959</v>
      </c>
      <c r="C1854" s="6" t="s">
        <v>1605</v>
      </c>
      <c r="D1854" s="6" t="s">
        <v>923</v>
      </c>
    </row>
    <row r="1855" ht="22" customHeight="1" spans="1:4">
      <c r="A1855" s="6" t="s">
        <v>3869</v>
      </c>
      <c r="B1855" s="6" t="s">
        <v>3960</v>
      </c>
      <c r="C1855" s="6" t="s">
        <v>1599</v>
      </c>
      <c r="D1855" s="6" t="s">
        <v>3961</v>
      </c>
    </row>
    <row r="1856" ht="22" customHeight="1" spans="1:4">
      <c r="A1856" s="6" t="s">
        <v>3869</v>
      </c>
      <c r="B1856" s="6" t="s">
        <v>3962</v>
      </c>
      <c r="C1856" s="6" t="s">
        <v>1605</v>
      </c>
      <c r="D1856" s="6" t="s">
        <v>1659</v>
      </c>
    </row>
    <row r="1857" ht="22" customHeight="1" spans="1:4">
      <c r="A1857" s="6" t="s">
        <v>3869</v>
      </c>
      <c r="B1857" s="6" t="s">
        <v>3963</v>
      </c>
      <c r="C1857" s="6" t="s">
        <v>1605</v>
      </c>
      <c r="D1857" s="6" t="s">
        <v>1636</v>
      </c>
    </row>
    <row r="1858" ht="22" customHeight="1" spans="1:4">
      <c r="A1858" s="6" t="s">
        <v>3869</v>
      </c>
      <c r="B1858" s="6" t="s">
        <v>3964</v>
      </c>
      <c r="C1858" s="6" t="s">
        <v>1605</v>
      </c>
      <c r="D1858" s="6" t="s">
        <v>1606</v>
      </c>
    </row>
    <row r="1859" ht="22" customHeight="1" spans="1:4">
      <c r="A1859" s="6" t="s">
        <v>3869</v>
      </c>
      <c r="B1859" s="6" t="s">
        <v>3965</v>
      </c>
      <c r="C1859" s="6" t="s">
        <v>1599</v>
      </c>
      <c r="D1859" s="6" t="s">
        <v>3966</v>
      </c>
    </row>
    <row r="1860" ht="22" customHeight="1" spans="1:4">
      <c r="A1860" s="6" t="s">
        <v>3869</v>
      </c>
      <c r="B1860" s="6" t="s">
        <v>3967</v>
      </c>
      <c r="C1860" s="6" t="s">
        <v>1605</v>
      </c>
      <c r="D1860" s="6" t="s">
        <v>1649</v>
      </c>
    </row>
    <row r="1861" ht="22" customHeight="1" spans="1:4">
      <c r="A1861" s="6" t="s">
        <v>3869</v>
      </c>
      <c r="B1861" s="6" t="s">
        <v>3968</v>
      </c>
      <c r="C1861" s="6" t="s">
        <v>1605</v>
      </c>
      <c r="D1861" s="6" t="s">
        <v>1651</v>
      </c>
    </row>
    <row r="1862" ht="22" customHeight="1" spans="1:4">
      <c r="A1862" s="6" t="s">
        <v>3869</v>
      </c>
      <c r="B1862" s="6" t="s">
        <v>3969</v>
      </c>
      <c r="C1862" s="6" t="s">
        <v>1599</v>
      </c>
      <c r="D1862" s="6" t="s">
        <v>1653</v>
      </c>
    </row>
    <row r="1863" ht="22" customHeight="1" spans="1:4">
      <c r="A1863" s="6" t="s">
        <v>3869</v>
      </c>
      <c r="B1863" s="6" t="s">
        <v>3970</v>
      </c>
      <c r="C1863" s="6" t="s">
        <v>1599</v>
      </c>
      <c r="D1863" s="6" t="s">
        <v>1655</v>
      </c>
    </row>
    <row r="1864" ht="22" customHeight="1" spans="1:4">
      <c r="A1864" s="6" t="s">
        <v>3869</v>
      </c>
      <c r="B1864" s="6" t="s">
        <v>3971</v>
      </c>
      <c r="C1864" s="6" t="s">
        <v>1605</v>
      </c>
      <c r="D1864" s="6" t="s">
        <v>1657</v>
      </c>
    </row>
    <row r="1865" ht="22" customHeight="1" spans="1:4">
      <c r="A1865" s="6" t="s">
        <v>3869</v>
      </c>
      <c r="B1865" s="6" t="s">
        <v>3972</v>
      </c>
      <c r="C1865" s="6" t="s">
        <v>1605</v>
      </c>
      <c r="D1865" s="6" t="s">
        <v>3161</v>
      </c>
    </row>
    <row r="1866" ht="22" customHeight="1" spans="1:4">
      <c r="A1866" s="6" t="s">
        <v>3869</v>
      </c>
      <c r="B1866" s="6" t="s">
        <v>3973</v>
      </c>
      <c r="C1866" s="6" t="s">
        <v>1599</v>
      </c>
      <c r="D1866" s="6" t="s">
        <v>1661</v>
      </c>
    </row>
    <row r="1867" ht="22" customHeight="1" spans="1:4">
      <c r="A1867" s="6" t="s">
        <v>3869</v>
      </c>
      <c r="B1867" s="6" t="s">
        <v>3974</v>
      </c>
      <c r="C1867" s="6" t="s">
        <v>1599</v>
      </c>
      <c r="D1867" s="6" t="s">
        <v>3975</v>
      </c>
    </row>
    <row r="1868" ht="22" customHeight="1" spans="1:4">
      <c r="A1868" s="6" t="s">
        <v>3869</v>
      </c>
      <c r="B1868" s="6" t="s">
        <v>3976</v>
      </c>
      <c r="C1868" s="6" t="s">
        <v>1570</v>
      </c>
      <c r="D1868" s="6" t="s">
        <v>1571</v>
      </c>
    </row>
    <row r="1869" ht="22" customHeight="1" spans="1:4">
      <c r="A1869" s="6" t="s">
        <v>3869</v>
      </c>
      <c r="B1869" s="6" t="s">
        <v>3977</v>
      </c>
      <c r="C1869" s="6" t="s">
        <v>1599</v>
      </c>
      <c r="D1869" s="6" t="s">
        <v>3978</v>
      </c>
    </row>
    <row r="1870" ht="22" customHeight="1" spans="1:4">
      <c r="A1870" s="6" t="s">
        <v>3869</v>
      </c>
      <c r="B1870" s="6" t="s">
        <v>3979</v>
      </c>
      <c r="C1870" s="6" t="s">
        <v>1576</v>
      </c>
      <c r="D1870" s="6" t="s">
        <v>1571</v>
      </c>
    </row>
    <row r="1871" ht="22" customHeight="1" spans="1:4">
      <c r="A1871" s="6" t="s">
        <v>3869</v>
      </c>
      <c r="B1871" s="6" t="s">
        <v>3980</v>
      </c>
      <c r="C1871" s="6" t="s">
        <v>1599</v>
      </c>
      <c r="D1871" s="6" t="s">
        <v>1661</v>
      </c>
    </row>
    <row r="1872" ht="22" customHeight="1" spans="1:4">
      <c r="A1872" s="6" t="s">
        <v>3869</v>
      </c>
      <c r="B1872" s="6" t="s">
        <v>3981</v>
      </c>
      <c r="C1872" s="6" t="s">
        <v>1599</v>
      </c>
      <c r="D1872" s="6" t="s">
        <v>3982</v>
      </c>
    </row>
    <row r="1873" ht="22" customHeight="1" spans="1:4">
      <c r="A1873" s="6" t="s">
        <v>3869</v>
      </c>
      <c r="B1873" s="6" t="s">
        <v>3983</v>
      </c>
      <c r="C1873" s="6" t="s">
        <v>1573</v>
      </c>
      <c r="D1873" s="6" t="s">
        <v>3984</v>
      </c>
    </row>
    <row r="1874" ht="22" customHeight="1" spans="1:4">
      <c r="A1874" s="6" t="s">
        <v>3869</v>
      </c>
      <c r="B1874" s="6" t="s">
        <v>3985</v>
      </c>
      <c r="C1874" s="6" t="s">
        <v>1573</v>
      </c>
      <c r="D1874" s="6" t="s">
        <v>922</v>
      </c>
    </row>
    <row r="1875" ht="22" customHeight="1" spans="1:4">
      <c r="A1875" s="6" t="s">
        <v>3869</v>
      </c>
      <c r="B1875" s="6" t="s">
        <v>3986</v>
      </c>
      <c r="C1875" s="6" t="s">
        <v>1573</v>
      </c>
      <c r="D1875" s="6" t="s">
        <v>3440</v>
      </c>
    </row>
    <row r="1876" ht="22" customHeight="1" spans="1:4">
      <c r="A1876" s="6" t="s">
        <v>3869</v>
      </c>
      <c r="B1876" s="6" t="s">
        <v>3987</v>
      </c>
      <c r="C1876" s="6" t="s">
        <v>1573</v>
      </c>
      <c r="D1876" s="6" t="s">
        <v>2342</v>
      </c>
    </row>
    <row r="1877" ht="22" customHeight="1" spans="1:4">
      <c r="A1877" s="6" t="s">
        <v>3869</v>
      </c>
      <c r="B1877" s="6" t="s">
        <v>3988</v>
      </c>
      <c r="C1877" s="6" t="s">
        <v>1573</v>
      </c>
      <c r="D1877" s="6" t="s">
        <v>1593</v>
      </c>
    </row>
    <row r="1878" ht="22" customHeight="1" spans="1:4">
      <c r="A1878" s="6" t="s">
        <v>3869</v>
      </c>
      <c r="B1878" s="6" t="s">
        <v>3989</v>
      </c>
      <c r="C1878" s="6" t="s">
        <v>1605</v>
      </c>
      <c r="D1878" s="6" t="s">
        <v>1688</v>
      </c>
    </row>
    <row r="1879" ht="22" customHeight="1" spans="1:4">
      <c r="A1879" s="6" t="s">
        <v>3869</v>
      </c>
      <c r="B1879" s="6" t="s">
        <v>3990</v>
      </c>
      <c r="C1879" s="6" t="s">
        <v>1573</v>
      </c>
      <c r="D1879" s="6" t="s">
        <v>1623</v>
      </c>
    </row>
    <row r="1880" ht="22" customHeight="1" spans="1:4">
      <c r="A1880" s="6" t="s">
        <v>3869</v>
      </c>
      <c r="B1880" s="6" t="s">
        <v>3991</v>
      </c>
      <c r="C1880" s="6" t="s">
        <v>1605</v>
      </c>
      <c r="D1880" s="6" t="s">
        <v>2002</v>
      </c>
    </row>
    <row r="1881" ht="22" customHeight="1" spans="1:4">
      <c r="A1881" s="6" t="s">
        <v>3869</v>
      </c>
      <c r="B1881" s="6" t="s">
        <v>3992</v>
      </c>
      <c r="C1881" s="6" t="s">
        <v>1599</v>
      </c>
      <c r="D1881" s="6" t="s">
        <v>3993</v>
      </c>
    </row>
    <row r="1882" ht="22" customHeight="1" spans="1:4">
      <c r="A1882" s="6" t="s">
        <v>3869</v>
      </c>
      <c r="B1882" s="6" t="s">
        <v>3994</v>
      </c>
      <c r="C1882" s="6" t="s">
        <v>1573</v>
      </c>
      <c r="D1882" s="6" t="s">
        <v>1718</v>
      </c>
    </row>
    <row r="1883" ht="22" customHeight="1" spans="1:4">
      <c r="A1883" s="6" t="s">
        <v>3869</v>
      </c>
      <c r="B1883" s="6" t="s">
        <v>3995</v>
      </c>
      <c r="C1883" s="6" t="s">
        <v>1605</v>
      </c>
      <c r="D1883" s="6" t="s">
        <v>1778</v>
      </c>
    </row>
    <row r="1884" ht="22" customHeight="1" spans="1:4">
      <c r="A1884" s="6" t="s">
        <v>3869</v>
      </c>
      <c r="B1884" s="6" t="s">
        <v>3996</v>
      </c>
      <c r="C1884" s="6" t="s">
        <v>1605</v>
      </c>
      <c r="D1884" s="6" t="s">
        <v>1636</v>
      </c>
    </row>
    <row r="1885" ht="22" customHeight="1" spans="1:4">
      <c r="A1885" s="6" t="s">
        <v>3869</v>
      </c>
      <c r="B1885" s="6" t="s">
        <v>3997</v>
      </c>
      <c r="C1885" s="6" t="s">
        <v>1605</v>
      </c>
      <c r="D1885" s="6" t="s">
        <v>1606</v>
      </c>
    </row>
    <row r="1886" ht="22" customHeight="1" spans="1:4">
      <c r="A1886" s="6" t="s">
        <v>3869</v>
      </c>
      <c r="B1886" s="6" t="s">
        <v>3998</v>
      </c>
      <c r="C1886" s="6" t="s">
        <v>1605</v>
      </c>
      <c r="D1886" s="6" t="s">
        <v>1659</v>
      </c>
    </row>
    <row r="1887" ht="22" customHeight="1" spans="1:4">
      <c r="A1887" s="6" t="s">
        <v>3869</v>
      </c>
      <c r="B1887" s="6" t="s">
        <v>3999</v>
      </c>
      <c r="C1887" s="6" t="s">
        <v>1599</v>
      </c>
      <c r="D1887" s="6" t="s">
        <v>4000</v>
      </c>
    </row>
    <row r="1888" ht="22" customHeight="1" spans="1:4">
      <c r="A1888" s="6" t="s">
        <v>3869</v>
      </c>
      <c r="B1888" s="6" t="s">
        <v>4001</v>
      </c>
      <c r="C1888" s="6" t="s">
        <v>1605</v>
      </c>
      <c r="D1888" s="6" t="s">
        <v>1649</v>
      </c>
    </row>
    <row r="1889" ht="22" customHeight="1" spans="1:4">
      <c r="A1889" s="6" t="s">
        <v>3869</v>
      </c>
      <c r="B1889" s="6" t="s">
        <v>4002</v>
      </c>
      <c r="C1889" s="6" t="s">
        <v>1605</v>
      </c>
      <c r="D1889" s="6" t="s">
        <v>1651</v>
      </c>
    </row>
    <row r="1890" ht="22" customHeight="1" spans="1:4">
      <c r="A1890" s="6" t="s">
        <v>3869</v>
      </c>
      <c r="B1890" s="6" t="s">
        <v>4003</v>
      </c>
      <c r="C1890" s="6" t="s">
        <v>1599</v>
      </c>
      <c r="D1890" s="6" t="s">
        <v>1653</v>
      </c>
    </row>
    <row r="1891" ht="22" customHeight="1" spans="1:4">
      <c r="A1891" s="6" t="s">
        <v>3869</v>
      </c>
      <c r="B1891" s="6" t="s">
        <v>4004</v>
      </c>
      <c r="C1891" s="6" t="s">
        <v>1599</v>
      </c>
      <c r="D1891" s="6" t="s">
        <v>1655</v>
      </c>
    </row>
    <row r="1892" ht="22" customHeight="1" spans="1:4">
      <c r="A1892" s="6" t="s">
        <v>3869</v>
      </c>
      <c r="B1892" s="6" t="s">
        <v>4005</v>
      </c>
      <c r="C1892" s="6" t="s">
        <v>1605</v>
      </c>
      <c r="D1892" s="6" t="s">
        <v>1657</v>
      </c>
    </row>
    <row r="1893" ht="22" customHeight="1" spans="1:4">
      <c r="A1893" s="6" t="s">
        <v>3869</v>
      </c>
      <c r="B1893" s="6" t="s">
        <v>4006</v>
      </c>
      <c r="C1893" s="6" t="s">
        <v>1605</v>
      </c>
      <c r="D1893" s="6" t="s">
        <v>3161</v>
      </c>
    </row>
    <row r="1894" ht="22" customHeight="1" spans="1:4">
      <c r="A1894" s="6" t="s">
        <v>3869</v>
      </c>
      <c r="B1894" s="6" t="s">
        <v>4007</v>
      </c>
      <c r="C1894" s="6" t="s">
        <v>1599</v>
      </c>
      <c r="D1894" s="6" t="s">
        <v>1661</v>
      </c>
    </row>
    <row r="1895" ht="22" customHeight="1" spans="1:4">
      <c r="A1895" s="6" t="s">
        <v>3869</v>
      </c>
      <c r="B1895" s="6" t="s">
        <v>4008</v>
      </c>
      <c r="C1895" s="6" t="s">
        <v>1599</v>
      </c>
      <c r="D1895" s="6" t="s">
        <v>4009</v>
      </c>
    </row>
    <row r="1896" ht="22" customHeight="1" spans="1:4">
      <c r="A1896" s="6" t="s">
        <v>3869</v>
      </c>
      <c r="B1896" s="6" t="s">
        <v>4010</v>
      </c>
      <c r="C1896" s="6" t="s">
        <v>1570</v>
      </c>
      <c r="D1896" s="6" t="s">
        <v>1571</v>
      </c>
    </row>
    <row r="1897" ht="22" customHeight="1" spans="1:4">
      <c r="A1897" s="6" t="s">
        <v>3869</v>
      </c>
      <c r="B1897" s="6" t="s">
        <v>4011</v>
      </c>
      <c r="C1897" s="6" t="s">
        <v>1599</v>
      </c>
      <c r="D1897" s="6" t="s">
        <v>4012</v>
      </c>
    </row>
    <row r="1898" ht="22" customHeight="1" spans="1:4">
      <c r="A1898" s="6" t="s">
        <v>3869</v>
      </c>
      <c r="B1898" s="6" t="s">
        <v>4013</v>
      </c>
      <c r="C1898" s="6" t="s">
        <v>1599</v>
      </c>
      <c r="D1898" s="6" t="s">
        <v>4014</v>
      </c>
    </row>
    <row r="1899" ht="22" customHeight="1" spans="1:4">
      <c r="A1899" s="6" t="s">
        <v>3869</v>
      </c>
      <c r="B1899" s="6" t="s">
        <v>4015</v>
      </c>
      <c r="C1899" s="6" t="s">
        <v>1573</v>
      </c>
      <c r="D1899" s="6" t="s">
        <v>3569</v>
      </c>
    </row>
    <row r="1900" ht="22" customHeight="1" spans="1:4">
      <c r="A1900" s="6" t="s">
        <v>3869</v>
      </c>
      <c r="B1900" s="6" t="s">
        <v>4016</v>
      </c>
      <c r="C1900" s="6" t="s">
        <v>1573</v>
      </c>
      <c r="D1900" s="6" t="s">
        <v>1587</v>
      </c>
    </row>
    <row r="1901" ht="22" customHeight="1" spans="1:4">
      <c r="A1901" s="6" t="s">
        <v>3869</v>
      </c>
      <c r="B1901" s="6" t="s">
        <v>4017</v>
      </c>
      <c r="C1901" s="6" t="s">
        <v>1573</v>
      </c>
      <c r="D1901" s="6" t="s">
        <v>1850</v>
      </c>
    </row>
    <row r="1902" ht="22" customHeight="1" spans="1:4">
      <c r="A1902" s="6" t="s">
        <v>3869</v>
      </c>
      <c r="B1902" s="6" t="s">
        <v>4018</v>
      </c>
      <c r="C1902" s="6" t="s">
        <v>1573</v>
      </c>
      <c r="D1902" s="6" t="s">
        <v>2310</v>
      </c>
    </row>
    <row r="1903" ht="22" customHeight="1" spans="1:4">
      <c r="A1903" s="6" t="s">
        <v>3869</v>
      </c>
      <c r="B1903" s="6" t="s">
        <v>4019</v>
      </c>
      <c r="C1903" s="6" t="s">
        <v>1573</v>
      </c>
      <c r="D1903" s="6" t="s">
        <v>2053</v>
      </c>
    </row>
    <row r="1904" ht="22" customHeight="1" spans="1:4">
      <c r="A1904" s="6" t="s">
        <v>3869</v>
      </c>
      <c r="B1904" s="6" t="s">
        <v>4020</v>
      </c>
      <c r="C1904" s="6" t="s">
        <v>1605</v>
      </c>
      <c r="D1904" s="6" t="s">
        <v>1688</v>
      </c>
    </row>
    <row r="1905" ht="22" customHeight="1" spans="1:4">
      <c r="A1905" s="6" t="s">
        <v>3869</v>
      </c>
      <c r="B1905" s="6" t="s">
        <v>4021</v>
      </c>
      <c r="C1905" s="6" t="s">
        <v>1573</v>
      </c>
      <c r="D1905" s="6" t="s">
        <v>275</v>
      </c>
    </row>
    <row r="1906" ht="22" customHeight="1" spans="1:4">
      <c r="A1906" s="6" t="s">
        <v>3869</v>
      </c>
      <c r="B1906" s="6" t="s">
        <v>4022</v>
      </c>
      <c r="C1906" s="6" t="s">
        <v>1605</v>
      </c>
      <c r="D1906" s="6" t="s">
        <v>1738</v>
      </c>
    </row>
    <row r="1907" ht="22" customHeight="1" spans="1:4">
      <c r="A1907" s="6" t="s">
        <v>3869</v>
      </c>
      <c r="B1907" s="6" t="s">
        <v>4023</v>
      </c>
      <c r="C1907" s="6" t="s">
        <v>1599</v>
      </c>
      <c r="D1907" s="6" t="s">
        <v>4024</v>
      </c>
    </row>
    <row r="1908" ht="22" customHeight="1" spans="1:4">
      <c r="A1908" s="6" t="s">
        <v>3869</v>
      </c>
      <c r="B1908" s="6" t="s">
        <v>4025</v>
      </c>
      <c r="C1908" s="6" t="s">
        <v>1605</v>
      </c>
      <c r="D1908" s="6" t="s">
        <v>3081</v>
      </c>
    </row>
    <row r="1909" ht="22" customHeight="1" spans="1:4">
      <c r="A1909" s="6" t="s">
        <v>3869</v>
      </c>
      <c r="B1909" s="6" t="s">
        <v>4026</v>
      </c>
      <c r="C1909" s="6" t="s">
        <v>1605</v>
      </c>
      <c r="D1909" s="6" t="s">
        <v>1701</v>
      </c>
    </row>
    <row r="1910" ht="22" customHeight="1" spans="1:4">
      <c r="A1910" s="6" t="s">
        <v>3869</v>
      </c>
      <c r="B1910" s="6" t="s">
        <v>4027</v>
      </c>
      <c r="C1910" s="6" t="s">
        <v>1714</v>
      </c>
      <c r="D1910" s="6" t="s">
        <v>1715</v>
      </c>
    </row>
    <row r="1911" ht="22" customHeight="1" spans="1:4">
      <c r="A1911" s="6" t="s">
        <v>3869</v>
      </c>
      <c r="B1911" s="6" t="s">
        <v>4028</v>
      </c>
      <c r="C1911" s="6" t="s">
        <v>1605</v>
      </c>
      <c r="D1911" s="6" t="s">
        <v>1636</v>
      </c>
    </row>
    <row r="1912" ht="22" customHeight="1" spans="1:4">
      <c r="A1912" s="6" t="s">
        <v>3869</v>
      </c>
      <c r="B1912" s="6" t="s">
        <v>4029</v>
      </c>
      <c r="C1912" s="6" t="s">
        <v>1605</v>
      </c>
      <c r="D1912" s="6" t="s">
        <v>1606</v>
      </c>
    </row>
    <row r="1913" ht="22" customHeight="1" spans="1:4">
      <c r="A1913" s="6" t="s">
        <v>3869</v>
      </c>
      <c r="B1913" s="6" t="s">
        <v>4030</v>
      </c>
      <c r="C1913" s="6" t="s">
        <v>1599</v>
      </c>
      <c r="D1913" s="6" t="s">
        <v>4031</v>
      </c>
    </row>
    <row r="1914" ht="22" customHeight="1" spans="1:4">
      <c r="A1914" s="6" t="s">
        <v>3869</v>
      </c>
      <c r="B1914" s="6" t="s">
        <v>4032</v>
      </c>
      <c r="C1914" s="6" t="s">
        <v>1605</v>
      </c>
      <c r="D1914" s="6" t="s">
        <v>1649</v>
      </c>
    </row>
    <row r="1915" ht="22" customHeight="1" spans="1:4">
      <c r="A1915" s="6" t="s">
        <v>3869</v>
      </c>
      <c r="B1915" s="6" t="s">
        <v>4033</v>
      </c>
      <c r="C1915" s="6" t="s">
        <v>1605</v>
      </c>
      <c r="D1915" s="6" t="s">
        <v>1651</v>
      </c>
    </row>
    <row r="1916" ht="22" customHeight="1" spans="1:4">
      <c r="A1916" s="6" t="s">
        <v>3869</v>
      </c>
      <c r="B1916" s="6" t="s">
        <v>4034</v>
      </c>
      <c r="C1916" s="6" t="s">
        <v>1599</v>
      </c>
      <c r="D1916" s="6" t="s">
        <v>1653</v>
      </c>
    </row>
    <row r="1917" ht="22" customHeight="1" spans="1:4">
      <c r="A1917" s="6" t="s">
        <v>3869</v>
      </c>
      <c r="B1917" s="6" t="s">
        <v>4035</v>
      </c>
      <c r="C1917" s="6" t="s">
        <v>1599</v>
      </c>
      <c r="D1917" s="6" t="s">
        <v>1655</v>
      </c>
    </row>
    <row r="1918" ht="22" customHeight="1" spans="1:4">
      <c r="A1918" s="6" t="s">
        <v>3869</v>
      </c>
      <c r="B1918" s="6" t="s">
        <v>4036</v>
      </c>
      <c r="C1918" s="6" t="s">
        <v>1605</v>
      </c>
      <c r="D1918" s="6" t="s">
        <v>1657</v>
      </c>
    </row>
    <row r="1919" ht="22" customHeight="1" spans="1:4">
      <c r="A1919" s="6" t="s">
        <v>3869</v>
      </c>
      <c r="B1919" s="6" t="s">
        <v>4037</v>
      </c>
      <c r="C1919" s="6" t="s">
        <v>1605</v>
      </c>
      <c r="D1919" s="6" t="s">
        <v>3161</v>
      </c>
    </row>
    <row r="1920" ht="22" customHeight="1" spans="1:4">
      <c r="A1920" s="6" t="s">
        <v>3869</v>
      </c>
      <c r="B1920" s="6" t="s">
        <v>4038</v>
      </c>
      <c r="C1920" s="6" t="s">
        <v>1599</v>
      </c>
      <c r="D1920" s="6" t="s">
        <v>1661</v>
      </c>
    </row>
    <row r="1921" ht="22" customHeight="1" spans="1:4">
      <c r="A1921" s="6" t="s">
        <v>3869</v>
      </c>
      <c r="B1921" s="6" t="s">
        <v>4039</v>
      </c>
      <c r="C1921" s="6" t="s">
        <v>1599</v>
      </c>
      <c r="D1921" s="6" t="s">
        <v>4040</v>
      </c>
    </row>
    <row r="1922" ht="22" customHeight="1" spans="1:4">
      <c r="A1922" s="6" t="s">
        <v>3869</v>
      </c>
      <c r="B1922" s="6" t="s">
        <v>4041</v>
      </c>
      <c r="C1922" s="6" t="s">
        <v>1570</v>
      </c>
      <c r="D1922" s="6" t="s">
        <v>1571</v>
      </c>
    </row>
    <row r="1923" ht="22" customHeight="1" spans="1:4">
      <c r="A1923" s="6" t="s">
        <v>3869</v>
      </c>
      <c r="B1923" s="6" t="s">
        <v>4042</v>
      </c>
      <c r="C1923" s="6" t="s">
        <v>1599</v>
      </c>
      <c r="D1923" s="6" t="s">
        <v>4043</v>
      </c>
    </row>
    <row r="1924" ht="22" customHeight="1" spans="1:4">
      <c r="A1924" s="6" t="s">
        <v>3869</v>
      </c>
      <c r="B1924" s="6" t="s">
        <v>4044</v>
      </c>
      <c r="C1924" s="6" t="s">
        <v>1599</v>
      </c>
      <c r="D1924" s="6" t="s">
        <v>4045</v>
      </c>
    </row>
    <row r="1925" ht="22" customHeight="1" spans="1:4">
      <c r="A1925" s="6" t="s">
        <v>3869</v>
      </c>
      <c r="B1925" s="6" t="s">
        <v>4046</v>
      </c>
      <c r="C1925" s="6" t="s">
        <v>1573</v>
      </c>
      <c r="D1925" s="6" t="s">
        <v>3628</v>
      </c>
    </row>
    <row r="1926" ht="22" customHeight="1" spans="1:4">
      <c r="A1926" s="6" t="s">
        <v>3869</v>
      </c>
      <c r="B1926" s="6" t="s">
        <v>4047</v>
      </c>
      <c r="C1926" s="6" t="s">
        <v>1573</v>
      </c>
      <c r="D1926" s="6" t="s">
        <v>1580</v>
      </c>
    </row>
    <row r="1927" ht="22" customHeight="1" spans="1:4">
      <c r="A1927" s="6" t="s">
        <v>3869</v>
      </c>
      <c r="B1927" s="6" t="s">
        <v>4048</v>
      </c>
      <c r="C1927" s="6" t="s">
        <v>1573</v>
      </c>
      <c r="D1927" s="6" t="s">
        <v>4049</v>
      </c>
    </row>
    <row r="1928" ht="22" customHeight="1" spans="1:4">
      <c r="A1928" s="6" t="s">
        <v>3869</v>
      </c>
      <c r="B1928" s="6" t="s">
        <v>4050</v>
      </c>
      <c r="C1928" s="6" t="s">
        <v>1573</v>
      </c>
      <c r="D1928" s="6" t="s">
        <v>1775</v>
      </c>
    </row>
    <row r="1929" ht="22" customHeight="1" spans="1:4">
      <c r="A1929" s="6" t="s">
        <v>3869</v>
      </c>
      <c r="B1929" s="6" t="s">
        <v>4051</v>
      </c>
      <c r="C1929" s="6" t="s">
        <v>1573</v>
      </c>
      <c r="D1929" s="6" t="s">
        <v>493</v>
      </c>
    </row>
    <row r="1930" ht="22" customHeight="1" spans="1:4">
      <c r="A1930" s="6" t="s">
        <v>3869</v>
      </c>
      <c r="B1930" s="6" t="s">
        <v>4052</v>
      </c>
      <c r="C1930" s="6" t="s">
        <v>1605</v>
      </c>
      <c r="D1930" s="6" t="s">
        <v>2123</v>
      </c>
    </row>
    <row r="1931" ht="22" customHeight="1" spans="1:4">
      <c r="A1931" s="6" t="s">
        <v>3869</v>
      </c>
      <c r="B1931" s="6" t="s">
        <v>4053</v>
      </c>
      <c r="C1931" s="6" t="s">
        <v>1573</v>
      </c>
      <c r="D1931" s="6" t="s">
        <v>1623</v>
      </c>
    </row>
    <row r="1932" ht="22" customHeight="1" spans="1:4">
      <c r="A1932" s="6" t="s">
        <v>3869</v>
      </c>
      <c r="B1932" s="6" t="s">
        <v>4054</v>
      </c>
      <c r="C1932" s="6" t="s">
        <v>1605</v>
      </c>
      <c r="D1932" s="6" t="s">
        <v>943</v>
      </c>
    </row>
    <row r="1933" ht="22" customHeight="1" spans="1:4">
      <c r="A1933" s="6" t="s">
        <v>3869</v>
      </c>
      <c r="B1933" s="6" t="s">
        <v>4055</v>
      </c>
      <c r="C1933" s="6" t="s">
        <v>1599</v>
      </c>
      <c r="D1933" s="6" t="s">
        <v>4056</v>
      </c>
    </row>
    <row r="1934" ht="22" customHeight="1" spans="1:4">
      <c r="A1934" s="6" t="s">
        <v>3869</v>
      </c>
      <c r="B1934" s="6" t="s">
        <v>4057</v>
      </c>
      <c r="C1934" s="6" t="s">
        <v>1605</v>
      </c>
      <c r="D1934" s="6" t="s">
        <v>3081</v>
      </c>
    </row>
    <row r="1935" ht="22" customHeight="1" spans="1:4">
      <c r="A1935" s="6" t="s">
        <v>3869</v>
      </c>
      <c r="B1935" s="6" t="s">
        <v>4058</v>
      </c>
      <c r="C1935" s="6" t="s">
        <v>1605</v>
      </c>
      <c r="D1935" s="6" t="s">
        <v>2385</v>
      </c>
    </row>
    <row r="1936" ht="22" customHeight="1" spans="1:4">
      <c r="A1936" s="6" t="s">
        <v>3869</v>
      </c>
      <c r="B1936" s="6" t="s">
        <v>4059</v>
      </c>
      <c r="C1936" s="6" t="s">
        <v>1605</v>
      </c>
      <c r="D1936" s="6" t="s">
        <v>1659</v>
      </c>
    </row>
    <row r="1937" ht="22" customHeight="1" spans="1:4">
      <c r="A1937" s="6" t="s">
        <v>3869</v>
      </c>
      <c r="B1937" s="6" t="s">
        <v>4060</v>
      </c>
      <c r="C1937" s="6" t="s">
        <v>1605</v>
      </c>
      <c r="D1937" s="6" t="s">
        <v>1636</v>
      </c>
    </row>
    <row r="1938" ht="22" customHeight="1" spans="1:4">
      <c r="A1938" s="6" t="s">
        <v>3869</v>
      </c>
      <c r="B1938" s="6" t="s">
        <v>4061</v>
      </c>
      <c r="C1938" s="6" t="s">
        <v>1605</v>
      </c>
      <c r="D1938" s="6" t="s">
        <v>1606</v>
      </c>
    </row>
    <row r="1939" ht="22" customHeight="1" spans="1:4">
      <c r="A1939" s="6" t="s">
        <v>3869</v>
      </c>
      <c r="B1939" s="6" t="s">
        <v>4062</v>
      </c>
      <c r="C1939" s="6" t="s">
        <v>1599</v>
      </c>
      <c r="D1939" s="6" t="s">
        <v>4063</v>
      </c>
    </row>
    <row r="1940" ht="22" customHeight="1" spans="1:4">
      <c r="A1940" s="6" t="s">
        <v>3869</v>
      </c>
      <c r="B1940" s="6" t="s">
        <v>4064</v>
      </c>
      <c r="C1940" s="6" t="s">
        <v>1605</v>
      </c>
      <c r="D1940" s="6" t="s">
        <v>1649</v>
      </c>
    </row>
    <row r="1941" ht="22" customHeight="1" spans="1:4">
      <c r="A1941" s="6" t="s">
        <v>3869</v>
      </c>
      <c r="B1941" s="6" t="s">
        <v>4065</v>
      </c>
      <c r="C1941" s="6" t="s">
        <v>1605</v>
      </c>
      <c r="D1941" s="6" t="s">
        <v>1651</v>
      </c>
    </row>
    <row r="1942" ht="22" customHeight="1" spans="1:4">
      <c r="A1942" s="6" t="s">
        <v>3869</v>
      </c>
      <c r="B1942" s="6" t="s">
        <v>4066</v>
      </c>
      <c r="C1942" s="6" t="s">
        <v>1599</v>
      </c>
      <c r="D1942" s="6" t="s">
        <v>1653</v>
      </c>
    </row>
    <row r="1943" ht="22" customHeight="1" spans="1:4">
      <c r="A1943" s="6" t="s">
        <v>3869</v>
      </c>
      <c r="B1943" s="6" t="s">
        <v>4067</v>
      </c>
      <c r="C1943" s="6" t="s">
        <v>1599</v>
      </c>
      <c r="D1943" s="6" t="s">
        <v>1655</v>
      </c>
    </row>
    <row r="1944" ht="22" customHeight="1" spans="1:4">
      <c r="A1944" s="6" t="s">
        <v>3869</v>
      </c>
      <c r="B1944" s="6" t="s">
        <v>4068</v>
      </c>
      <c r="C1944" s="6" t="s">
        <v>1605</v>
      </c>
      <c r="D1944" s="6" t="s">
        <v>1657</v>
      </c>
    </row>
    <row r="1945" ht="22" customHeight="1" spans="1:4">
      <c r="A1945" s="6" t="s">
        <v>3869</v>
      </c>
      <c r="B1945" s="6" t="s">
        <v>4069</v>
      </c>
      <c r="C1945" s="6" t="s">
        <v>1605</v>
      </c>
      <c r="D1945" s="6" t="s">
        <v>3161</v>
      </c>
    </row>
    <row r="1946" ht="22" customHeight="1" spans="1:4">
      <c r="A1946" s="6" t="s">
        <v>3869</v>
      </c>
      <c r="B1946" s="6" t="s">
        <v>4070</v>
      </c>
      <c r="C1946" s="6" t="s">
        <v>1599</v>
      </c>
      <c r="D1946" s="6" t="s">
        <v>1661</v>
      </c>
    </row>
    <row r="1947" ht="22" customHeight="1" spans="1:4">
      <c r="A1947" s="6" t="s">
        <v>3869</v>
      </c>
      <c r="B1947" s="6" t="s">
        <v>4071</v>
      </c>
      <c r="C1947" s="6" t="s">
        <v>1599</v>
      </c>
      <c r="D1947" s="6" t="s">
        <v>4072</v>
      </c>
    </row>
    <row r="1948" ht="22" customHeight="1" spans="1:4">
      <c r="A1948" s="6" t="s">
        <v>3869</v>
      </c>
      <c r="B1948" s="6" t="s">
        <v>4073</v>
      </c>
      <c r="C1948" s="6" t="s">
        <v>1570</v>
      </c>
      <c r="D1948" s="6" t="s">
        <v>1571</v>
      </c>
    </row>
    <row r="1949" ht="22" customHeight="1" spans="1:4">
      <c r="A1949" s="6" t="s">
        <v>3869</v>
      </c>
      <c r="B1949" s="6" t="s">
        <v>4074</v>
      </c>
      <c r="C1949" s="6" t="s">
        <v>1599</v>
      </c>
      <c r="D1949" s="6" t="s">
        <v>4075</v>
      </c>
    </row>
    <row r="1950" ht="22" customHeight="1" spans="1:4">
      <c r="A1950" s="6" t="s">
        <v>3869</v>
      </c>
      <c r="B1950" s="6" t="s">
        <v>4076</v>
      </c>
      <c r="C1950" s="6" t="s">
        <v>1576</v>
      </c>
      <c r="D1950" s="6" t="s">
        <v>1571</v>
      </c>
    </row>
    <row r="1951" ht="22" customHeight="1" spans="1:4">
      <c r="A1951" s="6" t="s">
        <v>3869</v>
      </c>
      <c r="B1951" s="6" t="s">
        <v>4077</v>
      </c>
      <c r="C1951" s="6" t="s">
        <v>1599</v>
      </c>
      <c r="D1951" s="6" t="s">
        <v>1661</v>
      </c>
    </row>
    <row r="1952" ht="22" customHeight="1" spans="1:4">
      <c r="A1952" s="6" t="s">
        <v>3869</v>
      </c>
      <c r="B1952" s="6" t="s">
        <v>4078</v>
      </c>
      <c r="C1952" s="6" t="s">
        <v>1599</v>
      </c>
      <c r="D1952" s="6" t="s">
        <v>1655</v>
      </c>
    </row>
    <row r="1953" ht="22" customHeight="1" spans="1:4">
      <c r="A1953" s="6" t="s">
        <v>3869</v>
      </c>
      <c r="B1953" s="6" t="s">
        <v>4079</v>
      </c>
      <c r="C1953" s="6" t="s">
        <v>1599</v>
      </c>
      <c r="D1953" s="6" t="s">
        <v>4080</v>
      </c>
    </row>
    <row r="1954" ht="22" customHeight="1" spans="1:4">
      <c r="A1954" s="6" t="s">
        <v>3869</v>
      </c>
      <c r="B1954" s="6" t="s">
        <v>4081</v>
      </c>
      <c r="C1954" s="6" t="s">
        <v>1573</v>
      </c>
      <c r="D1954" s="6" t="s">
        <v>4082</v>
      </c>
    </row>
    <row r="1955" ht="22" customHeight="1" spans="1:4">
      <c r="A1955" s="6" t="s">
        <v>3869</v>
      </c>
      <c r="B1955" s="6" t="s">
        <v>4083</v>
      </c>
      <c r="C1955" s="6" t="s">
        <v>1573</v>
      </c>
      <c r="D1955" s="6" t="s">
        <v>1574</v>
      </c>
    </row>
    <row r="1956" ht="22" customHeight="1" spans="1:4">
      <c r="A1956" s="6" t="s">
        <v>3869</v>
      </c>
      <c r="B1956" s="6" t="s">
        <v>4084</v>
      </c>
      <c r="C1956" s="6" t="s">
        <v>1573</v>
      </c>
      <c r="D1956" s="6" t="s">
        <v>4085</v>
      </c>
    </row>
    <row r="1957" ht="22" customHeight="1" spans="1:4">
      <c r="A1957" s="6" t="s">
        <v>3869</v>
      </c>
      <c r="B1957" s="6" t="s">
        <v>4086</v>
      </c>
      <c r="C1957" s="6" t="s">
        <v>1573</v>
      </c>
      <c r="D1957" s="6" t="s">
        <v>4087</v>
      </c>
    </row>
    <row r="1958" ht="22" customHeight="1" spans="1:4">
      <c r="A1958" s="6" t="s">
        <v>3869</v>
      </c>
      <c r="B1958" s="6" t="s">
        <v>4088</v>
      </c>
      <c r="C1958" s="6" t="s">
        <v>1573</v>
      </c>
      <c r="D1958" s="6" t="s">
        <v>3096</v>
      </c>
    </row>
    <row r="1959" ht="22" customHeight="1" spans="1:4">
      <c r="A1959" s="6" t="s">
        <v>3869</v>
      </c>
      <c r="B1959" s="6" t="s">
        <v>4089</v>
      </c>
      <c r="C1959" s="6" t="s">
        <v>1605</v>
      </c>
      <c r="D1959" s="6" t="s">
        <v>1631</v>
      </c>
    </row>
    <row r="1960" ht="22" customHeight="1" spans="1:4">
      <c r="A1960" s="6" t="s">
        <v>3869</v>
      </c>
      <c r="B1960" s="6" t="s">
        <v>4090</v>
      </c>
      <c r="C1960" s="6" t="s">
        <v>1573</v>
      </c>
      <c r="D1960" s="6" t="s">
        <v>1623</v>
      </c>
    </row>
    <row r="1961" ht="22" customHeight="1" spans="1:4">
      <c r="A1961" s="6" t="s">
        <v>3869</v>
      </c>
      <c r="B1961" s="6" t="s">
        <v>4091</v>
      </c>
      <c r="C1961" s="6" t="s">
        <v>1605</v>
      </c>
      <c r="D1961" s="6" t="s">
        <v>1738</v>
      </c>
    </row>
    <row r="1962" ht="22" customHeight="1" spans="1:4">
      <c r="A1962" s="6" t="s">
        <v>3869</v>
      </c>
      <c r="B1962" s="6" t="s">
        <v>4092</v>
      </c>
      <c r="C1962" s="6" t="s">
        <v>1599</v>
      </c>
      <c r="D1962" s="6" t="s">
        <v>4093</v>
      </c>
    </row>
    <row r="1963" ht="22" customHeight="1" spans="1:4">
      <c r="A1963" s="6" t="s">
        <v>3869</v>
      </c>
      <c r="B1963" s="6" t="s">
        <v>4094</v>
      </c>
      <c r="C1963" s="6" t="s">
        <v>1573</v>
      </c>
      <c r="D1963" s="6" t="s">
        <v>1725</v>
      </c>
    </row>
    <row r="1964" ht="22" customHeight="1" spans="1:4">
      <c r="A1964" s="6" t="s">
        <v>3869</v>
      </c>
      <c r="B1964" s="6" t="s">
        <v>4095</v>
      </c>
      <c r="C1964" s="6" t="s">
        <v>1605</v>
      </c>
      <c r="D1964" s="6" t="s">
        <v>1645</v>
      </c>
    </row>
    <row r="1965" ht="22" customHeight="1" spans="1:4">
      <c r="A1965" s="6" t="s">
        <v>3869</v>
      </c>
      <c r="B1965" s="6" t="s">
        <v>4096</v>
      </c>
      <c r="C1965" s="6" t="s">
        <v>1605</v>
      </c>
      <c r="D1965" s="6" t="s">
        <v>1645</v>
      </c>
    </row>
    <row r="1966" ht="22" customHeight="1" spans="1:4">
      <c r="A1966" s="6" t="s">
        <v>3869</v>
      </c>
      <c r="B1966" s="6" t="s">
        <v>4097</v>
      </c>
      <c r="C1966" s="6" t="s">
        <v>1605</v>
      </c>
      <c r="D1966" s="6" t="s">
        <v>1636</v>
      </c>
    </row>
    <row r="1967" ht="22" customHeight="1" spans="1:4">
      <c r="A1967" s="6" t="s">
        <v>3869</v>
      </c>
      <c r="B1967" s="6" t="s">
        <v>4098</v>
      </c>
      <c r="C1967" s="6" t="s">
        <v>1605</v>
      </c>
      <c r="D1967" s="6" t="s">
        <v>1606</v>
      </c>
    </row>
    <row r="1968" ht="22" customHeight="1" spans="1:4">
      <c r="A1968" s="6" t="s">
        <v>3869</v>
      </c>
      <c r="B1968" s="6" t="s">
        <v>4099</v>
      </c>
      <c r="C1968" s="6" t="s">
        <v>1599</v>
      </c>
      <c r="D1968" s="6" t="s">
        <v>4100</v>
      </c>
    </row>
    <row r="1969" ht="22" customHeight="1" spans="1:4">
      <c r="A1969" s="6" t="s">
        <v>3869</v>
      </c>
      <c r="B1969" s="6" t="s">
        <v>4101</v>
      </c>
      <c r="C1969" s="6" t="s">
        <v>1605</v>
      </c>
      <c r="D1969" s="6" t="s">
        <v>1649</v>
      </c>
    </row>
    <row r="1970" ht="22" customHeight="1" spans="1:4">
      <c r="A1970" s="6" t="s">
        <v>3869</v>
      </c>
      <c r="B1970" s="6" t="s">
        <v>4102</v>
      </c>
      <c r="C1970" s="6" t="s">
        <v>1605</v>
      </c>
      <c r="D1970" s="6" t="s">
        <v>1651</v>
      </c>
    </row>
    <row r="1971" ht="22" customHeight="1" spans="1:4">
      <c r="A1971" s="6" t="s">
        <v>3869</v>
      </c>
      <c r="B1971" s="6" t="s">
        <v>4103</v>
      </c>
      <c r="C1971" s="6" t="s">
        <v>1599</v>
      </c>
      <c r="D1971" s="6" t="s">
        <v>1653</v>
      </c>
    </row>
    <row r="1972" ht="22" customHeight="1" spans="1:4">
      <c r="A1972" s="6" t="s">
        <v>3869</v>
      </c>
      <c r="B1972" s="6" t="s">
        <v>4104</v>
      </c>
      <c r="C1972" s="6" t="s">
        <v>1599</v>
      </c>
      <c r="D1972" s="6" t="s">
        <v>1655</v>
      </c>
    </row>
    <row r="1973" ht="22" customHeight="1" spans="1:4">
      <c r="A1973" s="6" t="s">
        <v>3869</v>
      </c>
      <c r="B1973" s="6" t="s">
        <v>4105</v>
      </c>
      <c r="C1973" s="6" t="s">
        <v>1605</v>
      </c>
      <c r="D1973" s="6" t="s">
        <v>1657</v>
      </c>
    </row>
    <row r="1974" ht="22" customHeight="1" spans="1:4">
      <c r="A1974" s="6" t="s">
        <v>3869</v>
      </c>
      <c r="B1974" s="6" t="s">
        <v>4106</v>
      </c>
      <c r="C1974" s="6" t="s">
        <v>1605</v>
      </c>
      <c r="D1974" s="6" t="s">
        <v>3161</v>
      </c>
    </row>
    <row r="1975" ht="22" customHeight="1" spans="1:4">
      <c r="A1975" s="6" t="s">
        <v>3869</v>
      </c>
      <c r="B1975" s="6" t="s">
        <v>4107</v>
      </c>
      <c r="C1975" s="6" t="s">
        <v>1599</v>
      </c>
      <c r="D1975" s="6" t="s">
        <v>1661</v>
      </c>
    </row>
    <row r="1976" ht="22" customHeight="1" spans="1:4">
      <c r="A1976" s="6" t="s">
        <v>3869</v>
      </c>
      <c r="B1976" s="6" t="s">
        <v>4108</v>
      </c>
      <c r="C1976" s="6" t="s">
        <v>1599</v>
      </c>
      <c r="D1976" s="6" t="s">
        <v>4109</v>
      </c>
    </row>
    <row r="1977" ht="22" customHeight="1" spans="1:4">
      <c r="A1977" s="6" t="s">
        <v>3869</v>
      </c>
      <c r="B1977" s="6" t="s">
        <v>4110</v>
      </c>
      <c r="C1977" s="6" t="s">
        <v>1570</v>
      </c>
      <c r="D1977" s="6" t="s">
        <v>1571</v>
      </c>
    </row>
    <row r="1978" ht="22" customHeight="1" spans="1:4">
      <c r="A1978" s="6" t="s">
        <v>3869</v>
      </c>
      <c r="B1978" s="6" t="s">
        <v>4111</v>
      </c>
      <c r="C1978" s="6" t="s">
        <v>1599</v>
      </c>
      <c r="D1978" s="6" t="s">
        <v>4112</v>
      </c>
    </row>
    <row r="1979" ht="22" customHeight="1" spans="1:4">
      <c r="A1979" s="6" t="s">
        <v>3869</v>
      </c>
      <c r="B1979" s="6" t="s">
        <v>4113</v>
      </c>
      <c r="C1979" s="6" t="s">
        <v>1599</v>
      </c>
      <c r="D1979" s="6" t="s">
        <v>4114</v>
      </c>
    </row>
    <row r="1980" ht="22" customHeight="1" spans="1:4">
      <c r="A1980" s="6" t="s">
        <v>3869</v>
      </c>
      <c r="B1980" s="6" t="s">
        <v>4115</v>
      </c>
      <c r="C1980" s="6" t="s">
        <v>1573</v>
      </c>
      <c r="D1980" s="6" t="s">
        <v>3571</v>
      </c>
    </row>
    <row r="1981" ht="22" customHeight="1" spans="1:4">
      <c r="A1981" s="6" t="s">
        <v>3869</v>
      </c>
      <c r="B1981" s="6" t="s">
        <v>4116</v>
      </c>
      <c r="C1981" s="6" t="s">
        <v>1573</v>
      </c>
      <c r="D1981" s="6" t="s">
        <v>2269</v>
      </c>
    </row>
    <row r="1982" ht="22" customHeight="1" spans="1:4">
      <c r="A1982" s="6" t="s">
        <v>3869</v>
      </c>
      <c r="B1982" s="6" t="s">
        <v>4117</v>
      </c>
      <c r="C1982" s="6" t="s">
        <v>1573</v>
      </c>
      <c r="D1982" s="6" t="s">
        <v>4118</v>
      </c>
    </row>
    <row r="1983" ht="22" customHeight="1" spans="1:4">
      <c r="A1983" s="6" t="s">
        <v>3869</v>
      </c>
      <c r="B1983" s="6" t="s">
        <v>4119</v>
      </c>
      <c r="C1983" s="6" t="s">
        <v>1573</v>
      </c>
      <c r="D1983" s="6" t="s">
        <v>2120</v>
      </c>
    </row>
    <row r="1984" ht="22" customHeight="1" spans="1:4">
      <c r="A1984" s="6" t="s">
        <v>3869</v>
      </c>
      <c r="B1984" s="6" t="s">
        <v>4120</v>
      </c>
      <c r="C1984" s="6" t="s">
        <v>1573</v>
      </c>
      <c r="D1984" s="6" t="s">
        <v>2053</v>
      </c>
    </row>
    <row r="1985" ht="22" customHeight="1" spans="1:4">
      <c r="A1985" s="6" t="s">
        <v>3869</v>
      </c>
      <c r="B1985" s="6" t="s">
        <v>4121</v>
      </c>
      <c r="C1985" s="6" t="s">
        <v>1605</v>
      </c>
      <c r="D1985" s="6" t="s">
        <v>4122</v>
      </c>
    </row>
    <row r="1986" ht="22" customHeight="1" spans="1:4">
      <c r="A1986" s="6" t="s">
        <v>3869</v>
      </c>
      <c r="B1986" s="6" t="s">
        <v>4123</v>
      </c>
      <c r="C1986" s="6" t="s">
        <v>1573</v>
      </c>
      <c r="D1986" s="6" t="s">
        <v>275</v>
      </c>
    </row>
    <row r="1987" ht="22" customHeight="1" spans="1:4">
      <c r="A1987" s="6" t="s">
        <v>3869</v>
      </c>
      <c r="B1987" s="6" t="s">
        <v>4124</v>
      </c>
      <c r="C1987" s="6" t="s">
        <v>1605</v>
      </c>
      <c r="D1987" s="6" t="s">
        <v>1634</v>
      </c>
    </row>
    <row r="1988" ht="22" customHeight="1" spans="1:4">
      <c r="A1988" s="6" t="s">
        <v>3869</v>
      </c>
      <c r="B1988" s="6" t="s">
        <v>4125</v>
      </c>
      <c r="C1988" s="6" t="s">
        <v>1599</v>
      </c>
      <c r="D1988" s="6" t="s">
        <v>4126</v>
      </c>
    </row>
    <row r="1989" ht="22" customHeight="1" spans="1:4">
      <c r="A1989" s="6" t="s">
        <v>3869</v>
      </c>
      <c r="B1989" s="6" t="s">
        <v>4127</v>
      </c>
      <c r="C1989" s="6" t="s">
        <v>1605</v>
      </c>
      <c r="D1989" s="6" t="s">
        <v>1697</v>
      </c>
    </row>
    <row r="1990" ht="22" customHeight="1" spans="1:4">
      <c r="A1990" s="6" t="s">
        <v>3869</v>
      </c>
      <c r="B1990" s="6" t="s">
        <v>4128</v>
      </c>
      <c r="C1990" s="6" t="s">
        <v>1573</v>
      </c>
      <c r="D1990" s="6" t="s">
        <v>463</v>
      </c>
    </row>
    <row r="1991" ht="22" customHeight="1" spans="1:4">
      <c r="A1991" s="6" t="s">
        <v>3869</v>
      </c>
      <c r="B1991" s="6" t="s">
        <v>4129</v>
      </c>
      <c r="C1991" s="6" t="s">
        <v>1605</v>
      </c>
      <c r="D1991" s="6" t="s">
        <v>1645</v>
      </c>
    </row>
    <row r="1992" ht="22" customHeight="1" spans="1:4">
      <c r="A1992" s="6" t="s">
        <v>3869</v>
      </c>
      <c r="B1992" s="6" t="s">
        <v>4130</v>
      </c>
      <c r="C1992" s="6" t="s">
        <v>1605</v>
      </c>
      <c r="D1992" s="6" t="s">
        <v>1606</v>
      </c>
    </row>
    <row r="1993" ht="22" customHeight="1" spans="1:4">
      <c r="A1993" s="6" t="s">
        <v>3869</v>
      </c>
      <c r="B1993" s="6" t="s">
        <v>4131</v>
      </c>
      <c r="C1993" s="6" t="s">
        <v>1599</v>
      </c>
      <c r="D1993" s="6" t="s">
        <v>4132</v>
      </c>
    </row>
    <row r="1994" ht="22" customHeight="1" spans="1:4">
      <c r="A1994" s="6" t="s">
        <v>3869</v>
      </c>
      <c r="B1994" s="6" t="s">
        <v>4133</v>
      </c>
      <c r="C1994" s="6" t="s">
        <v>1605</v>
      </c>
      <c r="D1994" s="6" t="s">
        <v>1649</v>
      </c>
    </row>
    <row r="1995" ht="22" customHeight="1" spans="1:4">
      <c r="A1995" s="6" t="s">
        <v>3869</v>
      </c>
      <c r="B1995" s="6" t="s">
        <v>4134</v>
      </c>
      <c r="C1995" s="6" t="s">
        <v>1605</v>
      </c>
      <c r="D1995" s="6" t="s">
        <v>1651</v>
      </c>
    </row>
    <row r="1996" ht="22" customHeight="1" spans="1:4">
      <c r="A1996" s="6" t="s">
        <v>3869</v>
      </c>
      <c r="B1996" s="6" t="s">
        <v>4135</v>
      </c>
      <c r="C1996" s="6" t="s">
        <v>1599</v>
      </c>
      <c r="D1996" s="6" t="s">
        <v>1653</v>
      </c>
    </row>
    <row r="1997" ht="22" customHeight="1" spans="1:4">
      <c r="A1997" s="6" t="s">
        <v>3869</v>
      </c>
      <c r="B1997" s="6" t="s">
        <v>4136</v>
      </c>
      <c r="C1997" s="6" t="s">
        <v>1599</v>
      </c>
      <c r="D1997" s="6" t="s">
        <v>1655</v>
      </c>
    </row>
    <row r="1998" ht="22" customHeight="1" spans="1:4">
      <c r="A1998" s="6" t="s">
        <v>3869</v>
      </c>
      <c r="B1998" s="6" t="s">
        <v>4137</v>
      </c>
      <c r="C1998" s="6" t="s">
        <v>1605</v>
      </c>
      <c r="D1998" s="6" t="s">
        <v>1657</v>
      </c>
    </row>
    <row r="1999" ht="22" customHeight="1" spans="1:4">
      <c r="A1999" s="6" t="s">
        <v>3869</v>
      </c>
      <c r="B1999" s="6" t="s">
        <v>4138</v>
      </c>
      <c r="C1999" s="6" t="s">
        <v>1605</v>
      </c>
      <c r="D1999" s="6" t="s">
        <v>3161</v>
      </c>
    </row>
    <row r="2000" ht="22" customHeight="1" spans="1:4">
      <c r="A2000" s="6" t="s">
        <v>3869</v>
      </c>
      <c r="B2000" s="6" t="s">
        <v>4139</v>
      </c>
      <c r="C2000" s="6" t="s">
        <v>1599</v>
      </c>
      <c r="D2000" s="6" t="s">
        <v>1661</v>
      </c>
    </row>
    <row r="2001" ht="22" customHeight="1" spans="1:4">
      <c r="A2001" s="6" t="s">
        <v>3869</v>
      </c>
      <c r="B2001" s="6" t="s">
        <v>4140</v>
      </c>
      <c r="C2001" s="6" t="s">
        <v>1599</v>
      </c>
      <c r="D2001" s="6" t="s">
        <v>4141</v>
      </c>
    </row>
    <row r="2002" ht="22" customHeight="1" spans="1:4">
      <c r="A2002" s="6" t="s">
        <v>3869</v>
      </c>
      <c r="B2002" s="6" t="s">
        <v>4142</v>
      </c>
      <c r="C2002" s="6" t="s">
        <v>1570</v>
      </c>
      <c r="D2002" s="6" t="s">
        <v>1571</v>
      </c>
    </row>
    <row r="2003" ht="22" customHeight="1" spans="1:4">
      <c r="A2003" s="6" t="s">
        <v>3869</v>
      </c>
      <c r="B2003" s="6" t="s">
        <v>4143</v>
      </c>
      <c r="C2003" s="6" t="s">
        <v>1599</v>
      </c>
      <c r="D2003" s="6" t="s">
        <v>4144</v>
      </c>
    </row>
    <row r="2004" ht="22" customHeight="1" spans="1:4">
      <c r="A2004" s="6" t="s">
        <v>3869</v>
      </c>
      <c r="B2004" s="6" t="s">
        <v>4145</v>
      </c>
      <c r="C2004" s="6" t="s">
        <v>1576</v>
      </c>
      <c r="D2004" s="6" t="s">
        <v>1571</v>
      </c>
    </row>
    <row r="2005" ht="22" customHeight="1" spans="1:4">
      <c r="A2005" s="6" t="s">
        <v>3869</v>
      </c>
      <c r="B2005" s="6" t="s">
        <v>4146</v>
      </c>
      <c r="C2005" s="6" t="s">
        <v>1599</v>
      </c>
      <c r="D2005" s="6" t="s">
        <v>1661</v>
      </c>
    </row>
    <row r="2006" ht="22" customHeight="1" spans="1:4">
      <c r="A2006" s="6" t="s">
        <v>3869</v>
      </c>
      <c r="B2006" s="6" t="s">
        <v>4147</v>
      </c>
      <c r="C2006" s="6" t="s">
        <v>1599</v>
      </c>
      <c r="D2006" s="6" t="s">
        <v>4148</v>
      </c>
    </row>
    <row r="2007" ht="22" customHeight="1" spans="1:4">
      <c r="A2007" s="6" t="s">
        <v>3869</v>
      </c>
      <c r="B2007" s="6" t="s">
        <v>4149</v>
      </c>
      <c r="C2007" s="6" t="s">
        <v>1573</v>
      </c>
      <c r="D2007" s="6" t="s">
        <v>4150</v>
      </c>
    </row>
    <row r="2008" ht="22" customHeight="1" spans="1:4">
      <c r="A2008" s="6" t="s">
        <v>3869</v>
      </c>
      <c r="B2008" s="6" t="s">
        <v>4151</v>
      </c>
      <c r="C2008" s="6" t="s">
        <v>1573</v>
      </c>
      <c r="D2008" s="6" t="s">
        <v>4152</v>
      </c>
    </row>
    <row r="2009" ht="22" customHeight="1" spans="1:4">
      <c r="A2009" s="6" t="s">
        <v>3869</v>
      </c>
      <c r="B2009" s="6" t="s">
        <v>4153</v>
      </c>
      <c r="C2009" s="6" t="s">
        <v>1573</v>
      </c>
      <c r="D2009" s="6" t="s">
        <v>4154</v>
      </c>
    </row>
    <row r="2010" ht="22" customHeight="1" spans="1:4">
      <c r="A2010" s="6" t="s">
        <v>3869</v>
      </c>
      <c r="B2010" s="6" t="s">
        <v>4155</v>
      </c>
      <c r="C2010" s="6" t="s">
        <v>1573</v>
      </c>
      <c r="D2010" s="6" t="s">
        <v>3184</v>
      </c>
    </row>
    <row r="2011" ht="22" customHeight="1" spans="1:4">
      <c r="A2011" s="6" t="s">
        <v>3869</v>
      </c>
      <c r="B2011" s="6" t="s">
        <v>4156</v>
      </c>
      <c r="C2011" s="6" t="s">
        <v>1573</v>
      </c>
      <c r="D2011" s="6" t="s">
        <v>922</v>
      </c>
    </row>
    <row r="2012" ht="22" customHeight="1" spans="1:4">
      <c r="A2012" s="6" t="s">
        <v>3869</v>
      </c>
      <c r="B2012" s="6" t="s">
        <v>4157</v>
      </c>
      <c r="C2012" s="6" t="s">
        <v>1605</v>
      </c>
      <c r="D2012" s="6" t="s">
        <v>1649</v>
      </c>
    </row>
    <row r="2013" ht="22" customHeight="1" spans="1:4">
      <c r="A2013" s="6" t="s">
        <v>3869</v>
      </c>
      <c r="B2013" s="6" t="s">
        <v>4158</v>
      </c>
      <c r="C2013" s="6" t="s">
        <v>1573</v>
      </c>
      <c r="D2013" s="6" t="s">
        <v>1623</v>
      </c>
    </row>
    <row r="2014" ht="22" customHeight="1" spans="1:4">
      <c r="A2014" s="6" t="s">
        <v>3869</v>
      </c>
      <c r="B2014" s="6" t="s">
        <v>4159</v>
      </c>
      <c r="C2014" s="6" t="s">
        <v>1605</v>
      </c>
      <c r="D2014" s="6" t="s">
        <v>1634</v>
      </c>
    </row>
    <row r="2015" ht="22" customHeight="1" spans="1:4">
      <c r="A2015" s="6" t="s">
        <v>3869</v>
      </c>
      <c r="B2015" s="6" t="s">
        <v>4160</v>
      </c>
      <c r="C2015" s="6" t="s">
        <v>1599</v>
      </c>
      <c r="D2015" s="6" t="s">
        <v>4161</v>
      </c>
    </row>
    <row r="2016" ht="22" customHeight="1" spans="1:4">
      <c r="A2016" s="6" t="s">
        <v>3869</v>
      </c>
      <c r="B2016" s="6" t="s">
        <v>4162</v>
      </c>
      <c r="C2016" s="6" t="s">
        <v>1605</v>
      </c>
      <c r="D2016" s="6" t="s">
        <v>898</v>
      </c>
    </row>
    <row r="2017" ht="22" customHeight="1" spans="1:4">
      <c r="A2017" s="6" t="s">
        <v>3869</v>
      </c>
      <c r="B2017" s="6" t="s">
        <v>4163</v>
      </c>
      <c r="C2017" s="6" t="s">
        <v>1605</v>
      </c>
      <c r="D2017" s="6" t="s">
        <v>898</v>
      </c>
    </row>
    <row r="2018" ht="22" customHeight="1" spans="1:4">
      <c r="A2018" s="6" t="s">
        <v>3869</v>
      </c>
      <c r="B2018" s="6" t="s">
        <v>4164</v>
      </c>
      <c r="C2018" s="6" t="s">
        <v>1605</v>
      </c>
      <c r="D2018" s="6" t="s">
        <v>1636</v>
      </c>
    </row>
    <row r="2019" ht="22" customHeight="1" spans="1:4">
      <c r="A2019" s="6" t="s">
        <v>3869</v>
      </c>
      <c r="B2019" s="6" t="s">
        <v>4165</v>
      </c>
      <c r="C2019" s="6" t="s">
        <v>1605</v>
      </c>
      <c r="D2019" s="6" t="s">
        <v>1636</v>
      </c>
    </row>
    <row r="2020" ht="22" customHeight="1" spans="1:4">
      <c r="A2020" s="6" t="s">
        <v>3869</v>
      </c>
      <c r="B2020" s="6" t="s">
        <v>4166</v>
      </c>
      <c r="C2020" s="6" t="s">
        <v>1605</v>
      </c>
      <c r="D2020" s="6" t="s">
        <v>1606</v>
      </c>
    </row>
    <row r="2021" ht="22" customHeight="1" spans="1:4">
      <c r="A2021" s="6" t="s">
        <v>3869</v>
      </c>
      <c r="B2021" s="6" t="s">
        <v>4167</v>
      </c>
      <c r="C2021" s="6" t="s">
        <v>1599</v>
      </c>
      <c r="D2021" s="6" t="s">
        <v>4168</v>
      </c>
    </row>
    <row r="2022" ht="22" customHeight="1" spans="1:4">
      <c r="A2022" s="6" t="s">
        <v>3869</v>
      </c>
      <c r="B2022" s="6" t="s">
        <v>4169</v>
      </c>
      <c r="C2022" s="6" t="s">
        <v>1605</v>
      </c>
      <c r="D2022" s="6" t="s">
        <v>1649</v>
      </c>
    </row>
    <row r="2023" ht="22" customHeight="1" spans="1:4">
      <c r="A2023" s="6" t="s">
        <v>3869</v>
      </c>
      <c r="B2023" s="6" t="s">
        <v>4170</v>
      </c>
      <c r="C2023" s="6" t="s">
        <v>1605</v>
      </c>
      <c r="D2023" s="6" t="s">
        <v>1651</v>
      </c>
    </row>
    <row r="2024" ht="22" customHeight="1" spans="1:4">
      <c r="A2024" s="6" t="s">
        <v>3869</v>
      </c>
      <c r="B2024" s="6" t="s">
        <v>4171</v>
      </c>
      <c r="C2024" s="6" t="s">
        <v>1599</v>
      </c>
      <c r="D2024" s="6" t="s">
        <v>1653</v>
      </c>
    </row>
    <row r="2025" ht="22" customHeight="1" spans="1:4">
      <c r="A2025" s="6" t="s">
        <v>3869</v>
      </c>
      <c r="B2025" s="6" t="s">
        <v>4172</v>
      </c>
      <c r="C2025" s="6" t="s">
        <v>1599</v>
      </c>
      <c r="D2025" s="6" t="s">
        <v>1655</v>
      </c>
    </row>
    <row r="2026" ht="22" customHeight="1" spans="1:4">
      <c r="A2026" s="6" t="s">
        <v>3869</v>
      </c>
      <c r="B2026" s="6" t="s">
        <v>4173</v>
      </c>
      <c r="C2026" s="6" t="s">
        <v>1605</v>
      </c>
      <c r="D2026" s="6" t="s">
        <v>1657</v>
      </c>
    </row>
    <row r="2027" ht="22" customHeight="1" spans="1:4">
      <c r="A2027" s="6" t="s">
        <v>3869</v>
      </c>
      <c r="B2027" s="6" t="s">
        <v>4174</v>
      </c>
      <c r="C2027" s="6" t="s">
        <v>1605</v>
      </c>
      <c r="D2027" s="6" t="s">
        <v>3161</v>
      </c>
    </row>
    <row r="2028" ht="22" customHeight="1" spans="1:4">
      <c r="A2028" s="6" t="s">
        <v>3869</v>
      </c>
      <c r="B2028" s="6" t="s">
        <v>4175</v>
      </c>
      <c r="C2028" s="6" t="s">
        <v>1599</v>
      </c>
      <c r="D2028" s="6" t="s">
        <v>1661</v>
      </c>
    </row>
    <row r="2029" ht="22" customHeight="1" spans="1:4">
      <c r="A2029" s="6" t="s">
        <v>3869</v>
      </c>
      <c r="B2029" s="6" t="s">
        <v>4176</v>
      </c>
      <c r="C2029" s="6" t="s">
        <v>1599</v>
      </c>
      <c r="D2029" s="6" t="s">
        <v>4177</v>
      </c>
    </row>
    <row r="2030" ht="22" customHeight="1" spans="1:4">
      <c r="A2030" s="6" t="s">
        <v>3869</v>
      </c>
      <c r="B2030" s="6" t="s">
        <v>4178</v>
      </c>
      <c r="C2030" s="6" t="s">
        <v>1570</v>
      </c>
      <c r="D2030" s="6" t="s">
        <v>1571</v>
      </c>
    </row>
    <row r="2031" ht="22" customHeight="1" spans="1:4">
      <c r="A2031" s="6" t="s">
        <v>3869</v>
      </c>
      <c r="B2031" s="6" t="s">
        <v>4179</v>
      </c>
      <c r="C2031" s="6" t="s">
        <v>1599</v>
      </c>
      <c r="D2031" s="6" t="s">
        <v>4180</v>
      </c>
    </row>
    <row r="2032" ht="22" customHeight="1" spans="1:4">
      <c r="A2032" s="6" t="s">
        <v>3869</v>
      </c>
      <c r="B2032" s="6" t="s">
        <v>4181</v>
      </c>
      <c r="C2032" s="6" t="s">
        <v>1576</v>
      </c>
      <c r="D2032" s="6" t="s">
        <v>1571</v>
      </c>
    </row>
    <row r="2033" ht="22" customHeight="1" spans="1:4">
      <c r="A2033" s="6" t="s">
        <v>3869</v>
      </c>
      <c r="B2033" s="6" t="s">
        <v>4182</v>
      </c>
      <c r="C2033" s="6" t="s">
        <v>1599</v>
      </c>
      <c r="D2033" s="6" t="s">
        <v>1655</v>
      </c>
    </row>
    <row r="2034" ht="22" customHeight="1" spans="1:4">
      <c r="A2034" s="6" t="s">
        <v>3869</v>
      </c>
      <c r="B2034" s="6" t="s">
        <v>4183</v>
      </c>
      <c r="C2034" s="6" t="s">
        <v>1599</v>
      </c>
      <c r="D2034" s="6" t="s">
        <v>4184</v>
      </c>
    </row>
    <row r="2035" ht="22" customHeight="1" spans="1:4">
      <c r="A2035" s="6" t="s">
        <v>3869</v>
      </c>
      <c r="B2035" s="6" t="s">
        <v>4185</v>
      </c>
      <c r="C2035" s="6" t="s">
        <v>1573</v>
      </c>
      <c r="D2035" s="6" t="s">
        <v>4186</v>
      </c>
    </row>
    <row r="2036" ht="22" customHeight="1" spans="1:4">
      <c r="A2036" s="6" t="s">
        <v>3869</v>
      </c>
      <c r="B2036" s="6" t="s">
        <v>4187</v>
      </c>
      <c r="C2036" s="6" t="s">
        <v>1573</v>
      </c>
      <c r="D2036" s="6" t="s">
        <v>1727</v>
      </c>
    </row>
    <row r="2037" ht="22" customHeight="1" spans="1:4">
      <c r="A2037" s="6" t="s">
        <v>3869</v>
      </c>
      <c r="B2037" s="6" t="s">
        <v>4188</v>
      </c>
      <c r="C2037" s="6" t="s">
        <v>1573</v>
      </c>
      <c r="D2037" s="6" t="s">
        <v>4189</v>
      </c>
    </row>
    <row r="2038" ht="22" customHeight="1" spans="1:4">
      <c r="A2038" s="6" t="s">
        <v>3869</v>
      </c>
      <c r="B2038" s="6" t="s">
        <v>4190</v>
      </c>
      <c r="C2038" s="6" t="s">
        <v>1573</v>
      </c>
      <c r="D2038" s="6" t="s">
        <v>1775</v>
      </c>
    </row>
    <row r="2039" ht="22" customHeight="1" spans="1:4">
      <c r="A2039" s="6" t="s">
        <v>3869</v>
      </c>
      <c r="B2039" s="6" t="s">
        <v>4191</v>
      </c>
      <c r="C2039" s="6" t="s">
        <v>1573</v>
      </c>
      <c r="D2039" s="6" t="s">
        <v>1585</v>
      </c>
    </row>
    <row r="2040" ht="22" customHeight="1" spans="1:4">
      <c r="A2040" s="6" t="s">
        <v>3869</v>
      </c>
      <c r="B2040" s="6" t="s">
        <v>4192</v>
      </c>
      <c r="C2040" s="6" t="s">
        <v>1605</v>
      </c>
      <c r="D2040" s="6" t="s">
        <v>1688</v>
      </c>
    </row>
    <row r="2041" ht="22" customHeight="1" spans="1:4">
      <c r="A2041" s="6" t="s">
        <v>3869</v>
      </c>
      <c r="B2041" s="6" t="s">
        <v>4193</v>
      </c>
      <c r="C2041" s="6" t="s">
        <v>1573</v>
      </c>
      <c r="D2041" s="6" t="s">
        <v>1623</v>
      </c>
    </row>
    <row r="2042" ht="22" customHeight="1" spans="1:4">
      <c r="A2042" s="6" t="s">
        <v>3869</v>
      </c>
      <c r="B2042" s="6" t="s">
        <v>4194</v>
      </c>
      <c r="C2042" s="6" t="s">
        <v>1605</v>
      </c>
      <c r="D2042" s="6" t="s">
        <v>3313</v>
      </c>
    </row>
    <row r="2043" ht="22" customHeight="1" spans="1:4">
      <c r="A2043" s="6" t="s">
        <v>3869</v>
      </c>
      <c r="B2043" s="6" t="s">
        <v>4195</v>
      </c>
      <c r="C2043" s="6" t="s">
        <v>1599</v>
      </c>
      <c r="D2043" s="6" t="s">
        <v>4196</v>
      </c>
    </row>
    <row r="2044" ht="22" customHeight="1" spans="1:4">
      <c r="A2044" s="6" t="s">
        <v>3869</v>
      </c>
      <c r="B2044" s="6" t="s">
        <v>4197</v>
      </c>
      <c r="C2044" s="6" t="s">
        <v>1605</v>
      </c>
      <c r="D2044" s="6" t="s">
        <v>1942</v>
      </c>
    </row>
    <row r="2045" ht="22" customHeight="1" spans="1:4">
      <c r="A2045" s="6" t="s">
        <v>3869</v>
      </c>
      <c r="B2045" s="6" t="s">
        <v>4198</v>
      </c>
      <c r="C2045" s="6" t="s">
        <v>1573</v>
      </c>
      <c r="D2045" s="6" t="s">
        <v>921</v>
      </c>
    </row>
    <row r="2046" ht="22" customHeight="1" spans="1:4">
      <c r="A2046" s="6" t="s">
        <v>3869</v>
      </c>
      <c r="B2046" s="6" t="s">
        <v>4199</v>
      </c>
      <c r="C2046" s="6" t="s">
        <v>1605</v>
      </c>
      <c r="D2046" s="6" t="s">
        <v>1744</v>
      </c>
    </row>
    <row r="2047" ht="22" customHeight="1" spans="1:4">
      <c r="A2047" s="6" t="s">
        <v>3869</v>
      </c>
      <c r="B2047" s="6" t="s">
        <v>4200</v>
      </c>
      <c r="C2047" s="6" t="s">
        <v>1605</v>
      </c>
      <c r="D2047" s="6" t="s">
        <v>2385</v>
      </c>
    </row>
    <row r="2048" ht="22" customHeight="1" spans="1:4">
      <c r="A2048" s="6" t="s">
        <v>3869</v>
      </c>
      <c r="B2048" s="6" t="s">
        <v>4201</v>
      </c>
      <c r="C2048" s="6" t="s">
        <v>1605</v>
      </c>
      <c r="D2048" s="6" t="s">
        <v>1942</v>
      </c>
    </row>
    <row r="2049" ht="22" customHeight="1" spans="1:4">
      <c r="A2049" s="6" t="s">
        <v>3869</v>
      </c>
      <c r="B2049" s="6" t="s">
        <v>4202</v>
      </c>
      <c r="C2049" s="6" t="s">
        <v>1605</v>
      </c>
      <c r="D2049" s="6" t="s">
        <v>2385</v>
      </c>
    </row>
    <row r="2050" ht="22" customHeight="1" spans="1:4">
      <c r="A2050" s="6" t="s">
        <v>3869</v>
      </c>
      <c r="B2050" s="6" t="s">
        <v>4203</v>
      </c>
      <c r="C2050" s="6" t="s">
        <v>1605</v>
      </c>
      <c r="D2050" s="6" t="s">
        <v>1636</v>
      </c>
    </row>
    <row r="2051" ht="22" customHeight="1" spans="1:4">
      <c r="A2051" s="6" t="s">
        <v>3869</v>
      </c>
      <c r="B2051" s="6" t="s">
        <v>4204</v>
      </c>
      <c r="C2051" s="6" t="s">
        <v>1605</v>
      </c>
      <c r="D2051" s="6" t="s">
        <v>1606</v>
      </c>
    </row>
    <row r="2052" ht="22" customHeight="1" spans="1:4">
      <c r="A2052" s="6" t="s">
        <v>3869</v>
      </c>
      <c r="B2052" s="6" t="s">
        <v>4205</v>
      </c>
      <c r="C2052" s="6" t="s">
        <v>1599</v>
      </c>
      <c r="D2052" s="6" t="s">
        <v>4206</v>
      </c>
    </row>
    <row r="2053" ht="22" customHeight="1" spans="1:4">
      <c r="A2053" s="6" t="s">
        <v>3869</v>
      </c>
      <c r="B2053" s="6" t="s">
        <v>4207</v>
      </c>
      <c r="C2053" s="6" t="s">
        <v>1605</v>
      </c>
      <c r="D2053" s="6" t="s">
        <v>1649</v>
      </c>
    </row>
    <row r="2054" ht="22" customHeight="1" spans="1:4">
      <c r="A2054" s="6" t="s">
        <v>3869</v>
      </c>
      <c r="B2054" s="6" t="s">
        <v>4208</v>
      </c>
      <c r="C2054" s="6" t="s">
        <v>1605</v>
      </c>
      <c r="D2054" s="6" t="s">
        <v>1651</v>
      </c>
    </row>
    <row r="2055" ht="22" customHeight="1" spans="1:4">
      <c r="A2055" s="6" t="s">
        <v>3869</v>
      </c>
      <c r="B2055" s="6" t="s">
        <v>4209</v>
      </c>
      <c r="C2055" s="6" t="s">
        <v>1599</v>
      </c>
      <c r="D2055" s="6" t="s">
        <v>1653</v>
      </c>
    </row>
    <row r="2056" ht="22" customHeight="1" spans="1:4">
      <c r="A2056" s="6" t="s">
        <v>3869</v>
      </c>
      <c r="B2056" s="6" t="s">
        <v>4210</v>
      </c>
      <c r="C2056" s="6" t="s">
        <v>1599</v>
      </c>
      <c r="D2056" s="6" t="s">
        <v>1655</v>
      </c>
    </row>
    <row r="2057" ht="22" customHeight="1" spans="1:4">
      <c r="A2057" s="6" t="s">
        <v>3869</v>
      </c>
      <c r="B2057" s="6" t="s">
        <v>4211</v>
      </c>
      <c r="C2057" s="6" t="s">
        <v>1605</v>
      </c>
      <c r="D2057" s="6" t="s">
        <v>1657</v>
      </c>
    </row>
    <row r="2058" ht="22" customHeight="1" spans="1:4">
      <c r="A2058" s="6" t="s">
        <v>3869</v>
      </c>
      <c r="B2058" s="6" t="s">
        <v>4212</v>
      </c>
      <c r="C2058" s="6" t="s">
        <v>1605</v>
      </c>
      <c r="D2058" s="6" t="s">
        <v>3161</v>
      </c>
    </row>
    <row r="2059" ht="22" customHeight="1" spans="1:4">
      <c r="A2059" s="6" t="s">
        <v>3869</v>
      </c>
      <c r="B2059" s="6" t="s">
        <v>4213</v>
      </c>
      <c r="C2059" s="6" t="s">
        <v>1599</v>
      </c>
      <c r="D2059" s="6" t="s">
        <v>1661</v>
      </c>
    </row>
    <row r="2060" ht="22" customHeight="1" spans="1:4">
      <c r="A2060" s="6" t="s">
        <v>3869</v>
      </c>
      <c r="B2060" s="6" t="s">
        <v>4214</v>
      </c>
      <c r="C2060" s="6" t="s">
        <v>1599</v>
      </c>
      <c r="D2060" s="6" t="s">
        <v>4215</v>
      </c>
    </row>
    <row r="2061" ht="22" customHeight="1" spans="1:4">
      <c r="A2061" s="6" t="s">
        <v>3869</v>
      </c>
      <c r="B2061" s="6" t="s">
        <v>4216</v>
      </c>
      <c r="C2061" s="6" t="s">
        <v>1570</v>
      </c>
      <c r="D2061" s="6" t="s">
        <v>1571</v>
      </c>
    </row>
    <row r="2062" ht="22" customHeight="1" spans="1:4">
      <c r="A2062" s="6" t="s">
        <v>3869</v>
      </c>
      <c r="B2062" s="6" t="s">
        <v>4217</v>
      </c>
      <c r="C2062" s="6" t="s">
        <v>1599</v>
      </c>
      <c r="D2062" s="6" t="s">
        <v>4218</v>
      </c>
    </row>
    <row r="2063" ht="22" customHeight="1" spans="1:4">
      <c r="A2063" s="6" t="s">
        <v>3869</v>
      </c>
      <c r="B2063" s="6" t="s">
        <v>4219</v>
      </c>
      <c r="C2063" s="6" t="s">
        <v>1599</v>
      </c>
      <c r="D2063" s="6" t="s">
        <v>4220</v>
      </c>
    </row>
    <row r="2064" ht="22" customHeight="1" spans="1:4">
      <c r="A2064" s="6" t="s">
        <v>3869</v>
      </c>
      <c r="B2064" s="6" t="s">
        <v>4221</v>
      </c>
      <c r="C2064" s="6" t="s">
        <v>1573</v>
      </c>
      <c r="D2064" s="6" t="s">
        <v>4222</v>
      </c>
    </row>
    <row r="2065" ht="22" customHeight="1" spans="1:4">
      <c r="A2065" s="6" t="s">
        <v>3869</v>
      </c>
      <c r="B2065" s="6" t="s">
        <v>4223</v>
      </c>
      <c r="C2065" s="6" t="s">
        <v>1573</v>
      </c>
      <c r="D2065" s="6" t="s">
        <v>2310</v>
      </c>
    </row>
    <row r="2066" ht="22" customHeight="1" spans="1:4">
      <c r="A2066" s="6" t="s">
        <v>3869</v>
      </c>
      <c r="B2066" s="6" t="s">
        <v>4224</v>
      </c>
      <c r="C2066" s="6" t="s">
        <v>1573</v>
      </c>
      <c r="D2066" s="6" t="s">
        <v>2512</v>
      </c>
    </row>
    <row r="2067" ht="22" customHeight="1" spans="1:4">
      <c r="A2067" s="6" t="s">
        <v>3869</v>
      </c>
      <c r="B2067" s="6" t="s">
        <v>4225</v>
      </c>
      <c r="C2067" s="6" t="s">
        <v>1573</v>
      </c>
      <c r="D2067" s="6" t="s">
        <v>2120</v>
      </c>
    </row>
    <row r="2068" ht="22" customHeight="1" spans="1:4">
      <c r="A2068" s="6" t="s">
        <v>3869</v>
      </c>
      <c r="B2068" s="6" t="s">
        <v>4226</v>
      </c>
      <c r="C2068" s="6" t="s">
        <v>1573</v>
      </c>
      <c r="D2068" s="6" t="s">
        <v>922</v>
      </c>
    </row>
    <row r="2069" ht="22" customHeight="1" spans="1:4">
      <c r="A2069" s="6" t="s">
        <v>3869</v>
      </c>
      <c r="B2069" s="6" t="s">
        <v>4227</v>
      </c>
      <c r="C2069" s="6" t="s">
        <v>1605</v>
      </c>
      <c r="D2069" s="6" t="s">
        <v>1631</v>
      </c>
    </row>
    <row r="2070" ht="22" customHeight="1" spans="1:4">
      <c r="A2070" s="6" t="s">
        <v>3869</v>
      </c>
      <c r="B2070" s="6" t="s">
        <v>4228</v>
      </c>
      <c r="C2070" s="6" t="s">
        <v>1573</v>
      </c>
      <c r="D2070" s="6" t="s">
        <v>275</v>
      </c>
    </row>
    <row r="2071" ht="22" customHeight="1" spans="1:4">
      <c r="A2071" s="6" t="s">
        <v>3869</v>
      </c>
      <c r="B2071" s="6" t="s">
        <v>4229</v>
      </c>
      <c r="C2071" s="6" t="s">
        <v>1605</v>
      </c>
      <c r="D2071" s="6" t="s">
        <v>923</v>
      </c>
    </row>
    <row r="2072" ht="22" customHeight="1" spans="1:4">
      <c r="A2072" s="6" t="s">
        <v>3869</v>
      </c>
      <c r="B2072" s="6" t="s">
        <v>4230</v>
      </c>
      <c r="C2072" s="6" t="s">
        <v>1599</v>
      </c>
      <c r="D2072" s="6" t="s">
        <v>4231</v>
      </c>
    </row>
    <row r="2073" ht="22" customHeight="1" spans="1:4">
      <c r="A2073" s="6" t="s">
        <v>3869</v>
      </c>
      <c r="B2073" s="6" t="s">
        <v>4232</v>
      </c>
      <c r="C2073" s="6" t="s">
        <v>1605</v>
      </c>
      <c r="D2073" s="6" t="s">
        <v>1942</v>
      </c>
    </row>
    <row r="2074" ht="22" customHeight="1" spans="1:4">
      <c r="A2074" s="6" t="s">
        <v>3869</v>
      </c>
      <c r="B2074" s="6" t="s">
        <v>4233</v>
      </c>
      <c r="C2074" s="6" t="s">
        <v>1605</v>
      </c>
      <c r="D2074" s="6" t="s">
        <v>1750</v>
      </c>
    </row>
    <row r="2075" ht="22" customHeight="1" spans="1:4">
      <c r="A2075" s="6" t="s">
        <v>3869</v>
      </c>
      <c r="B2075" s="6" t="s">
        <v>4234</v>
      </c>
      <c r="C2075" s="6" t="s">
        <v>1605</v>
      </c>
      <c r="D2075" s="6" t="s">
        <v>2164</v>
      </c>
    </row>
    <row r="2076" ht="22" customHeight="1" spans="1:4">
      <c r="A2076" s="6" t="s">
        <v>3869</v>
      </c>
      <c r="B2076" s="6" t="s">
        <v>4235</v>
      </c>
      <c r="C2076" s="6" t="s">
        <v>1605</v>
      </c>
      <c r="D2076" s="6" t="s">
        <v>1942</v>
      </c>
    </row>
    <row r="2077" ht="22" customHeight="1" spans="1:4">
      <c r="A2077" s="6" t="s">
        <v>3869</v>
      </c>
      <c r="B2077" s="6" t="s">
        <v>4236</v>
      </c>
      <c r="C2077" s="6" t="s">
        <v>1605</v>
      </c>
      <c r="D2077" s="6" t="s">
        <v>1636</v>
      </c>
    </row>
    <row r="2078" ht="22" customHeight="1" spans="1:4">
      <c r="A2078" s="6" t="s">
        <v>3869</v>
      </c>
      <c r="B2078" s="6" t="s">
        <v>4237</v>
      </c>
      <c r="C2078" s="6" t="s">
        <v>1605</v>
      </c>
      <c r="D2078" s="6" t="s">
        <v>1606</v>
      </c>
    </row>
    <row r="2079" ht="22" customHeight="1" spans="1:4">
      <c r="A2079" s="6" t="s">
        <v>3869</v>
      </c>
      <c r="B2079" s="6" t="s">
        <v>4238</v>
      </c>
      <c r="C2079" s="6" t="s">
        <v>1599</v>
      </c>
      <c r="D2079" s="6" t="s">
        <v>4239</v>
      </c>
    </row>
    <row r="2080" ht="22" customHeight="1" spans="1:4">
      <c r="A2080" s="6" t="s">
        <v>3869</v>
      </c>
      <c r="B2080" s="6" t="s">
        <v>4240</v>
      </c>
      <c r="C2080" s="6" t="s">
        <v>1605</v>
      </c>
      <c r="D2080" s="6" t="s">
        <v>1649</v>
      </c>
    </row>
    <row r="2081" ht="22" customHeight="1" spans="1:4">
      <c r="A2081" s="6" t="s">
        <v>3869</v>
      </c>
      <c r="B2081" s="6" t="s">
        <v>4241</v>
      </c>
      <c r="C2081" s="6" t="s">
        <v>1605</v>
      </c>
      <c r="D2081" s="6" t="s">
        <v>1651</v>
      </c>
    </row>
    <row r="2082" ht="22" customHeight="1" spans="1:4">
      <c r="A2082" s="6" t="s">
        <v>3869</v>
      </c>
      <c r="B2082" s="6" t="s">
        <v>4242</v>
      </c>
      <c r="C2082" s="6" t="s">
        <v>1599</v>
      </c>
      <c r="D2082" s="6" t="s">
        <v>1653</v>
      </c>
    </row>
    <row r="2083" ht="22" customHeight="1" spans="1:4">
      <c r="A2083" s="6" t="s">
        <v>3869</v>
      </c>
      <c r="B2083" s="6" t="s">
        <v>4243</v>
      </c>
      <c r="C2083" s="6" t="s">
        <v>1599</v>
      </c>
      <c r="D2083" s="6" t="s">
        <v>1655</v>
      </c>
    </row>
    <row r="2084" ht="22" customHeight="1" spans="1:4">
      <c r="A2084" s="6" t="s">
        <v>3869</v>
      </c>
      <c r="B2084" s="6" t="s">
        <v>4244</v>
      </c>
      <c r="C2084" s="6" t="s">
        <v>1605</v>
      </c>
      <c r="D2084" s="6" t="s">
        <v>1657</v>
      </c>
    </row>
    <row r="2085" ht="22" customHeight="1" spans="1:4">
      <c r="A2085" s="6" t="s">
        <v>3869</v>
      </c>
      <c r="B2085" s="6" t="s">
        <v>4245</v>
      </c>
      <c r="C2085" s="6" t="s">
        <v>1605</v>
      </c>
      <c r="D2085" s="6" t="s">
        <v>3161</v>
      </c>
    </row>
    <row r="2086" ht="22" customHeight="1" spans="1:4">
      <c r="A2086" s="6" t="s">
        <v>3869</v>
      </c>
      <c r="B2086" s="6" t="s">
        <v>4246</v>
      </c>
      <c r="C2086" s="6" t="s">
        <v>1599</v>
      </c>
      <c r="D2086" s="6" t="s">
        <v>1661</v>
      </c>
    </row>
    <row r="2087" ht="22" customHeight="1" spans="1:4">
      <c r="A2087" s="6" t="s">
        <v>3869</v>
      </c>
      <c r="B2087" s="6" t="s">
        <v>4247</v>
      </c>
      <c r="C2087" s="6" t="s">
        <v>1599</v>
      </c>
      <c r="D2087" s="6" t="s">
        <v>4248</v>
      </c>
    </row>
    <row r="2088" ht="22" customHeight="1" spans="1:4">
      <c r="A2088" s="6" t="s">
        <v>3869</v>
      </c>
      <c r="B2088" s="6" t="s">
        <v>4249</v>
      </c>
      <c r="C2088" s="6" t="s">
        <v>1570</v>
      </c>
      <c r="D2088" s="6" t="s">
        <v>1571</v>
      </c>
    </row>
    <row r="2089" ht="22" customHeight="1" spans="1:4">
      <c r="A2089" s="6" t="s">
        <v>3869</v>
      </c>
      <c r="B2089" s="6" t="s">
        <v>4250</v>
      </c>
      <c r="C2089" s="6" t="s">
        <v>1599</v>
      </c>
      <c r="D2089" s="6" t="s">
        <v>4251</v>
      </c>
    </row>
    <row r="2090" ht="22" customHeight="1" spans="1:4">
      <c r="A2090" s="6" t="s">
        <v>3869</v>
      </c>
      <c r="B2090" s="6" t="s">
        <v>4252</v>
      </c>
      <c r="C2090" s="6" t="s">
        <v>1599</v>
      </c>
      <c r="D2090" s="6" t="s">
        <v>4253</v>
      </c>
    </row>
    <row r="2091" ht="22" customHeight="1" spans="1:4">
      <c r="A2091" s="6" t="s">
        <v>3869</v>
      </c>
      <c r="B2091" s="6" t="s">
        <v>4254</v>
      </c>
      <c r="C2091" s="6" t="s">
        <v>1573</v>
      </c>
      <c r="D2091" s="6" t="s">
        <v>1683</v>
      </c>
    </row>
    <row r="2092" ht="22" customHeight="1" spans="1:4">
      <c r="A2092" s="6" t="s">
        <v>3869</v>
      </c>
      <c r="B2092" s="6" t="s">
        <v>4255</v>
      </c>
      <c r="C2092" s="6" t="s">
        <v>1573</v>
      </c>
      <c r="D2092" s="6" t="s">
        <v>4256</v>
      </c>
    </row>
    <row r="2093" ht="22" customHeight="1" spans="1:4">
      <c r="A2093" s="6" t="s">
        <v>3869</v>
      </c>
      <c r="B2093" s="6" t="s">
        <v>4257</v>
      </c>
      <c r="C2093" s="6" t="s">
        <v>1573</v>
      </c>
      <c r="D2093" s="6" t="s">
        <v>4258</v>
      </c>
    </row>
    <row r="2094" ht="22" customHeight="1" spans="1:4">
      <c r="A2094" s="6" t="s">
        <v>3869</v>
      </c>
      <c r="B2094" s="6" t="s">
        <v>4259</v>
      </c>
      <c r="C2094" s="6" t="s">
        <v>1573</v>
      </c>
      <c r="D2094" s="6" t="s">
        <v>4260</v>
      </c>
    </row>
    <row r="2095" ht="22" customHeight="1" spans="1:4">
      <c r="A2095" s="6" t="s">
        <v>3869</v>
      </c>
      <c r="B2095" s="6" t="s">
        <v>4261</v>
      </c>
      <c r="C2095" s="6" t="s">
        <v>1573</v>
      </c>
      <c r="D2095" s="6" t="s">
        <v>3098</v>
      </c>
    </row>
    <row r="2096" ht="22" customHeight="1" spans="1:4">
      <c r="A2096" s="6" t="s">
        <v>3869</v>
      </c>
      <c r="B2096" s="6" t="s">
        <v>4262</v>
      </c>
      <c r="C2096" s="6" t="s">
        <v>1605</v>
      </c>
      <c r="D2096" s="6" t="s">
        <v>1649</v>
      </c>
    </row>
    <row r="2097" ht="22" customHeight="1" spans="1:4">
      <c r="A2097" s="6" t="s">
        <v>3869</v>
      </c>
      <c r="B2097" s="6" t="s">
        <v>4263</v>
      </c>
      <c r="C2097" s="6" t="s">
        <v>1573</v>
      </c>
      <c r="D2097" s="6" t="s">
        <v>1623</v>
      </c>
    </row>
    <row r="2098" ht="22" customHeight="1" spans="1:4">
      <c r="A2098" s="6" t="s">
        <v>3869</v>
      </c>
      <c r="B2098" s="6" t="s">
        <v>4264</v>
      </c>
      <c r="C2098" s="6" t="s">
        <v>1605</v>
      </c>
      <c r="D2098" s="6" t="s">
        <v>2315</v>
      </c>
    </row>
    <row r="2099" ht="22" customHeight="1" spans="1:4">
      <c r="A2099" s="6" t="s">
        <v>3869</v>
      </c>
      <c r="B2099" s="6" t="s">
        <v>4265</v>
      </c>
      <c r="C2099" s="6" t="s">
        <v>1599</v>
      </c>
      <c r="D2099" s="6" t="s">
        <v>4266</v>
      </c>
    </row>
    <row r="2100" ht="22" customHeight="1" spans="1:4">
      <c r="A2100" s="6" t="s">
        <v>3869</v>
      </c>
      <c r="B2100" s="6" t="s">
        <v>4267</v>
      </c>
      <c r="C2100" s="6" t="s">
        <v>1714</v>
      </c>
      <c r="D2100" s="6" t="s">
        <v>1715</v>
      </c>
    </row>
    <row r="2101" ht="22" customHeight="1" spans="1:4">
      <c r="A2101" s="6" t="s">
        <v>3869</v>
      </c>
      <c r="B2101" s="6" t="s">
        <v>4268</v>
      </c>
      <c r="C2101" s="6" t="s">
        <v>1605</v>
      </c>
      <c r="D2101" s="6" t="s">
        <v>1701</v>
      </c>
    </row>
    <row r="2102" ht="22" customHeight="1" spans="1:4">
      <c r="A2102" s="6" t="s">
        <v>3869</v>
      </c>
      <c r="B2102" s="6" t="s">
        <v>4269</v>
      </c>
      <c r="C2102" s="6" t="s">
        <v>1573</v>
      </c>
      <c r="D2102" s="6" t="s">
        <v>1593</v>
      </c>
    </row>
    <row r="2103" ht="22" customHeight="1" spans="1:4">
      <c r="A2103" s="6" t="s">
        <v>3869</v>
      </c>
      <c r="B2103" s="6" t="s">
        <v>4270</v>
      </c>
      <c r="C2103" s="6" t="s">
        <v>1605</v>
      </c>
      <c r="D2103" s="6" t="s">
        <v>2447</v>
      </c>
    </row>
    <row r="2104" ht="22" customHeight="1" spans="1:4">
      <c r="A2104" s="6" t="s">
        <v>3869</v>
      </c>
      <c r="B2104" s="6" t="s">
        <v>4271</v>
      </c>
      <c r="C2104" s="6" t="s">
        <v>1605</v>
      </c>
      <c r="D2104" s="6" t="s">
        <v>1641</v>
      </c>
    </row>
    <row r="2105" ht="22" customHeight="1" spans="1:4">
      <c r="A2105" s="6" t="s">
        <v>3869</v>
      </c>
      <c r="B2105" s="6" t="s">
        <v>4272</v>
      </c>
      <c r="C2105" s="6" t="s">
        <v>1605</v>
      </c>
      <c r="D2105" s="6" t="s">
        <v>1636</v>
      </c>
    </row>
    <row r="2106" ht="22" customHeight="1" spans="1:4">
      <c r="A2106" s="6" t="s">
        <v>3869</v>
      </c>
      <c r="B2106" s="6" t="s">
        <v>4273</v>
      </c>
      <c r="C2106" s="6" t="s">
        <v>1605</v>
      </c>
      <c r="D2106" s="6" t="s">
        <v>1606</v>
      </c>
    </row>
    <row r="2107" ht="22" customHeight="1" spans="1:4">
      <c r="A2107" s="6" t="s">
        <v>3869</v>
      </c>
      <c r="B2107" s="6" t="s">
        <v>4274</v>
      </c>
      <c r="C2107" s="6" t="s">
        <v>1599</v>
      </c>
      <c r="D2107" s="6" t="s">
        <v>4275</v>
      </c>
    </row>
    <row r="2108" ht="22" customHeight="1" spans="1:4">
      <c r="A2108" s="6" t="s">
        <v>3869</v>
      </c>
      <c r="B2108" s="6" t="s">
        <v>4276</v>
      </c>
      <c r="C2108" s="6" t="s">
        <v>1605</v>
      </c>
      <c r="D2108" s="6" t="s">
        <v>1649</v>
      </c>
    </row>
    <row r="2109" ht="22" customHeight="1" spans="1:4">
      <c r="A2109" s="6" t="s">
        <v>3869</v>
      </c>
      <c r="B2109" s="6" t="s">
        <v>4277</v>
      </c>
      <c r="C2109" s="6" t="s">
        <v>1605</v>
      </c>
      <c r="D2109" s="6" t="s">
        <v>1651</v>
      </c>
    </row>
    <row r="2110" ht="22" customHeight="1" spans="1:4">
      <c r="A2110" s="6" t="s">
        <v>3869</v>
      </c>
      <c r="B2110" s="6" t="s">
        <v>4278</v>
      </c>
      <c r="C2110" s="6" t="s">
        <v>1599</v>
      </c>
      <c r="D2110" s="6" t="s">
        <v>1653</v>
      </c>
    </row>
    <row r="2111" ht="22" customHeight="1" spans="1:4">
      <c r="A2111" s="6" t="s">
        <v>3869</v>
      </c>
      <c r="B2111" s="6" t="s">
        <v>4279</v>
      </c>
      <c r="C2111" s="6" t="s">
        <v>1599</v>
      </c>
      <c r="D2111" s="6" t="s">
        <v>1655</v>
      </c>
    </row>
    <row r="2112" ht="22" customHeight="1" spans="1:4">
      <c r="A2112" s="6" t="s">
        <v>3869</v>
      </c>
      <c r="B2112" s="6" t="s">
        <v>4280</v>
      </c>
      <c r="C2112" s="6" t="s">
        <v>1605</v>
      </c>
      <c r="D2112" s="6" t="s">
        <v>1657</v>
      </c>
    </row>
    <row r="2113" ht="22" customHeight="1" spans="1:4">
      <c r="A2113" s="6" t="s">
        <v>3869</v>
      </c>
      <c r="B2113" s="6" t="s">
        <v>4281</v>
      </c>
      <c r="C2113" s="6" t="s">
        <v>1605</v>
      </c>
      <c r="D2113" s="6" t="s">
        <v>3161</v>
      </c>
    </row>
    <row r="2114" ht="22" customHeight="1" spans="1:4">
      <c r="A2114" s="6" t="s">
        <v>3869</v>
      </c>
      <c r="B2114" s="6" t="s">
        <v>4282</v>
      </c>
      <c r="C2114" s="6" t="s">
        <v>1599</v>
      </c>
      <c r="D2114" s="6" t="s">
        <v>1661</v>
      </c>
    </row>
    <row r="2115" ht="22" customHeight="1" spans="1:4">
      <c r="A2115" s="6" t="s">
        <v>3869</v>
      </c>
      <c r="B2115" s="6" t="s">
        <v>4283</v>
      </c>
      <c r="C2115" s="6" t="s">
        <v>1599</v>
      </c>
      <c r="D2115" s="6" t="s">
        <v>4284</v>
      </c>
    </row>
    <row r="2116" ht="22" customHeight="1" spans="1:4">
      <c r="A2116" s="6" t="s">
        <v>4285</v>
      </c>
      <c r="B2116" s="6" t="s">
        <v>1569</v>
      </c>
      <c r="C2116" s="6" t="s">
        <v>1570</v>
      </c>
      <c r="D2116" s="6" t="s">
        <v>1571</v>
      </c>
    </row>
    <row r="2117" ht="22" customHeight="1" spans="1:4">
      <c r="A2117" s="6" t="s">
        <v>4285</v>
      </c>
      <c r="B2117" s="6" t="s">
        <v>4286</v>
      </c>
      <c r="C2117" s="6" t="s">
        <v>1573</v>
      </c>
      <c r="D2117" s="6" t="s">
        <v>463</v>
      </c>
    </row>
    <row r="2118" ht="22" customHeight="1" spans="1:4">
      <c r="A2118" s="6" t="s">
        <v>4285</v>
      </c>
      <c r="B2118" s="6" t="s">
        <v>4287</v>
      </c>
      <c r="C2118" s="6" t="s">
        <v>1576</v>
      </c>
      <c r="D2118" s="6" t="s">
        <v>1571</v>
      </c>
    </row>
    <row r="2119" ht="22" customHeight="1" spans="1:4">
      <c r="A2119" s="6" t="s">
        <v>4285</v>
      </c>
      <c r="B2119" s="6" t="s">
        <v>4288</v>
      </c>
      <c r="C2119" s="6" t="s">
        <v>1573</v>
      </c>
      <c r="D2119" s="6" t="s">
        <v>275</v>
      </c>
    </row>
    <row r="2120" ht="22" customHeight="1" spans="1:4">
      <c r="A2120" s="6" t="s">
        <v>4285</v>
      </c>
      <c r="B2120" s="6" t="s">
        <v>4289</v>
      </c>
      <c r="C2120" s="6" t="s">
        <v>1573</v>
      </c>
      <c r="D2120" s="6" t="s">
        <v>1593</v>
      </c>
    </row>
    <row r="2121" ht="22" customHeight="1" spans="1:4">
      <c r="A2121" s="6" t="s">
        <v>4285</v>
      </c>
      <c r="B2121" s="6" t="s">
        <v>4290</v>
      </c>
      <c r="C2121" s="6" t="s">
        <v>1573</v>
      </c>
      <c r="D2121" s="6" t="s">
        <v>922</v>
      </c>
    </row>
    <row r="2122" ht="22" customHeight="1" spans="1:4">
      <c r="A2122" s="6" t="s">
        <v>4285</v>
      </c>
      <c r="B2122" s="6" t="s">
        <v>4291</v>
      </c>
      <c r="C2122" s="6" t="s">
        <v>1573</v>
      </c>
      <c r="D2122" s="6" t="s">
        <v>1596</v>
      </c>
    </row>
    <row r="2123" ht="22" customHeight="1" spans="1:4">
      <c r="A2123" s="6" t="s">
        <v>4285</v>
      </c>
      <c r="B2123" s="6" t="s">
        <v>4292</v>
      </c>
      <c r="C2123" s="6" t="s">
        <v>1573</v>
      </c>
      <c r="D2123" s="6" t="s">
        <v>1589</v>
      </c>
    </row>
    <row r="2124" ht="22" customHeight="1" spans="1:4">
      <c r="A2124" s="6" t="s">
        <v>4285</v>
      </c>
      <c r="B2124" s="6" t="s">
        <v>4293</v>
      </c>
      <c r="C2124" s="6" t="s">
        <v>1576</v>
      </c>
      <c r="D2124" s="6" t="s">
        <v>1571</v>
      </c>
    </row>
    <row r="2125" ht="22" customHeight="1" spans="1:4">
      <c r="A2125" s="6" t="s">
        <v>4285</v>
      </c>
      <c r="B2125" s="6" t="s">
        <v>4294</v>
      </c>
      <c r="C2125" s="6" t="s">
        <v>1573</v>
      </c>
      <c r="D2125" s="6" t="s">
        <v>1888</v>
      </c>
    </row>
    <row r="2126" ht="22" customHeight="1" spans="1:4">
      <c r="A2126" s="6" t="s">
        <v>4285</v>
      </c>
      <c r="B2126" s="6" t="s">
        <v>4295</v>
      </c>
      <c r="C2126" s="6" t="s">
        <v>1573</v>
      </c>
      <c r="D2126" s="6" t="s">
        <v>1155</v>
      </c>
    </row>
    <row r="2127" ht="22" customHeight="1" spans="1:4">
      <c r="A2127" s="6" t="s">
        <v>4285</v>
      </c>
      <c r="B2127" s="6" t="s">
        <v>4296</v>
      </c>
      <c r="C2127" s="6" t="s">
        <v>1573</v>
      </c>
      <c r="D2127" s="6" t="s">
        <v>3984</v>
      </c>
    </row>
    <row r="2128" ht="22" customHeight="1" spans="1:4">
      <c r="A2128" s="6" t="s">
        <v>4285</v>
      </c>
      <c r="B2128" s="6" t="s">
        <v>4297</v>
      </c>
      <c r="C2128" s="6" t="s">
        <v>1573</v>
      </c>
      <c r="D2128" s="6" t="s">
        <v>3571</v>
      </c>
    </row>
    <row r="2129" ht="22" customHeight="1" spans="1:4">
      <c r="A2129" s="6" t="s">
        <v>4285</v>
      </c>
      <c r="B2129" s="6" t="s">
        <v>4298</v>
      </c>
      <c r="C2129" s="6" t="s">
        <v>1570</v>
      </c>
      <c r="D2129" s="6" t="s">
        <v>1571</v>
      </c>
    </row>
    <row r="2130" ht="22" customHeight="1" spans="1:4">
      <c r="A2130" s="6" t="s">
        <v>4285</v>
      </c>
      <c r="B2130" s="6" t="s">
        <v>4299</v>
      </c>
      <c r="C2130" s="6" t="s">
        <v>1599</v>
      </c>
      <c r="D2130" s="6" t="s">
        <v>4300</v>
      </c>
    </row>
    <row r="2131" ht="22" customHeight="1" spans="1:4">
      <c r="A2131" s="6" t="s">
        <v>4285</v>
      </c>
      <c r="B2131" s="6" t="s">
        <v>4301</v>
      </c>
      <c r="C2131" s="6" t="s">
        <v>1599</v>
      </c>
      <c r="D2131" s="6" t="s">
        <v>4302</v>
      </c>
    </row>
    <row r="2132" ht="22" customHeight="1" spans="1:4">
      <c r="A2132" s="6" t="s">
        <v>4285</v>
      </c>
      <c r="B2132" s="6" t="s">
        <v>4303</v>
      </c>
      <c r="C2132" s="6" t="s">
        <v>1599</v>
      </c>
      <c r="D2132" s="6" t="s">
        <v>4304</v>
      </c>
    </row>
    <row r="2133" ht="22" customHeight="1" spans="1:4">
      <c r="A2133" s="6" t="s">
        <v>4285</v>
      </c>
      <c r="B2133" s="6" t="s">
        <v>4305</v>
      </c>
      <c r="C2133" s="6" t="s">
        <v>1599</v>
      </c>
      <c r="D2133" s="6" t="s">
        <v>4306</v>
      </c>
    </row>
    <row r="2134" ht="22" customHeight="1" spans="1:4">
      <c r="A2134" s="6" t="s">
        <v>4285</v>
      </c>
      <c r="B2134" s="6" t="s">
        <v>4307</v>
      </c>
      <c r="C2134" s="6" t="s">
        <v>1599</v>
      </c>
      <c r="D2134" s="6" t="s">
        <v>4308</v>
      </c>
    </row>
    <row r="2135" ht="22" customHeight="1" spans="1:4">
      <c r="A2135" s="6" t="s">
        <v>4285</v>
      </c>
      <c r="B2135" s="6" t="s">
        <v>4309</v>
      </c>
      <c r="C2135" s="6" t="s">
        <v>1570</v>
      </c>
      <c r="D2135" s="6" t="s">
        <v>1571</v>
      </c>
    </row>
    <row r="2136" ht="22" customHeight="1" spans="1:4">
      <c r="A2136" s="6" t="s">
        <v>4285</v>
      </c>
      <c r="B2136" s="6" t="s">
        <v>4310</v>
      </c>
      <c r="C2136" s="6" t="s">
        <v>1599</v>
      </c>
      <c r="D2136" s="6" t="s">
        <v>4311</v>
      </c>
    </row>
    <row r="2137" ht="22" customHeight="1" spans="1:4">
      <c r="A2137" s="6" t="s">
        <v>4285</v>
      </c>
      <c r="B2137" s="6" t="s">
        <v>4312</v>
      </c>
      <c r="C2137" s="6" t="s">
        <v>1599</v>
      </c>
      <c r="D2137" s="6" t="s">
        <v>4313</v>
      </c>
    </row>
    <row r="2138" ht="22" customHeight="1" spans="1:4">
      <c r="A2138" s="6" t="s">
        <v>4285</v>
      </c>
      <c r="B2138" s="6" t="s">
        <v>4314</v>
      </c>
      <c r="C2138" s="6" t="s">
        <v>1599</v>
      </c>
      <c r="D2138" s="6" t="s">
        <v>4315</v>
      </c>
    </row>
    <row r="2139" ht="22" customHeight="1" spans="1:4">
      <c r="A2139" s="6" t="s">
        <v>4285</v>
      </c>
      <c r="B2139" s="6" t="s">
        <v>4316</v>
      </c>
      <c r="C2139" s="6" t="s">
        <v>1599</v>
      </c>
      <c r="D2139" s="6" t="s">
        <v>4317</v>
      </c>
    </row>
    <row r="2140" ht="22" customHeight="1" spans="1:4">
      <c r="A2140" s="6" t="s">
        <v>4285</v>
      </c>
      <c r="B2140" s="6" t="s">
        <v>4318</v>
      </c>
      <c r="C2140" s="6" t="s">
        <v>1576</v>
      </c>
      <c r="D2140" s="6" t="s">
        <v>1571</v>
      </c>
    </row>
    <row r="2141" ht="22" customHeight="1" spans="1:4">
      <c r="A2141" s="6" t="s">
        <v>4285</v>
      </c>
      <c r="B2141" s="6" t="s">
        <v>4319</v>
      </c>
      <c r="C2141" s="6" t="s">
        <v>1570</v>
      </c>
      <c r="D2141" s="6" t="s">
        <v>1571</v>
      </c>
    </row>
    <row r="2142" ht="22" customHeight="1" spans="1:4">
      <c r="A2142" s="6" t="s">
        <v>4285</v>
      </c>
      <c r="B2142" s="6" t="s">
        <v>4320</v>
      </c>
      <c r="C2142" s="6" t="s">
        <v>1599</v>
      </c>
      <c r="D2142" s="6" t="s">
        <v>4321</v>
      </c>
    </row>
    <row r="2143" ht="22" customHeight="1" spans="1:4">
      <c r="A2143" s="6" t="s">
        <v>4285</v>
      </c>
      <c r="B2143" s="6" t="s">
        <v>4322</v>
      </c>
      <c r="C2143" s="6" t="s">
        <v>1599</v>
      </c>
      <c r="D2143" s="6" t="s">
        <v>4323</v>
      </c>
    </row>
    <row r="2144" ht="22" customHeight="1" spans="1:4">
      <c r="A2144" s="6" t="s">
        <v>4285</v>
      </c>
      <c r="B2144" s="6" t="s">
        <v>4324</v>
      </c>
      <c r="C2144" s="6" t="s">
        <v>1599</v>
      </c>
      <c r="D2144" s="6" t="s">
        <v>4325</v>
      </c>
    </row>
    <row r="2145" ht="22" customHeight="1" spans="1:4">
      <c r="A2145" s="6" t="s">
        <v>4285</v>
      </c>
      <c r="B2145" s="6" t="s">
        <v>4326</v>
      </c>
      <c r="C2145" s="6" t="s">
        <v>1599</v>
      </c>
      <c r="D2145" s="6" t="s">
        <v>4327</v>
      </c>
    </row>
    <row r="2146" ht="22" customHeight="1" spans="1:4">
      <c r="A2146" s="6" t="s">
        <v>4285</v>
      </c>
      <c r="B2146" s="6" t="s">
        <v>4328</v>
      </c>
      <c r="C2146" s="6" t="s">
        <v>1570</v>
      </c>
      <c r="D2146" s="6" t="s">
        <v>1571</v>
      </c>
    </row>
    <row r="2147" ht="22" customHeight="1" spans="1:4">
      <c r="A2147" s="6" t="s">
        <v>4285</v>
      </c>
      <c r="B2147" s="6" t="s">
        <v>4329</v>
      </c>
      <c r="C2147" s="6" t="s">
        <v>1599</v>
      </c>
      <c r="D2147" s="6" t="s">
        <v>4330</v>
      </c>
    </row>
    <row r="2148" ht="22" customHeight="1" spans="1:4">
      <c r="A2148" s="6" t="s">
        <v>4285</v>
      </c>
      <c r="B2148" s="6" t="s">
        <v>4331</v>
      </c>
      <c r="C2148" s="6" t="s">
        <v>1599</v>
      </c>
      <c r="D2148" s="6" t="s">
        <v>4332</v>
      </c>
    </row>
    <row r="2149" ht="22" customHeight="1" spans="1:4">
      <c r="A2149" s="6" t="s">
        <v>4285</v>
      </c>
      <c r="B2149" s="6" t="s">
        <v>4333</v>
      </c>
      <c r="C2149" s="6" t="s">
        <v>1599</v>
      </c>
      <c r="D2149" s="6" t="s">
        <v>4325</v>
      </c>
    </row>
    <row r="2150" ht="22" customHeight="1" spans="1:4">
      <c r="A2150" s="6" t="s">
        <v>4285</v>
      </c>
      <c r="B2150" s="6" t="s">
        <v>4334</v>
      </c>
      <c r="C2150" s="6" t="s">
        <v>1599</v>
      </c>
      <c r="D2150" s="6" t="s">
        <v>4335</v>
      </c>
    </row>
    <row r="2151" ht="22" customHeight="1" spans="1:4">
      <c r="A2151" s="6" t="s">
        <v>4285</v>
      </c>
      <c r="B2151" s="6" t="s">
        <v>4336</v>
      </c>
      <c r="C2151" s="6" t="s">
        <v>1570</v>
      </c>
      <c r="D2151" s="6" t="s">
        <v>1571</v>
      </c>
    </row>
    <row r="2152" ht="22" customHeight="1" spans="1:4">
      <c r="A2152" s="6" t="s">
        <v>4285</v>
      </c>
      <c r="B2152" s="6" t="s">
        <v>4337</v>
      </c>
      <c r="C2152" s="6" t="s">
        <v>1599</v>
      </c>
      <c r="D2152" s="6" t="s">
        <v>4338</v>
      </c>
    </row>
    <row r="2153" ht="22" customHeight="1" spans="1:4">
      <c r="A2153" s="6" t="s">
        <v>4285</v>
      </c>
      <c r="B2153" s="6" t="s">
        <v>4339</v>
      </c>
      <c r="C2153" s="6" t="s">
        <v>1599</v>
      </c>
      <c r="D2153" s="6" t="s">
        <v>4340</v>
      </c>
    </row>
    <row r="2154" ht="22" customHeight="1" spans="1:4">
      <c r="A2154" s="6" t="s">
        <v>4285</v>
      </c>
      <c r="B2154" s="6" t="s">
        <v>4341</v>
      </c>
      <c r="C2154" s="6" t="s">
        <v>1599</v>
      </c>
      <c r="D2154" s="6" t="s">
        <v>4325</v>
      </c>
    </row>
    <row r="2155" ht="22" customHeight="1" spans="1:4">
      <c r="A2155" s="6" t="s">
        <v>4285</v>
      </c>
      <c r="B2155" s="6" t="s">
        <v>4342</v>
      </c>
      <c r="C2155" s="6" t="s">
        <v>1599</v>
      </c>
      <c r="D2155" s="6" t="s">
        <v>4343</v>
      </c>
    </row>
    <row r="2156" ht="22" customHeight="1" spans="1:4">
      <c r="A2156" s="6" t="s">
        <v>4285</v>
      </c>
      <c r="B2156" s="6" t="s">
        <v>4344</v>
      </c>
      <c r="C2156" s="6" t="s">
        <v>1570</v>
      </c>
      <c r="D2156" s="6" t="s">
        <v>1571</v>
      </c>
    </row>
    <row r="2157" ht="22" customHeight="1" spans="1:4">
      <c r="A2157" s="6" t="s">
        <v>4285</v>
      </c>
      <c r="B2157" s="6" t="s">
        <v>4345</v>
      </c>
      <c r="C2157" s="6" t="s">
        <v>1599</v>
      </c>
      <c r="D2157" s="6" t="s">
        <v>4346</v>
      </c>
    </row>
    <row r="2158" ht="22" customHeight="1" spans="1:4">
      <c r="A2158" s="6" t="s">
        <v>4285</v>
      </c>
      <c r="B2158" s="6" t="s">
        <v>4347</v>
      </c>
      <c r="C2158" s="6" t="s">
        <v>1599</v>
      </c>
      <c r="D2158" s="6" t="s">
        <v>4348</v>
      </c>
    </row>
    <row r="2159" ht="22" customHeight="1" spans="1:4">
      <c r="A2159" s="6" t="s">
        <v>4285</v>
      </c>
      <c r="B2159" s="6" t="s">
        <v>4349</v>
      </c>
      <c r="C2159" s="6" t="s">
        <v>1599</v>
      </c>
      <c r="D2159" s="6" t="s">
        <v>4325</v>
      </c>
    </row>
    <row r="2160" ht="22" customHeight="1" spans="1:4">
      <c r="A2160" s="6" t="s">
        <v>4285</v>
      </c>
      <c r="B2160" s="6" t="s">
        <v>4350</v>
      </c>
      <c r="C2160" s="6" t="s">
        <v>1599</v>
      </c>
      <c r="D2160" s="6" t="s">
        <v>4351</v>
      </c>
    </row>
    <row r="2161" ht="22" customHeight="1" spans="1:4">
      <c r="A2161" s="6" t="s">
        <v>4285</v>
      </c>
      <c r="B2161" s="6" t="s">
        <v>4352</v>
      </c>
      <c r="C2161" s="6" t="s">
        <v>1570</v>
      </c>
      <c r="D2161" s="6" t="s">
        <v>1571</v>
      </c>
    </row>
    <row r="2162" ht="22" customHeight="1" spans="1:4">
      <c r="A2162" s="6" t="s">
        <v>4285</v>
      </c>
      <c r="B2162" s="6" t="s">
        <v>4353</v>
      </c>
      <c r="C2162" s="6" t="s">
        <v>1599</v>
      </c>
      <c r="D2162" s="6" t="s">
        <v>4354</v>
      </c>
    </row>
    <row r="2163" ht="22" customHeight="1" spans="1:4">
      <c r="A2163" s="6" t="s">
        <v>4285</v>
      </c>
      <c r="B2163" s="6" t="s">
        <v>4355</v>
      </c>
      <c r="C2163" s="6" t="s">
        <v>1599</v>
      </c>
      <c r="D2163" s="6" t="s">
        <v>4356</v>
      </c>
    </row>
    <row r="2164" ht="22" customHeight="1" spans="1:4">
      <c r="A2164" s="6" t="s">
        <v>4285</v>
      </c>
      <c r="B2164" s="6" t="s">
        <v>4357</v>
      </c>
      <c r="C2164" s="6" t="s">
        <v>1599</v>
      </c>
      <c r="D2164" s="6" t="s">
        <v>4325</v>
      </c>
    </row>
    <row r="2165" ht="22" customHeight="1" spans="1:4">
      <c r="A2165" s="6" t="s">
        <v>4285</v>
      </c>
      <c r="B2165" s="6" t="s">
        <v>4358</v>
      </c>
      <c r="C2165" s="6" t="s">
        <v>1599</v>
      </c>
      <c r="D2165" s="6" t="s">
        <v>4359</v>
      </c>
    </row>
    <row r="2166" ht="22" customHeight="1" spans="1:4">
      <c r="A2166" s="6" t="s">
        <v>4285</v>
      </c>
      <c r="B2166" s="6" t="s">
        <v>4360</v>
      </c>
      <c r="C2166" s="6" t="s">
        <v>1570</v>
      </c>
      <c r="D2166" s="6" t="s">
        <v>1571</v>
      </c>
    </row>
    <row r="2167" ht="22" customHeight="1" spans="1:4">
      <c r="A2167" s="6" t="s">
        <v>4285</v>
      </c>
      <c r="B2167" s="6" t="s">
        <v>4361</v>
      </c>
      <c r="C2167" s="6" t="s">
        <v>1599</v>
      </c>
      <c r="D2167" s="6" t="s">
        <v>4362</v>
      </c>
    </row>
    <row r="2168" ht="22" customHeight="1" spans="1:4">
      <c r="A2168" s="6" t="s">
        <v>4285</v>
      </c>
      <c r="B2168" s="6" t="s">
        <v>4363</v>
      </c>
      <c r="C2168" s="6" t="s">
        <v>1599</v>
      </c>
      <c r="D2168" s="6" t="s">
        <v>4364</v>
      </c>
    </row>
    <row r="2169" ht="22" customHeight="1" spans="1:4">
      <c r="A2169" s="6" t="s">
        <v>4285</v>
      </c>
      <c r="B2169" s="6" t="s">
        <v>4365</v>
      </c>
      <c r="C2169" s="6" t="s">
        <v>1599</v>
      </c>
      <c r="D2169" s="6" t="s">
        <v>4325</v>
      </c>
    </row>
    <row r="2170" ht="22" customHeight="1" spans="1:4">
      <c r="A2170" s="6" t="s">
        <v>4285</v>
      </c>
      <c r="B2170" s="6" t="s">
        <v>4366</v>
      </c>
      <c r="C2170" s="6" t="s">
        <v>1599</v>
      </c>
      <c r="D2170" s="6" t="s">
        <v>4367</v>
      </c>
    </row>
    <row r="2171" ht="22" customHeight="1" spans="1:4">
      <c r="A2171" s="6" t="s">
        <v>4285</v>
      </c>
      <c r="B2171" s="6" t="s">
        <v>4368</v>
      </c>
      <c r="C2171" s="6" t="s">
        <v>1570</v>
      </c>
      <c r="D2171" s="6" t="s">
        <v>1571</v>
      </c>
    </row>
    <row r="2172" ht="22" customHeight="1" spans="1:4">
      <c r="A2172" s="6" t="s">
        <v>4285</v>
      </c>
      <c r="B2172" s="6" t="s">
        <v>4369</v>
      </c>
      <c r="C2172" s="6" t="s">
        <v>1599</v>
      </c>
      <c r="D2172" s="6" t="s">
        <v>4370</v>
      </c>
    </row>
    <row r="2173" ht="22" customHeight="1" spans="1:4">
      <c r="A2173" s="6" t="s">
        <v>4285</v>
      </c>
      <c r="B2173" s="6" t="s">
        <v>4371</v>
      </c>
      <c r="C2173" s="6" t="s">
        <v>1599</v>
      </c>
      <c r="D2173" s="6" t="s">
        <v>4372</v>
      </c>
    </row>
    <row r="2174" ht="22" customHeight="1" spans="1:4">
      <c r="A2174" s="6" t="s">
        <v>4285</v>
      </c>
      <c r="B2174" s="6" t="s">
        <v>4373</v>
      </c>
      <c r="C2174" s="6" t="s">
        <v>1599</v>
      </c>
      <c r="D2174" s="6" t="s">
        <v>4374</v>
      </c>
    </row>
    <row r="2175" ht="22" customHeight="1" spans="1:4">
      <c r="A2175" s="6" t="s">
        <v>4285</v>
      </c>
      <c r="B2175" s="6" t="s">
        <v>4375</v>
      </c>
      <c r="C2175" s="6" t="s">
        <v>1605</v>
      </c>
      <c r="D2175" s="6" t="s">
        <v>2164</v>
      </c>
    </row>
    <row r="2176" ht="22" customHeight="1" spans="1:4">
      <c r="A2176" s="6" t="s">
        <v>4285</v>
      </c>
      <c r="B2176" s="6" t="s">
        <v>4376</v>
      </c>
      <c r="C2176" s="6" t="s">
        <v>1599</v>
      </c>
      <c r="D2176" s="6" t="s">
        <v>4377</v>
      </c>
    </row>
    <row r="2177" ht="22" customHeight="1" spans="1:4">
      <c r="A2177" s="6" t="s">
        <v>4285</v>
      </c>
      <c r="B2177" s="6" t="s">
        <v>4378</v>
      </c>
      <c r="C2177" s="6" t="s">
        <v>1570</v>
      </c>
      <c r="D2177" s="6" t="s">
        <v>1571</v>
      </c>
    </row>
    <row r="2178" ht="22" customHeight="1" spans="1:4">
      <c r="A2178" s="6" t="s">
        <v>4285</v>
      </c>
      <c r="B2178" s="6" t="s">
        <v>4379</v>
      </c>
      <c r="C2178" s="6" t="s">
        <v>1599</v>
      </c>
      <c r="D2178" s="6" t="s">
        <v>4380</v>
      </c>
    </row>
    <row r="2179" ht="22" customHeight="1" spans="1:4">
      <c r="A2179" s="6" t="s">
        <v>4285</v>
      </c>
      <c r="B2179" s="6" t="s">
        <v>4381</v>
      </c>
      <c r="C2179" s="6" t="s">
        <v>1599</v>
      </c>
      <c r="D2179" s="6" t="s">
        <v>4382</v>
      </c>
    </row>
    <row r="2180" ht="22" customHeight="1" spans="1:4">
      <c r="A2180" s="6" t="s">
        <v>4285</v>
      </c>
      <c r="B2180" s="6" t="s">
        <v>4383</v>
      </c>
      <c r="C2180" s="6" t="s">
        <v>1599</v>
      </c>
      <c r="D2180" s="6" t="s">
        <v>4374</v>
      </c>
    </row>
    <row r="2181" ht="22" customHeight="1" spans="1:4">
      <c r="A2181" s="6" t="s">
        <v>4285</v>
      </c>
      <c r="B2181" s="6" t="s">
        <v>4384</v>
      </c>
      <c r="C2181" s="6" t="s">
        <v>1605</v>
      </c>
      <c r="D2181" s="6" t="s">
        <v>2164</v>
      </c>
    </row>
    <row r="2182" ht="22" customHeight="1" spans="1:4">
      <c r="A2182" s="6" t="s">
        <v>4285</v>
      </c>
      <c r="B2182" s="6" t="s">
        <v>4385</v>
      </c>
      <c r="C2182" s="6" t="s">
        <v>1599</v>
      </c>
      <c r="D2182" s="6" t="s">
        <v>4386</v>
      </c>
    </row>
    <row r="2183" ht="22" customHeight="1" spans="1:4">
      <c r="A2183" s="6" t="s">
        <v>4285</v>
      </c>
      <c r="B2183" s="6" t="s">
        <v>4387</v>
      </c>
      <c r="C2183" s="6" t="s">
        <v>1570</v>
      </c>
      <c r="D2183" s="6" t="s">
        <v>1571</v>
      </c>
    </row>
    <row r="2184" ht="22" customHeight="1" spans="1:4">
      <c r="A2184" s="6" t="s">
        <v>4285</v>
      </c>
      <c r="B2184" s="6" t="s">
        <v>4388</v>
      </c>
      <c r="C2184" s="6" t="s">
        <v>1599</v>
      </c>
      <c r="D2184" s="6" t="s">
        <v>4389</v>
      </c>
    </row>
    <row r="2185" ht="22" customHeight="1" spans="1:4">
      <c r="A2185" s="6" t="s">
        <v>4285</v>
      </c>
      <c r="B2185" s="6" t="s">
        <v>4390</v>
      </c>
      <c r="C2185" s="6" t="s">
        <v>1599</v>
      </c>
      <c r="D2185" s="6" t="s">
        <v>4391</v>
      </c>
    </row>
    <row r="2186" ht="22" customHeight="1" spans="1:4">
      <c r="A2186" s="6" t="s">
        <v>4285</v>
      </c>
      <c r="B2186" s="6" t="s">
        <v>4392</v>
      </c>
      <c r="C2186" s="6" t="s">
        <v>1599</v>
      </c>
      <c r="D2186" s="6" t="s">
        <v>4374</v>
      </c>
    </row>
    <row r="2187" ht="22" customHeight="1" spans="1:4">
      <c r="A2187" s="6" t="s">
        <v>4285</v>
      </c>
      <c r="B2187" s="6" t="s">
        <v>4393</v>
      </c>
      <c r="C2187" s="6" t="s">
        <v>1605</v>
      </c>
      <c r="D2187" s="6" t="s">
        <v>1738</v>
      </c>
    </row>
    <row r="2188" ht="22" customHeight="1" spans="1:4">
      <c r="A2188" s="6" t="s">
        <v>4285</v>
      </c>
      <c r="B2188" s="6" t="s">
        <v>4394</v>
      </c>
      <c r="C2188" s="6" t="s">
        <v>1599</v>
      </c>
      <c r="D2188" s="6" t="s">
        <v>4395</v>
      </c>
    </row>
    <row r="2189" ht="22" customHeight="1" spans="1:4">
      <c r="A2189" s="6" t="s">
        <v>4285</v>
      </c>
      <c r="B2189" s="6" t="s">
        <v>4396</v>
      </c>
      <c r="C2189" s="6" t="s">
        <v>1570</v>
      </c>
      <c r="D2189" s="6" t="s">
        <v>1571</v>
      </c>
    </row>
    <row r="2190" ht="22" customHeight="1" spans="1:4">
      <c r="A2190" s="6" t="s">
        <v>4285</v>
      </c>
      <c r="B2190" s="6" t="s">
        <v>4397</v>
      </c>
      <c r="C2190" s="6" t="s">
        <v>1599</v>
      </c>
      <c r="D2190" s="6" t="s">
        <v>4398</v>
      </c>
    </row>
    <row r="2191" ht="22" customHeight="1" spans="1:4">
      <c r="A2191" s="6" t="s">
        <v>4285</v>
      </c>
      <c r="B2191" s="6" t="s">
        <v>4399</v>
      </c>
      <c r="C2191" s="6" t="s">
        <v>1599</v>
      </c>
      <c r="D2191" s="6" t="s">
        <v>4400</v>
      </c>
    </row>
    <row r="2192" ht="22" customHeight="1" spans="1:4">
      <c r="A2192" s="6" t="s">
        <v>4285</v>
      </c>
      <c r="B2192" s="6" t="s">
        <v>4401</v>
      </c>
      <c r="C2192" s="6" t="s">
        <v>1599</v>
      </c>
      <c r="D2192" s="6" t="s">
        <v>4374</v>
      </c>
    </row>
    <row r="2193" ht="22" customHeight="1" spans="1:4">
      <c r="A2193" s="6" t="s">
        <v>4285</v>
      </c>
      <c r="B2193" s="6" t="s">
        <v>4402</v>
      </c>
      <c r="C2193" s="6" t="s">
        <v>1605</v>
      </c>
      <c r="D2193" s="6" t="s">
        <v>1735</v>
      </c>
    </row>
    <row r="2194" ht="22" customHeight="1" spans="1:4">
      <c r="A2194" s="6" t="s">
        <v>4285</v>
      </c>
      <c r="B2194" s="6" t="s">
        <v>4403</v>
      </c>
      <c r="C2194" s="6" t="s">
        <v>1599</v>
      </c>
      <c r="D2194" s="6" t="s">
        <v>4404</v>
      </c>
    </row>
    <row r="2195" ht="22" customHeight="1" spans="1:4">
      <c r="A2195" s="6" t="s">
        <v>4285</v>
      </c>
      <c r="B2195" s="6" t="s">
        <v>4405</v>
      </c>
      <c r="C2195" s="6" t="s">
        <v>1570</v>
      </c>
      <c r="D2195" s="6" t="s">
        <v>1571</v>
      </c>
    </row>
    <row r="2196" ht="22" customHeight="1" spans="1:4">
      <c r="A2196" s="6" t="s">
        <v>4285</v>
      </c>
      <c r="B2196" s="6" t="s">
        <v>4406</v>
      </c>
      <c r="C2196" s="6" t="s">
        <v>1599</v>
      </c>
      <c r="D2196" s="6" t="s">
        <v>4407</v>
      </c>
    </row>
    <row r="2197" ht="22" customHeight="1" spans="1:4">
      <c r="A2197" s="6" t="s">
        <v>4285</v>
      </c>
      <c r="B2197" s="6" t="s">
        <v>4408</v>
      </c>
      <c r="C2197" s="6" t="s">
        <v>1605</v>
      </c>
      <c r="D2197" s="6" t="s">
        <v>1744</v>
      </c>
    </row>
    <row r="2198" ht="22" customHeight="1" spans="1:4">
      <c r="A2198" s="6" t="s">
        <v>4285</v>
      </c>
      <c r="B2198" s="6" t="s">
        <v>4409</v>
      </c>
      <c r="C2198" s="6" t="s">
        <v>1599</v>
      </c>
      <c r="D2198" s="6" t="s">
        <v>4410</v>
      </c>
    </row>
    <row r="2199" ht="22" customHeight="1" spans="1:4">
      <c r="A2199" s="6" t="s">
        <v>4285</v>
      </c>
      <c r="B2199" s="6" t="s">
        <v>4411</v>
      </c>
      <c r="C2199" s="6" t="s">
        <v>1599</v>
      </c>
      <c r="D2199" s="6" t="s">
        <v>4374</v>
      </c>
    </row>
    <row r="2200" ht="22" customHeight="1" spans="1:4">
      <c r="A2200" s="6" t="s">
        <v>4285</v>
      </c>
      <c r="B2200" s="6" t="s">
        <v>4412</v>
      </c>
      <c r="C2200" s="6" t="s">
        <v>1605</v>
      </c>
      <c r="D2200" s="6" t="s">
        <v>1645</v>
      </c>
    </row>
    <row r="2201" ht="22" customHeight="1" spans="1:4">
      <c r="A2201" s="6" t="s">
        <v>4285</v>
      </c>
      <c r="B2201" s="6" t="s">
        <v>4413</v>
      </c>
      <c r="C2201" s="6" t="s">
        <v>1605</v>
      </c>
      <c r="D2201" s="6" t="s">
        <v>1744</v>
      </c>
    </row>
    <row r="2202" ht="22" customHeight="1" spans="1:4">
      <c r="A2202" s="6" t="s">
        <v>4285</v>
      </c>
      <c r="B2202" s="6" t="s">
        <v>4414</v>
      </c>
      <c r="C2202" s="6" t="s">
        <v>1605</v>
      </c>
      <c r="D2202" s="6" t="s">
        <v>2064</v>
      </c>
    </row>
    <row r="2203" ht="22" customHeight="1" spans="1:4">
      <c r="A2203" s="6" t="s">
        <v>4285</v>
      </c>
      <c r="B2203" s="6" t="s">
        <v>4415</v>
      </c>
      <c r="C2203" s="6" t="s">
        <v>1605</v>
      </c>
      <c r="D2203" s="6" t="s">
        <v>2164</v>
      </c>
    </row>
    <row r="2204" ht="22" customHeight="1" spans="1:4">
      <c r="A2204" s="6" t="s">
        <v>4285</v>
      </c>
      <c r="B2204" s="6" t="s">
        <v>4416</v>
      </c>
      <c r="C2204" s="6" t="s">
        <v>1599</v>
      </c>
      <c r="D2204" s="6" t="s">
        <v>4417</v>
      </c>
    </row>
    <row r="2205" ht="22" customHeight="1" spans="1:4">
      <c r="A2205" s="6" t="s">
        <v>4285</v>
      </c>
      <c r="B2205" s="6" t="s">
        <v>4418</v>
      </c>
      <c r="C2205" s="6" t="s">
        <v>1570</v>
      </c>
      <c r="D2205" s="6" t="s">
        <v>1571</v>
      </c>
    </row>
    <row r="2206" ht="22" customHeight="1" spans="1:4">
      <c r="A2206" s="6" t="s">
        <v>4285</v>
      </c>
      <c r="B2206" s="6" t="s">
        <v>4419</v>
      </c>
      <c r="C2206" s="6" t="s">
        <v>1599</v>
      </c>
      <c r="D2206" s="6" t="s">
        <v>4420</v>
      </c>
    </row>
    <row r="2207" ht="22" customHeight="1" spans="1:4">
      <c r="A2207" s="6" t="s">
        <v>4285</v>
      </c>
      <c r="B2207" s="6" t="s">
        <v>4421</v>
      </c>
      <c r="C2207" s="6" t="s">
        <v>1599</v>
      </c>
      <c r="D2207" s="6" t="s">
        <v>4422</v>
      </c>
    </row>
    <row r="2208" ht="22" customHeight="1" spans="1:4">
      <c r="A2208" s="6" t="s">
        <v>4285</v>
      </c>
      <c r="B2208" s="6" t="s">
        <v>4423</v>
      </c>
      <c r="C2208" s="6" t="s">
        <v>1599</v>
      </c>
      <c r="D2208" s="6" t="s">
        <v>1655</v>
      </c>
    </row>
    <row r="2209" ht="22" customHeight="1" spans="1:4">
      <c r="A2209" s="6" t="s">
        <v>4285</v>
      </c>
      <c r="B2209" s="6" t="s">
        <v>4424</v>
      </c>
      <c r="C2209" s="6" t="s">
        <v>1605</v>
      </c>
      <c r="D2209" s="6" t="s">
        <v>4122</v>
      </c>
    </row>
    <row r="2210" ht="22" customHeight="1" spans="1:4">
      <c r="A2210" s="6" t="s">
        <v>4285</v>
      </c>
      <c r="B2210" s="6" t="s">
        <v>4425</v>
      </c>
      <c r="C2210" s="6" t="s">
        <v>1599</v>
      </c>
      <c r="D2210" s="6" t="s">
        <v>4426</v>
      </c>
    </row>
    <row r="2211" ht="22" customHeight="1" spans="1:4">
      <c r="A2211" s="6" t="s">
        <v>4285</v>
      </c>
      <c r="B2211" s="6" t="s">
        <v>4427</v>
      </c>
      <c r="C2211" s="6" t="s">
        <v>1570</v>
      </c>
      <c r="D2211" s="6" t="s">
        <v>1571</v>
      </c>
    </row>
    <row r="2212" ht="22" customHeight="1" spans="1:4">
      <c r="A2212" s="6" t="s">
        <v>4285</v>
      </c>
      <c r="B2212" s="6" t="s">
        <v>4428</v>
      </c>
      <c r="C2212" s="6" t="s">
        <v>1599</v>
      </c>
      <c r="D2212" s="6" t="s">
        <v>4429</v>
      </c>
    </row>
    <row r="2213" ht="22" customHeight="1" spans="1:4">
      <c r="A2213" s="6" t="s">
        <v>4285</v>
      </c>
      <c r="B2213" s="6" t="s">
        <v>4430</v>
      </c>
      <c r="C2213" s="6" t="s">
        <v>1599</v>
      </c>
      <c r="D2213" s="6" t="s">
        <v>4431</v>
      </c>
    </row>
    <row r="2214" ht="22" customHeight="1" spans="1:4">
      <c r="A2214" s="6" t="s">
        <v>4285</v>
      </c>
      <c r="B2214" s="6" t="s">
        <v>4432</v>
      </c>
      <c r="C2214" s="6" t="s">
        <v>1599</v>
      </c>
      <c r="D2214" s="6" t="s">
        <v>1655</v>
      </c>
    </row>
    <row r="2215" ht="22" customHeight="1" spans="1:4">
      <c r="A2215" s="6" t="s">
        <v>4285</v>
      </c>
      <c r="B2215" s="6" t="s">
        <v>4433</v>
      </c>
      <c r="C2215" s="6" t="s">
        <v>1599</v>
      </c>
      <c r="D2215" s="6" t="s">
        <v>4434</v>
      </c>
    </row>
    <row r="2216" ht="22" customHeight="1" spans="1:4">
      <c r="A2216" s="6" t="s">
        <v>4285</v>
      </c>
      <c r="B2216" s="6" t="s">
        <v>4435</v>
      </c>
      <c r="C2216" s="6" t="s">
        <v>1570</v>
      </c>
      <c r="D2216" s="6" t="s">
        <v>1571</v>
      </c>
    </row>
    <row r="2217" ht="22" customHeight="1" spans="1:4">
      <c r="A2217" s="6" t="s">
        <v>4285</v>
      </c>
      <c r="B2217" s="6" t="s">
        <v>4436</v>
      </c>
      <c r="C2217" s="6" t="s">
        <v>1599</v>
      </c>
      <c r="D2217" s="6" t="s">
        <v>4437</v>
      </c>
    </row>
    <row r="2218" ht="22" customHeight="1" spans="1:4">
      <c r="A2218" s="6" t="s">
        <v>4285</v>
      </c>
      <c r="B2218" s="6" t="s">
        <v>4438</v>
      </c>
      <c r="C2218" s="6" t="s">
        <v>1599</v>
      </c>
      <c r="D2218" s="6" t="s">
        <v>4439</v>
      </c>
    </row>
    <row r="2219" ht="22" customHeight="1" spans="1:4">
      <c r="A2219" s="6" t="s">
        <v>4285</v>
      </c>
      <c r="B2219" s="6" t="s">
        <v>4440</v>
      </c>
      <c r="C2219" s="6" t="s">
        <v>1599</v>
      </c>
      <c r="D2219" s="6" t="s">
        <v>1655</v>
      </c>
    </row>
    <row r="2220" ht="22" customHeight="1" spans="1:4">
      <c r="A2220" s="6" t="s">
        <v>4285</v>
      </c>
      <c r="B2220" s="6" t="s">
        <v>4441</v>
      </c>
      <c r="C2220" s="6" t="s">
        <v>1605</v>
      </c>
      <c r="D2220" s="6" t="s">
        <v>1645</v>
      </c>
    </row>
    <row r="2221" ht="22" customHeight="1" spans="1:4">
      <c r="A2221" s="6" t="s">
        <v>4285</v>
      </c>
      <c r="B2221" s="6" t="s">
        <v>4442</v>
      </c>
      <c r="C2221" s="6" t="s">
        <v>1599</v>
      </c>
      <c r="D2221" s="6" t="s">
        <v>4443</v>
      </c>
    </row>
    <row r="2222" ht="22" customHeight="1" spans="1:4">
      <c r="A2222" s="6" t="s">
        <v>4285</v>
      </c>
      <c r="B2222" s="6" t="s">
        <v>4444</v>
      </c>
      <c r="C2222" s="6" t="s">
        <v>1570</v>
      </c>
      <c r="D2222" s="6" t="s">
        <v>1571</v>
      </c>
    </row>
    <row r="2223" ht="22" customHeight="1" spans="1:4">
      <c r="A2223" s="6" t="s">
        <v>4285</v>
      </c>
      <c r="B2223" s="6" t="s">
        <v>4445</v>
      </c>
      <c r="C2223" s="6" t="s">
        <v>1599</v>
      </c>
      <c r="D2223" s="6" t="s">
        <v>4446</v>
      </c>
    </row>
    <row r="2224" ht="22" customHeight="1" spans="1:4">
      <c r="A2224" s="6" t="s">
        <v>4285</v>
      </c>
      <c r="B2224" s="6" t="s">
        <v>4447</v>
      </c>
      <c r="C2224" s="6" t="s">
        <v>1599</v>
      </c>
      <c r="D2224" s="6" t="s">
        <v>4448</v>
      </c>
    </row>
    <row r="2225" ht="22" customHeight="1" spans="1:4">
      <c r="A2225" s="6" t="s">
        <v>4285</v>
      </c>
      <c r="B2225" s="6" t="s">
        <v>4449</v>
      </c>
      <c r="C2225" s="6" t="s">
        <v>1599</v>
      </c>
      <c r="D2225" s="6" t="s">
        <v>1655</v>
      </c>
    </row>
    <row r="2226" ht="22" customHeight="1" spans="1:4">
      <c r="A2226" s="6" t="s">
        <v>4285</v>
      </c>
      <c r="B2226" s="6" t="s">
        <v>4450</v>
      </c>
      <c r="C2226" s="6" t="s">
        <v>1605</v>
      </c>
      <c r="D2226" s="6" t="s">
        <v>1651</v>
      </c>
    </row>
    <row r="2227" ht="22" customHeight="1" spans="1:4">
      <c r="A2227" s="6" t="s">
        <v>4285</v>
      </c>
      <c r="B2227" s="6" t="s">
        <v>4451</v>
      </c>
      <c r="C2227" s="6" t="s">
        <v>1605</v>
      </c>
      <c r="D2227" s="6" t="s">
        <v>1701</v>
      </c>
    </row>
    <row r="2228" ht="22" customHeight="1" spans="1:4">
      <c r="A2228" s="6" t="s">
        <v>4285</v>
      </c>
      <c r="B2228" s="6" t="s">
        <v>4452</v>
      </c>
      <c r="C2228" s="6" t="s">
        <v>1599</v>
      </c>
      <c r="D2228" s="6" t="s">
        <v>4453</v>
      </c>
    </row>
    <row r="2229" ht="22" customHeight="1" spans="1:4">
      <c r="A2229" s="6" t="s">
        <v>4285</v>
      </c>
      <c r="B2229" s="6" t="s">
        <v>4454</v>
      </c>
      <c r="C2229" s="6" t="s">
        <v>1570</v>
      </c>
      <c r="D2229" s="6" t="s">
        <v>1571</v>
      </c>
    </row>
    <row r="2230" ht="22" customHeight="1" spans="1:4">
      <c r="A2230" s="6" t="s">
        <v>4285</v>
      </c>
      <c r="B2230" s="6" t="s">
        <v>4455</v>
      </c>
      <c r="C2230" s="6" t="s">
        <v>1599</v>
      </c>
      <c r="D2230" s="6" t="s">
        <v>4456</v>
      </c>
    </row>
    <row r="2231" ht="22" customHeight="1" spans="1:4">
      <c r="A2231" s="6" t="s">
        <v>4285</v>
      </c>
      <c r="B2231" s="6" t="s">
        <v>4457</v>
      </c>
      <c r="C2231" s="6" t="s">
        <v>1599</v>
      </c>
      <c r="D2231" s="6" t="s">
        <v>4458</v>
      </c>
    </row>
    <row r="2232" ht="22" customHeight="1" spans="1:4">
      <c r="A2232" s="6" t="s">
        <v>4285</v>
      </c>
      <c r="B2232" s="6" t="s">
        <v>4459</v>
      </c>
      <c r="C2232" s="6" t="s">
        <v>1599</v>
      </c>
      <c r="D2232" s="6" t="s">
        <v>1655</v>
      </c>
    </row>
    <row r="2233" ht="22" customHeight="1" spans="1:4">
      <c r="A2233" s="6" t="s">
        <v>4285</v>
      </c>
      <c r="B2233" s="6" t="s">
        <v>4460</v>
      </c>
      <c r="C2233" s="6" t="s">
        <v>1599</v>
      </c>
      <c r="D2233" s="6" t="s">
        <v>4461</v>
      </c>
    </row>
    <row r="2234" ht="22" customHeight="1" spans="1:4">
      <c r="A2234" s="6" t="s">
        <v>4285</v>
      </c>
      <c r="B2234" s="6" t="s">
        <v>4462</v>
      </c>
      <c r="C2234" s="6" t="s">
        <v>1570</v>
      </c>
      <c r="D2234" s="6" t="s">
        <v>1571</v>
      </c>
    </row>
    <row r="2235" ht="22" customHeight="1" spans="1:4">
      <c r="A2235" s="6" t="s">
        <v>4285</v>
      </c>
      <c r="B2235" s="6" t="s">
        <v>4463</v>
      </c>
      <c r="C2235" s="6" t="s">
        <v>1599</v>
      </c>
      <c r="D2235" s="6" t="s">
        <v>4464</v>
      </c>
    </row>
    <row r="2236" ht="22" customHeight="1" spans="1:4">
      <c r="A2236" s="6" t="s">
        <v>4285</v>
      </c>
      <c r="B2236" s="6" t="s">
        <v>4465</v>
      </c>
      <c r="C2236" s="6" t="s">
        <v>1599</v>
      </c>
      <c r="D2236" s="6" t="s">
        <v>4466</v>
      </c>
    </row>
    <row r="2237" ht="22" customHeight="1" spans="1:4">
      <c r="A2237" s="6" t="s">
        <v>4285</v>
      </c>
      <c r="B2237" s="6" t="s">
        <v>4467</v>
      </c>
      <c r="C2237" s="6" t="s">
        <v>1599</v>
      </c>
      <c r="D2237" s="6" t="s">
        <v>4468</v>
      </c>
    </row>
    <row r="2238" ht="22" customHeight="1" spans="1:4">
      <c r="A2238" s="6" t="s">
        <v>4285</v>
      </c>
      <c r="B2238" s="6" t="s">
        <v>4469</v>
      </c>
      <c r="C2238" s="6" t="s">
        <v>1599</v>
      </c>
      <c r="D2238" s="6" t="s">
        <v>4470</v>
      </c>
    </row>
    <row r="2239" ht="22" customHeight="1" spans="1:4">
      <c r="A2239" s="6" t="s">
        <v>4285</v>
      </c>
      <c r="B2239" s="6" t="s">
        <v>4471</v>
      </c>
      <c r="C2239" s="6" t="s">
        <v>1570</v>
      </c>
      <c r="D2239" s="6" t="s">
        <v>1571</v>
      </c>
    </row>
    <row r="2240" ht="22" customHeight="1" spans="1:4">
      <c r="A2240" s="6" t="s">
        <v>4285</v>
      </c>
      <c r="B2240" s="6" t="s">
        <v>4472</v>
      </c>
      <c r="C2240" s="6" t="s">
        <v>1599</v>
      </c>
      <c r="D2240" s="6" t="s">
        <v>4473</v>
      </c>
    </row>
    <row r="2241" ht="22" customHeight="1" spans="1:4">
      <c r="A2241" s="6" t="s">
        <v>4285</v>
      </c>
      <c r="B2241" s="6" t="s">
        <v>4474</v>
      </c>
      <c r="C2241" s="6" t="s">
        <v>1599</v>
      </c>
      <c r="D2241" s="6" t="s">
        <v>4475</v>
      </c>
    </row>
    <row r="2242" ht="22" customHeight="1" spans="1:4">
      <c r="A2242" s="6" t="s">
        <v>4285</v>
      </c>
      <c r="B2242" s="6" t="s">
        <v>4476</v>
      </c>
      <c r="C2242" s="6" t="s">
        <v>1599</v>
      </c>
      <c r="D2242" s="6" t="s">
        <v>4468</v>
      </c>
    </row>
    <row r="2243" ht="22" customHeight="1" spans="1:4">
      <c r="A2243" s="6" t="s">
        <v>4285</v>
      </c>
      <c r="B2243" s="6" t="s">
        <v>4477</v>
      </c>
      <c r="C2243" s="6" t="s">
        <v>1599</v>
      </c>
      <c r="D2243" s="6" t="s">
        <v>4478</v>
      </c>
    </row>
    <row r="2244" ht="22" customHeight="1" spans="1:4">
      <c r="A2244" s="6" t="s">
        <v>4285</v>
      </c>
      <c r="B2244" s="6" t="s">
        <v>4479</v>
      </c>
      <c r="C2244" s="6" t="s">
        <v>1570</v>
      </c>
      <c r="D2244" s="6" t="s">
        <v>1571</v>
      </c>
    </row>
    <row r="2245" ht="22" customHeight="1" spans="1:4">
      <c r="A2245" s="6" t="s">
        <v>4285</v>
      </c>
      <c r="B2245" s="6" t="s">
        <v>4480</v>
      </c>
      <c r="C2245" s="6" t="s">
        <v>1599</v>
      </c>
      <c r="D2245" s="6" t="s">
        <v>4481</v>
      </c>
    </row>
    <row r="2246" ht="22" customHeight="1" spans="1:4">
      <c r="A2246" s="6" t="s">
        <v>4285</v>
      </c>
      <c r="B2246" s="6" t="s">
        <v>4482</v>
      </c>
      <c r="C2246" s="6" t="s">
        <v>1599</v>
      </c>
      <c r="D2246" s="6" t="s">
        <v>4483</v>
      </c>
    </row>
    <row r="2247" ht="22" customHeight="1" spans="1:4">
      <c r="A2247" s="6" t="s">
        <v>4285</v>
      </c>
      <c r="B2247" s="6" t="s">
        <v>4484</v>
      </c>
      <c r="C2247" s="6" t="s">
        <v>1599</v>
      </c>
      <c r="D2247" s="6" t="s">
        <v>4468</v>
      </c>
    </row>
    <row r="2248" ht="22" customHeight="1" spans="1:4">
      <c r="A2248" s="6" t="s">
        <v>4285</v>
      </c>
      <c r="B2248" s="6" t="s">
        <v>4485</v>
      </c>
      <c r="C2248" s="6" t="s">
        <v>1599</v>
      </c>
      <c r="D2248" s="6" t="s">
        <v>4486</v>
      </c>
    </row>
    <row r="2249" ht="22" customHeight="1" spans="1:4">
      <c r="A2249" s="6" t="s">
        <v>4285</v>
      </c>
      <c r="B2249" s="6" t="s">
        <v>4487</v>
      </c>
      <c r="C2249" s="6" t="s">
        <v>1570</v>
      </c>
      <c r="D2249" s="6" t="s">
        <v>1571</v>
      </c>
    </row>
    <row r="2250" ht="22" customHeight="1" spans="1:4">
      <c r="A2250" s="6" t="s">
        <v>4285</v>
      </c>
      <c r="B2250" s="6" t="s">
        <v>4488</v>
      </c>
      <c r="C2250" s="6" t="s">
        <v>1599</v>
      </c>
      <c r="D2250" s="6" t="s">
        <v>4489</v>
      </c>
    </row>
    <row r="2251" ht="22" customHeight="1" spans="1:4">
      <c r="A2251" s="6" t="s">
        <v>4285</v>
      </c>
      <c r="B2251" s="6" t="s">
        <v>4490</v>
      </c>
      <c r="C2251" s="6" t="s">
        <v>1599</v>
      </c>
      <c r="D2251" s="6" t="s">
        <v>4491</v>
      </c>
    </row>
    <row r="2252" ht="22" customHeight="1" spans="1:4">
      <c r="A2252" s="6" t="s">
        <v>4285</v>
      </c>
      <c r="B2252" s="6" t="s">
        <v>4492</v>
      </c>
      <c r="C2252" s="6" t="s">
        <v>1599</v>
      </c>
      <c r="D2252" s="6" t="s">
        <v>4468</v>
      </c>
    </row>
    <row r="2253" ht="22" customHeight="1" spans="1:4">
      <c r="A2253" s="6" t="s">
        <v>4285</v>
      </c>
      <c r="B2253" s="6" t="s">
        <v>4493</v>
      </c>
      <c r="C2253" s="6" t="s">
        <v>1599</v>
      </c>
      <c r="D2253" s="6" t="s">
        <v>4494</v>
      </c>
    </row>
    <row r="2254" ht="22" customHeight="1" spans="1:4">
      <c r="A2254" s="6" t="s">
        <v>4285</v>
      </c>
      <c r="B2254" s="6" t="s">
        <v>4495</v>
      </c>
      <c r="C2254" s="6" t="s">
        <v>1570</v>
      </c>
      <c r="D2254" s="6" t="s">
        <v>1571</v>
      </c>
    </row>
    <row r="2255" ht="22" customHeight="1" spans="1:4">
      <c r="A2255" s="6" t="s">
        <v>4285</v>
      </c>
      <c r="B2255" s="6" t="s">
        <v>4496</v>
      </c>
      <c r="C2255" s="6" t="s">
        <v>1599</v>
      </c>
      <c r="D2255" s="6" t="s">
        <v>4497</v>
      </c>
    </row>
    <row r="2256" ht="22" customHeight="1" spans="1:4">
      <c r="A2256" s="6" t="s">
        <v>4285</v>
      </c>
      <c r="B2256" s="6" t="s">
        <v>4498</v>
      </c>
      <c r="C2256" s="6" t="s">
        <v>1599</v>
      </c>
      <c r="D2256" s="6" t="s">
        <v>4499</v>
      </c>
    </row>
    <row r="2257" ht="22" customHeight="1" spans="1:4">
      <c r="A2257" s="6" t="s">
        <v>4285</v>
      </c>
      <c r="B2257" s="6" t="s">
        <v>4500</v>
      </c>
      <c r="C2257" s="6" t="s">
        <v>1599</v>
      </c>
      <c r="D2257" s="6" t="s">
        <v>4468</v>
      </c>
    </row>
    <row r="2258" ht="22" customHeight="1" spans="1:4">
      <c r="A2258" s="6" t="s">
        <v>4285</v>
      </c>
      <c r="B2258" s="6" t="s">
        <v>4501</v>
      </c>
      <c r="C2258" s="6" t="s">
        <v>1599</v>
      </c>
      <c r="D2258" s="6" t="s">
        <v>4502</v>
      </c>
    </row>
    <row r="2259" ht="22" customHeight="1" spans="1:4">
      <c r="A2259" s="6" t="s">
        <v>4285</v>
      </c>
      <c r="B2259" s="6" t="s">
        <v>4503</v>
      </c>
      <c r="C2259" s="6" t="s">
        <v>1570</v>
      </c>
      <c r="D2259" s="6" t="s">
        <v>1571</v>
      </c>
    </row>
    <row r="2260" ht="22" customHeight="1" spans="1:4">
      <c r="A2260" s="6" t="s">
        <v>4285</v>
      </c>
      <c r="B2260" s="6" t="s">
        <v>4504</v>
      </c>
      <c r="C2260" s="6" t="s">
        <v>1599</v>
      </c>
      <c r="D2260" s="6" t="s">
        <v>4505</v>
      </c>
    </row>
    <row r="2261" ht="22" customHeight="1" spans="1:4">
      <c r="A2261" s="6" t="s">
        <v>4285</v>
      </c>
      <c r="B2261" s="6" t="s">
        <v>4506</v>
      </c>
      <c r="C2261" s="6" t="s">
        <v>1599</v>
      </c>
      <c r="D2261" s="6" t="s">
        <v>4507</v>
      </c>
    </row>
    <row r="2262" ht="22" customHeight="1" spans="1:4">
      <c r="A2262" s="6" t="s">
        <v>4285</v>
      </c>
      <c r="B2262" s="6" t="s">
        <v>4508</v>
      </c>
      <c r="C2262" s="6" t="s">
        <v>1599</v>
      </c>
      <c r="D2262" s="6" t="s">
        <v>4509</v>
      </c>
    </row>
    <row r="2263" ht="22" customHeight="1" spans="1:4">
      <c r="A2263" s="6" t="s">
        <v>4285</v>
      </c>
      <c r="B2263" s="6" t="s">
        <v>4510</v>
      </c>
      <c r="C2263" s="6" t="s">
        <v>1605</v>
      </c>
      <c r="D2263" s="6" t="s">
        <v>1645</v>
      </c>
    </row>
    <row r="2264" ht="22" customHeight="1" spans="1:4">
      <c r="A2264" s="6" t="s">
        <v>4285</v>
      </c>
      <c r="B2264" s="6" t="s">
        <v>4511</v>
      </c>
      <c r="C2264" s="6" t="s">
        <v>1605</v>
      </c>
      <c r="D2264" s="6" t="s">
        <v>1659</v>
      </c>
    </row>
    <row r="2265" ht="22" customHeight="1" spans="1:4">
      <c r="A2265" s="6" t="s">
        <v>4285</v>
      </c>
      <c r="B2265" s="6" t="s">
        <v>4512</v>
      </c>
      <c r="C2265" s="6" t="s">
        <v>1599</v>
      </c>
      <c r="D2265" s="6" t="s">
        <v>4513</v>
      </c>
    </row>
    <row r="2266" ht="22" customHeight="1" spans="1:4">
      <c r="A2266" s="6" t="s">
        <v>4285</v>
      </c>
      <c r="B2266" s="6" t="s">
        <v>4514</v>
      </c>
      <c r="C2266" s="6" t="s">
        <v>1570</v>
      </c>
      <c r="D2266" s="6" t="s">
        <v>1571</v>
      </c>
    </row>
    <row r="2267" ht="22" customHeight="1" spans="1:4">
      <c r="A2267" s="6" t="s">
        <v>4285</v>
      </c>
      <c r="B2267" s="6" t="s">
        <v>4515</v>
      </c>
      <c r="C2267" s="6" t="s">
        <v>1599</v>
      </c>
      <c r="D2267" s="6" t="s">
        <v>4516</v>
      </c>
    </row>
    <row r="2268" ht="22" customHeight="1" spans="1:4">
      <c r="A2268" s="6" t="s">
        <v>4285</v>
      </c>
      <c r="B2268" s="6" t="s">
        <v>4517</v>
      </c>
      <c r="C2268" s="6" t="s">
        <v>1599</v>
      </c>
      <c r="D2268" s="6" t="s">
        <v>4518</v>
      </c>
    </row>
    <row r="2269" ht="22" customHeight="1" spans="1:4">
      <c r="A2269" s="6" t="s">
        <v>4285</v>
      </c>
      <c r="B2269" s="6" t="s">
        <v>4519</v>
      </c>
      <c r="C2269" s="6" t="s">
        <v>1599</v>
      </c>
      <c r="D2269" s="6" t="s">
        <v>4509</v>
      </c>
    </row>
    <row r="2270" ht="22" customHeight="1" spans="1:4">
      <c r="A2270" s="6" t="s">
        <v>4285</v>
      </c>
      <c r="B2270" s="6" t="s">
        <v>4520</v>
      </c>
      <c r="C2270" s="6" t="s">
        <v>1605</v>
      </c>
      <c r="D2270" s="6" t="s">
        <v>1645</v>
      </c>
    </row>
    <row r="2271" ht="22" customHeight="1" spans="1:4">
      <c r="A2271" s="6" t="s">
        <v>4285</v>
      </c>
      <c r="B2271" s="6" t="s">
        <v>4521</v>
      </c>
      <c r="C2271" s="6" t="s">
        <v>1605</v>
      </c>
      <c r="D2271" s="6" t="s">
        <v>1750</v>
      </c>
    </row>
    <row r="2272" ht="22" customHeight="1" spans="1:4">
      <c r="A2272" s="6" t="s">
        <v>4285</v>
      </c>
      <c r="B2272" s="6" t="s">
        <v>4522</v>
      </c>
      <c r="C2272" s="6" t="s">
        <v>1605</v>
      </c>
      <c r="D2272" s="6" t="s">
        <v>1615</v>
      </c>
    </row>
    <row r="2273" ht="22" customHeight="1" spans="1:4">
      <c r="A2273" s="6" t="s">
        <v>4285</v>
      </c>
      <c r="B2273" s="6" t="s">
        <v>4523</v>
      </c>
      <c r="C2273" s="6" t="s">
        <v>1605</v>
      </c>
      <c r="D2273" s="6" t="s">
        <v>2064</v>
      </c>
    </row>
    <row r="2274" ht="22" customHeight="1" spans="1:4">
      <c r="A2274" s="6" t="s">
        <v>4285</v>
      </c>
      <c r="B2274" s="6" t="s">
        <v>4524</v>
      </c>
      <c r="C2274" s="6" t="s">
        <v>1599</v>
      </c>
      <c r="D2274" s="6" t="s">
        <v>4525</v>
      </c>
    </row>
    <row r="2275" ht="22" customHeight="1" spans="1:4">
      <c r="A2275" s="6" t="s">
        <v>4285</v>
      </c>
      <c r="B2275" s="6" t="s">
        <v>4526</v>
      </c>
      <c r="C2275" s="6" t="s">
        <v>1570</v>
      </c>
      <c r="D2275" s="6" t="s">
        <v>1571</v>
      </c>
    </row>
    <row r="2276" ht="22" customHeight="1" spans="1:4">
      <c r="A2276" s="6" t="s">
        <v>4285</v>
      </c>
      <c r="B2276" s="6" t="s">
        <v>4527</v>
      </c>
      <c r="C2276" s="6" t="s">
        <v>1599</v>
      </c>
      <c r="D2276" s="6" t="s">
        <v>4528</v>
      </c>
    </row>
    <row r="2277" ht="22" customHeight="1" spans="1:4">
      <c r="A2277" s="6" t="s">
        <v>4285</v>
      </c>
      <c r="B2277" s="6" t="s">
        <v>4529</v>
      </c>
      <c r="C2277" s="6" t="s">
        <v>1599</v>
      </c>
      <c r="D2277" s="6" t="s">
        <v>4530</v>
      </c>
    </row>
    <row r="2278" ht="22" customHeight="1" spans="1:4">
      <c r="A2278" s="6" t="s">
        <v>4285</v>
      </c>
      <c r="B2278" s="6" t="s">
        <v>4531</v>
      </c>
      <c r="C2278" s="6" t="s">
        <v>1599</v>
      </c>
      <c r="D2278" s="6" t="s">
        <v>4509</v>
      </c>
    </row>
    <row r="2279" ht="22" customHeight="1" spans="1:4">
      <c r="A2279" s="6" t="s">
        <v>4285</v>
      </c>
      <c r="B2279" s="6" t="s">
        <v>4532</v>
      </c>
      <c r="C2279" s="6" t="s">
        <v>1605</v>
      </c>
      <c r="D2279" s="6" t="s">
        <v>1645</v>
      </c>
    </row>
    <row r="2280" ht="22" customHeight="1" spans="1:4">
      <c r="A2280" s="6" t="s">
        <v>4285</v>
      </c>
      <c r="B2280" s="6" t="s">
        <v>4533</v>
      </c>
      <c r="C2280" s="6" t="s">
        <v>1605</v>
      </c>
      <c r="D2280" s="6" t="s">
        <v>2365</v>
      </c>
    </row>
    <row r="2281" ht="22" customHeight="1" spans="1:4">
      <c r="A2281" s="6" t="s">
        <v>4285</v>
      </c>
      <c r="B2281" s="6" t="s">
        <v>4534</v>
      </c>
      <c r="C2281" s="6" t="s">
        <v>1605</v>
      </c>
      <c r="D2281" s="6" t="s">
        <v>1738</v>
      </c>
    </row>
    <row r="2282" ht="22" customHeight="1" spans="1:4">
      <c r="A2282" s="6" t="s">
        <v>4285</v>
      </c>
      <c r="B2282" s="6" t="s">
        <v>4535</v>
      </c>
      <c r="C2282" s="6" t="s">
        <v>1599</v>
      </c>
      <c r="D2282" s="6" t="s">
        <v>4536</v>
      </c>
    </row>
    <row r="2283" ht="22" customHeight="1" spans="1:4">
      <c r="A2283" s="6" t="s">
        <v>4285</v>
      </c>
      <c r="B2283" s="6" t="s">
        <v>4537</v>
      </c>
      <c r="C2283" s="6" t="s">
        <v>1570</v>
      </c>
      <c r="D2283" s="6" t="s">
        <v>1571</v>
      </c>
    </row>
    <row r="2284" ht="22" customHeight="1" spans="1:4">
      <c r="A2284" s="6" t="s">
        <v>4285</v>
      </c>
      <c r="B2284" s="6" t="s">
        <v>4538</v>
      </c>
      <c r="C2284" s="6" t="s">
        <v>1599</v>
      </c>
      <c r="D2284" s="6" t="s">
        <v>4539</v>
      </c>
    </row>
    <row r="2285" ht="22" customHeight="1" spans="1:4">
      <c r="A2285" s="6" t="s">
        <v>4285</v>
      </c>
      <c r="B2285" s="6" t="s">
        <v>4540</v>
      </c>
      <c r="C2285" s="6" t="s">
        <v>1599</v>
      </c>
      <c r="D2285" s="6" t="s">
        <v>4541</v>
      </c>
    </row>
    <row r="2286" ht="22" customHeight="1" spans="1:4">
      <c r="A2286" s="6" t="s">
        <v>4285</v>
      </c>
      <c r="B2286" s="6" t="s">
        <v>4542</v>
      </c>
      <c r="C2286" s="6" t="s">
        <v>1599</v>
      </c>
      <c r="D2286" s="6" t="s">
        <v>4509</v>
      </c>
    </row>
    <row r="2287" ht="22" customHeight="1" spans="1:4">
      <c r="A2287" s="6" t="s">
        <v>4285</v>
      </c>
      <c r="B2287" s="6" t="s">
        <v>4543</v>
      </c>
      <c r="C2287" s="6" t="s">
        <v>1605</v>
      </c>
      <c r="D2287" s="6" t="s">
        <v>1645</v>
      </c>
    </row>
    <row r="2288" ht="22" customHeight="1" spans="1:4">
      <c r="A2288" s="6" t="s">
        <v>4285</v>
      </c>
      <c r="B2288" s="6" t="s">
        <v>4544</v>
      </c>
      <c r="C2288" s="6" t="s">
        <v>1599</v>
      </c>
      <c r="D2288" s="6" t="s">
        <v>4545</v>
      </c>
    </row>
    <row r="2289" ht="22" customHeight="1" spans="1:4">
      <c r="A2289" s="6" t="s">
        <v>4285</v>
      </c>
      <c r="B2289" s="6" t="s">
        <v>4546</v>
      </c>
      <c r="C2289" s="6" t="s">
        <v>1576</v>
      </c>
      <c r="D2289" s="6" t="s">
        <v>1571</v>
      </c>
    </row>
    <row r="2290" ht="22" customHeight="1" spans="1:4">
      <c r="A2290" s="6" t="s">
        <v>4285</v>
      </c>
      <c r="B2290" s="6" t="s">
        <v>4547</v>
      </c>
      <c r="C2290" s="6" t="s">
        <v>1570</v>
      </c>
      <c r="D2290" s="6" t="s">
        <v>1571</v>
      </c>
    </row>
    <row r="2291" ht="22" customHeight="1" spans="1:4">
      <c r="A2291" s="6" t="s">
        <v>4285</v>
      </c>
      <c r="B2291" s="6" t="s">
        <v>4548</v>
      </c>
      <c r="C2291" s="6" t="s">
        <v>1599</v>
      </c>
      <c r="D2291" s="6" t="s">
        <v>4549</v>
      </c>
    </row>
    <row r="2292" ht="22" customHeight="1" spans="1:4">
      <c r="A2292" s="6" t="s">
        <v>4285</v>
      </c>
      <c r="B2292" s="6" t="s">
        <v>4550</v>
      </c>
      <c r="C2292" s="6" t="s">
        <v>1576</v>
      </c>
      <c r="D2292" s="6" t="s">
        <v>1571</v>
      </c>
    </row>
    <row r="2293" ht="22" customHeight="1" spans="1:4">
      <c r="A2293" s="6" t="s">
        <v>4285</v>
      </c>
      <c r="B2293" s="6" t="s">
        <v>4551</v>
      </c>
      <c r="C2293" s="6" t="s">
        <v>1599</v>
      </c>
      <c r="D2293" s="6" t="s">
        <v>4446</v>
      </c>
    </row>
    <row r="2294" ht="22" customHeight="1" spans="1:4">
      <c r="A2294" s="6" t="s">
        <v>4285</v>
      </c>
      <c r="B2294" s="6" t="s">
        <v>4552</v>
      </c>
      <c r="C2294" s="6" t="s">
        <v>1599</v>
      </c>
      <c r="D2294" s="6" t="s">
        <v>4346</v>
      </c>
    </row>
    <row r="2295" ht="22" customHeight="1" spans="1:4">
      <c r="A2295" s="6" t="s">
        <v>4285</v>
      </c>
      <c r="B2295" s="6" t="s">
        <v>4553</v>
      </c>
      <c r="C2295" s="6" t="s">
        <v>1570</v>
      </c>
      <c r="D2295" s="6" t="s">
        <v>1571</v>
      </c>
    </row>
    <row r="2296" ht="22" customHeight="1" spans="1:4">
      <c r="A2296" s="6" t="s">
        <v>4285</v>
      </c>
      <c r="B2296" s="6" t="s">
        <v>4554</v>
      </c>
      <c r="C2296" s="6" t="s">
        <v>1599</v>
      </c>
      <c r="D2296" s="6" t="s">
        <v>4555</v>
      </c>
    </row>
    <row r="2297" ht="22" customHeight="1" spans="1:4">
      <c r="A2297" s="6" t="s">
        <v>4285</v>
      </c>
      <c r="B2297" s="6" t="s">
        <v>4556</v>
      </c>
      <c r="C2297" s="6" t="s">
        <v>1576</v>
      </c>
      <c r="D2297" s="6" t="s">
        <v>1571</v>
      </c>
    </row>
    <row r="2298" ht="22" customHeight="1" spans="1:4">
      <c r="A2298" s="6" t="s">
        <v>4285</v>
      </c>
      <c r="B2298" s="6" t="s">
        <v>4557</v>
      </c>
      <c r="C2298" s="6" t="s">
        <v>1599</v>
      </c>
      <c r="D2298" s="6" t="s">
        <v>4497</v>
      </c>
    </row>
    <row r="2299" ht="22" customHeight="1" spans="1:4">
      <c r="A2299" s="6" t="s">
        <v>4285</v>
      </c>
      <c r="B2299" s="6" t="s">
        <v>4558</v>
      </c>
      <c r="C2299" s="6" t="s">
        <v>1599</v>
      </c>
      <c r="D2299" s="6" t="s">
        <v>4398</v>
      </c>
    </row>
    <row r="2300" ht="22" customHeight="1" spans="1:4">
      <c r="A2300" s="6" t="s">
        <v>4285</v>
      </c>
      <c r="B2300" s="6" t="s">
        <v>4559</v>
      </c>
      <c r="C2300" s="6" t="s">
        <v>1570</v>
      </c>
      <c r="D2300" s="6" t="s">
        <v>1571</v>
      </c>
    </row>
    <row r="2301" ht="22" customHeight="1" spans="1:4">
      <c r="A2301" s="6" t="s">
        <v>4285</v>
      </c>
      <c r="B2301" s="6" t="s">
        <v>4560</v>
      </c>
      <c r="C2301" s="6" t="s">
        <v>1599</v>
      </c>
      <c r="D2301" s="6" t="s">
        <v>4561</v>
      </c>
    </row>
    <row r="2302" ht="22" customHeight="1" spans="1:4">
      <c r="A2302" s="6" t="s">
        <v>4285</v>
      </c>
      <c r="B2302" s="6" t="s">
        <v>4562</v>
      </c>
      <c r="C2302" s="6" t="s">
        <v>1576</v>
      </c>
      <c r="D2302" s="6" t="s">
        <v>1571</v>
      </c>
    </row>
    <row r="2303" ht="22" customHeight="1" spans="1:4">
      <c r="A2303" s="6" t="s">
        <v>4285</v>
      </c>
      <c r="B2303" s="6" t="s">
        <v>4563</v>
      </c>
      <c r="C2303" s="6" t="s">
        <v>1599</v>
      </c>
      <c r="D2303" s="6" t="s">
        <v>4505</v>
      </c>
    </row>
    <row r="2304" ht="22" customHeight="1" spans="1:4">
      <c r="A2304" s="6" t="s">
        <v>4285</v>
      </c>
      <c r="B2304" s="6" t="s">
        <v>4564</v>
      </c>
      <c r="C2304" s="6" t="s">
        <v>1599</v>
      </c>
      <c r="D2304" s="6" t="s">
        <v>4354</v>
      </c>
    </row>
    <row r="2305" ht="22" customHeight="1" spans="1:4">
      <c r="A2305" s="6" t="s">
        <v>4285</v>
      </c>
      <c r="B2305" s="6" t="s">
        <v>4565</v>
      </c>
      <c r="C2305" s="6" t="s">
        <v>1605</v>
      </c>
      <c r="D2305" s="6" t="s">
        <v>1649</v>
      </c>
    </row>
    <row r="2306" ht="22" customHeight="1" spans="1:4">
      <c r="A2306" s="6" t="s">
        <v>4285</v>
      </c>
      <c r="B2306" s="6" t="s">
        <v>4566</v>
      </c>
      <c r="C2306" s="6" t="s">
        <v>1570</v>
      </c>
      <c r="D2306" s="6" t="s">
        <v>1571</v>
      </c>
    </row>
    <row r="2307" ht="22" customHeight="1" spans="1:4">
      <c r="A2307" s="6" t="s">
        <v>4285</v>
      </c>
      <c r="B2307" s="6" t="s">
        <v>4567</v>
      </c>
      <c r="C2307" s="6" t="s">
        <v>1599</v>
      </c>
      <c r="D2307" s="6" t="s">
        <v>4568</v>
      </c>
    </row>
    <row r="2308" ht="22" customHeight="1" spans="1:4">
      <c r="A2308" s="6" t="s">
        <v>4285</v>
      </c>
      <c r="B2308" s="6" t="s">
        <v>4569</v>
      </c>
      <c r="C2308" s="6" t="s">
        <v>1605</v>
      </c>
      <c r="D2308" s="6" t="s">
        <v>1735</v>
      </c>
    </row>
    <row r="2309" ht="22" customHeight="1" spans="1:4">
      <c r="A2309" s="6" t="s">
        <v>4285</v>
      </c>
      <c r="B2309" s="6" t="s">
        <v>4570</v>
      </c>
      <c r="C2309" s="6" t="s">
        <v>1576</v>
      </c>
      <c r="D2309" s="6" t="s">
        <v>1571</v>
      </c>
    </row>
    <row r="2310" ht="22" customHeight="1" spans="1:4">
      <c r="A2310" s="6" t="s">
        <v>4285</v>
      </c>
      <c r="B2310" s="6" t="s">
        <v>4571</v>
      </c>
      <c r="C2310" s="6" t="s">
        <v>1599</v>
      </c>
      <c r="D2310" s="6" t="s">
        <v>4389</v>
      </c>
    </row>
    <row r="2311" ht="22" customHeight="1" spans="1:4">
      <c r="A2311" s="6" t="s">
        <v>4285</v>
      </c>
      <c r="B2311" s="6" t="s">
        <v>4572</v>
      </c>
      <c r="C2311" s="6" t="s">
        <v>1599</v>
      </c>
      <c r="D2311" s="6" t="s">
        <v>4516</v>
      </c>
    </row>
    <row r="2312" ht="22" customHeight="1" spans="1:4">
      <c r="A2312" s="6" t="s">
        <v>4285</v>
      </c>
      <c r="B2312" s="6" t="s">
        <v>4573</v>
      </c>
      <c r="C2312" s="6" t="s">
        <v>1605</v>
      </c>
      <c r="D2312" s="6" t="s">
        <v>1645</v>
      </c>
    </row>
    <row r="2313" ht="22" customHeight="1" spans="1:4">
      <c r="A2313" s="6" t="s">
        <v>4285</v>
      </c>
      <c r="B2313" s="6" t="s">
        <v>4574</v>
      </c>
      <c r="C2313" s="6" t="s">
        <v>1570</v>
      </c>
      <c r="D2313" s="6" t="s">
        <v>1571</v>
      </c>
    </row>
    <row r="2314" ht="22" customHeight="1" spans="1:4">
      <c r="A2314" s="6" t="s">
        <v>4285</v>
      </c>
      <c r="B2314" s="6" t="s">
        <v>4575</v>
      </c>
      <c r="C2314" s="6" t="s">
        <v>1599</v>
      </c>
      <c r="D2314" s="6" t="s">
        <v>4576</v>
      </c>
    </row>
    <row r="2315" ht="22" customHeight="1" spans="1:4">
      <c r="A2315" s="6" t="s">
        <v>4285</v>
      </c>
      <c r="B2315" s="6" t="s">
        <v>4577</v>
      </c>
      <c r="C2315" s="6" t="s">
        <v>1576</v>
      </c>
      <c r="D2315" s="6" t="s">
        <v>1571</v>
      </c>
    </row>
    <row r="2316" ht="22" customHeight="1" spans="1:4">
      <c r="A2316" s="6" t="s">
        <v>4285</v>
      </c>
      <c r="B2316" s="6" t="s">
        <v>4578</v>
      </c>
      <c r="C2316" s="6" t="s">
        <v>1599</v>
      </c>
      <c r="D2316" s="6" t="s">
        <v>4407</v>
      </c>
    </row>
    <row r="2317" ht="22" customHeight="1" spans="1:4">
      <c r="A2317" s="6" t="s">
        <v>4285</v>
      </c>
      <c r="B2317" s="6" t="s">
        <v>4579</v>
      </c>
      <c r="C2317" s="6" t="s">
        <v>1599</v>
      </c>
      <c r="D2317" s="6" t="s">
        <v>4456</v>
      </c>
    </row>
    <row r="2318" ht="22" customHeight="1" spans="1:4">
      <c r="A2318" s="6" t="s">
        <v>4285</v>
      </c>
      <c r="B2318" s="6" t="s">
        <v>4580</v>
      </c>
      <c r="C2318" s="6" t="s">
        <v>1570</v>
      </c>
      <c r="D2318" s="6" t="s">
        <v>1571</v>
      </c>
    </row>
    <row r="2319" ht="22" customHeight="1" spans="1:4">
      <c r="A2319" s="6" t="s">
        <v>4285</v>
      </c>
      <c r="B2319" s="6" t="s">
        <v>4581</v>
      </c>
      <c r="C2319" s="6" t="s">
        <v>1599</v>
      </c>
      <c r="D2319" s="6" t="s">
        <v>4582</v>
      </c>
    </row>
    <row r="2320" ht="22" customHeight="1" spans="1:4">
      <c r="A2320" s="6" t="s">
        <v>4285</v>
      </c>
      <c r="B2320" s="6" t="s">
        <v>4583</v>
      </c>
      <c r="C2320" s="6" t="s">
        <v>1576</v>
      </c>
      <c r="D2320" s="6" t="s">
        <v>1571</v>
      </c>
    </row>
    <row r="2321" ht="22" customHeight="1" spans="1:4">
      <c r="A2321" s="6" t="s">
        <v>4285</v>
      </c>
      <c r="B2321" s="6" t="s">
        <v>4584</v>
      </c>
      <c r="C2321" s="6" t="s">
        <v>1599</v>
      </c>
      <c r="D2321" s="6" t="s">
        <v>4362</v>
      </c>
    </row>
    <row r="2322" ht="22" customHeight="1" spans="1:4">
      <c r="A2322" s="6" t="s">
        <v>4285</v>
      </c>
      <c r="B2322" s="6" t="s">
        <v>4585</v>
      </c>
      <c r="C2322" s="6" t="s">
        <v>1599</v>
      </c>
      <c r="D2322" s="6" t="s">
        <v>4473</v>
      </c>
    </row>
    <row r="2323" ht="22" customHeight="1" spans="1:4">
      <c r="A2323" s="6" t="s">
        <v>4285</v>
      </c>
      <c r="B2323" s="6" t="s">
        <v>4586</v>
      </c>
      <c r="C2323" s="6" t="s">
        <v>1570</v>
      </c>
      <c r="D2323" s="6" t="s">
        <v>1571</v>
      </c>
    </row>
    <row r="2324" ht="22" customHeight="1" spans="1:4">
      <c r="A2324" s="6" t="s">
        <v>4285</v>
      </c>
      <c r="B2324" s="6" t="s">
        <v>4587</v>
      </c>
      <c r="C2324" s="6" t="s">
        <v>1599</v>
      </c>
      <c r="D2324" s="6" t="s">
        <v>4588</v>
      </c>
    </row>
    <row r="2325" ht="22" customHeight="1" spans="1:4">
      <c r="A2325" s="6" t="s">
        <v>4285</v>
      </c>
      <c r="B2325" s="6" t="s">
        <v>4589</v>
      </c>
      <c r="C2325" s="6" t="s">
        <v>1576</v>
      </c>
      <c r="D2325" s="6" t="s">
        <v>1571</v>
      </c>
    </row>
    <row r="2326" ht="22" customHeight="1" spans="1:4">
      <c r="A2326" s="6" t="s">
        <v>4285</v>
      </c>
      <c r="B2326" s="6" t="s">
        <v>4590</v>
      </c>
      <c r="C2326" s="6" t="s">
        <v>1599</v>
      </c>
      <c r="D2326" s="6" t="s">
        <v>4321</v>
      </c>
    </row>
    <row r="2327" ht="22" customHeight="1" spans="1:4">
      <c r="A2327" s="6" t="s">
        <v>4285</v>
      </c>
      <c r="B2327" s="6" t="s">
        <v>4591</v>
      </c>
      <c r="C2327" s="6" t="s">
        <v>1599</v>
      </c>
      <c r="D2327" s="6" t="s">
        <v>4380</v>
      </c>
    </row>
    <row r="2328" ht="22" customHeight="1" spans="1:4">
      <c r="A2328" s="6" t="s">
        <v>4285</v>
      </c>
      <c r="B2328" s="6" t="s">
        <v>4592</v>
      </c>
      <c r="C2328" s="6" t="s">
        <v>1570</v>
      </c>
      <c r="D2328" s="6" t="s">
        <v>1571</v>
      </c>
    </row>
    <row r="2329" ht="22" customHeight="1" spans="1:4">
      <c r="A2329" s="6" t="s">
        <v>4285</v>
      </c>
      <c r="B2329" s="6" t="s">
        <v>4593</v>
      </c>
      <c r="C2329" s="6" t="s">
        <v>1599</v>
      </c>
      <c r="D2329" s="6" t="s">
        <v>4594</v>
      </c>
    </row>
    <row r="2330" ht="22" customHeight="1" spans="1:4">
      <c r="A2330" s="6" t="s">
        <v>4285</v>
      </c>
      <c r="B2330" s="6" t="s">
        <v>4595</v>
      </c>
      <c r="C2330" s="6" t="s">
        <v>1576</v>
      </c>
      <c r="D2330" s="6" t="s">
        <v>1571</v>
      </c>
    </row>
    <row r="2331" ht="22" customHeight="1" spans="1:4">
      <c r="A2331" s="6" t="s">
        <v>4285</v>
      </c>
      <c r="B2331" s="6" t="s">
        <v>4596</v>
      </c>
      <c r="C2331" s="6" t="s">
        <v>1599</v>
      </c>
      <c r="D2331" s="6" t="s">
        <v>4437</v>
      </c>
    </row>
    <row r="2332" ht="22" customHeight="1" spans="1:4">
      <c r="A2332" s="6" t="s">
        <v>4285</v>
      </c>
      <c r="B2332" s="6" t="s">
        <v>4597</v>
      </c>
      <c r="C2332" s="6" t="s">
        <v>1599</v>
      </c>
      <c r="D2332" s="6" t="s">
        <v>4539</v>
      </c>
    </row>
    <row r="2333" ht="22" customHeight="1" spans="1:4">
      <c r="A2333" s="6" t="s">
        <v>4285</v>
      </c>
      <c r="B2333" s="6" t="s">
        <v>4598</v>
      </c>
      <c r="C2333" s="6" t="s">
        <v>1605</v>
      </c>
      <c r="D2333" s="6" t="s">
        <v>1615</v>
      </c>
    </row>
    <row r="2334" ht="22" customHeight="1" spans="1:4">
      <c r="A2334" s="6" t="s">
        <v>4285</v>
      </c>
      <c r="B2334" s="6" t="s">
        <v>4599</v>
      </c>
      <c r="C2334" s="6" t="s">
        <v>1570</v>
      </c>
      <c r="D2334" s="6" t="s">
        <v>1571</v>
      </c>
    </row>
    <row r="2335" ht="22" customHeight="1" spans="1:4">
      <c r="A2335" s="6" t="s">
        <v>4285</v>
      </c>
      <c r="B2335" s="6" t="s">
        <v>4600</v>
      </c>
      <c r="C2335" s="6" t="s">
        <v>1599</v>
      </c>
      <c r="D2335" s="6" t="s">
        <v>4601</v>
      </c>
    </row>
    <row r="2336" ht="22" customHeight="1" spans="1:4">
      <c r="A2336" s="6" t="s">
        <v>4285</v>
      </c>
      <c r="B2336" s="6" t="s">
        <v>4602</v>
      </c>
      <c r="C2336" s="6" t="s">
        <v>1576</v>
      </c>
      <c r="D2336" s="6" t="s">
        <v>1571</v>
      </c>
    </row>
    <row r="2337" ht="22" customHeight="1" spans="1:4">
      <c r="A2337" s="6" t="s">
        <v>4285</v>
      </c>
      <c r="B2337" s="6" t="s">
        <v>4603</v>
      </c>
      <c r="C2337" s="6" t="s">
        <v>1599</v>
      </c>
      <c r="D2337" s="6" t="s">
        <v>4464</v>
      </c>
    </row>
    <row r="2338" ht="22" customHeight="1" spans="1:4">
      <c r="A2338" s="6" t="s">
        <v>4285</v>
      </c>
      <c r="B2338" s="6" t="s">
        <v>4604</v>
      </c>
      <c r="C2338" s="6" t="s">
        <v>1599</v>
      </c>
      <c r="D2338" s="6" t="s">
        <v>4528</v>
      </c>
    </row>
    <row r="2339" ht="22" customHeight="1" spans="1:4">
      <c r="A2339" s="6" t="s">
        <v>4285</v>
      </c>
      <c r="B2339" s="6" t="s">
        <v>4605</v>
      </c>
      <c r="C2339" s="6" t="s">
        <v>1605</v>
      </c>
      <c r="D2339" s="6" t="s">
        <v>1645</v>
      </c>
    </row>
    <row r="2340" ht="22" customHeight="1" spans="1:4">
      <c r="A2340" s="6" t="s">
        <v>4285</v>
      </c>
      <c r="B2340" s="6" t="s">
        <v>4606</v>
      </c>
      <c r="C2340" s="6" t="s">
        <v>1570</v>
      </c>
      <c r="D2340" s="6" t="s">
        <v>1571</v>
      </c>
    </row>
    <row r="2341" ht="22" customHeight="1" spans="1:4">
      <c r="A2341" s="6" t="s">
        <v>4285</v>
      </c>
      <c r="B2341" s="6" t="s">
        <v>4607</v>
      </c>
      <c r="C2341" s="6" t="s">
        <v>1599</v>
      </c>
      <c r="D2341" s="6" t="s">
        <v>4608</v>
      </c>
    </row>
    <row r="2342" ht="22" customHeight="1" spans="1:4">
      <c r="A2342" s="6" t="s">
        <v>4285</v>
      </c>
      <c r="B2342" s="6" t="s">
        <v>4609</v>
      </c>
      <c r="C2342" s="6" t="s">
        <v>1576</v>
      </c>
      <c r="D2342" s="6" t="s">
        <v>1571</v>
      </c>
    </row>
    <row r="2343" ht="22" customHeight="1" spans="1:4">
      <c r="A2343" s="6" t="s">
        <v>4285</v>
      </c>
      <c r="B2343" s="6" t="s">
        <v>4610</v>
      </c>
      <c r="C2343" s="6" t="s">
        <v>1599</v>
      </c>
      <c r="D2343" s="6" t="s">
        <v>4429</v>
      </c>
    </row>
    <row r="2344" ht="22" customHeight="1" spans="1:4">
      <c r="A2344" s="6" t="s">
        <v>4285</v>
      </c>
      <c r="B2344" s="6" t="s">
        <v>4611</v>
      </c>
      <c r="C2344" s="6" t="s">
        <v>1599</v>
      </c>
      <c r="D2344" s="6" t="s">
        <v>4481</v>
      </c>
    </row>
    <row r="2345" ht="22" customHeight="1" spans="1:4">
      <c r="A2345" s="6" t="s">
        <v>4285</v>
      </c>
      <c r="B2345" s="6" t="s">
        <v>4612</v>
      </c>
      <c r="C2345" s="6" t="s">
        <v>1605</v>
      </c>
      <c r="D2345" s="6" t="s">
        <v>1659</v>
      </c>
    </row>
    <row r="2346" ht="22" customHeight="1" spans="1:4">
      <c r="A2346" s="6" t="s">
        <v>4285</v>
      </c>
      <c r="B2346" s="6" t="s">
        <v>4613</v>
      </c>
      <c r="C2346" s="6" t="s">
        <v>1570</v>
      </c>
      <c r="D2346" s="6" t="s">
        <v>1571</v>
      </c>
    </row>
    <row r="2347" ht="22" customHeight="1" spans="1:4">
      <c r="A2347" s="6" t="s">
        <v>4285</v>
      </c>
      <c r="B2347" s="6" t="s">
        <v>4614</v>
      </c>
      <c r="C2347" s="6" t="s">
        <v>1599</v>
      </c>
      <c r="D2347" s="6" t="s">
        <v>4615</v>
      </c>
    </row>
    <row r="2348" ht="22" customHeight="1" spans="1:4">
      <c r="A2348" s="6" t="s">
        <v>4285</v>
      </c>
      <c r="B2348" s="6" t="s">
        <v>4616</v>
      </c>
      <c r="C2348" s="6" t="s">
        <v>1576</v>
      </c>
      <c r="D2348" s="6" t="s">
        <v>1571</v>
      </c>
    </row>
    <row r="2349" ht="22" customHeight="1" spans="1:4">
      <c r="A2349" s="6" t="s">
        <v>4285</v>
      </c>
      <c r="B2349" s="6" t="s">
        <v>4617</v>
      </c>
      <c r="C2349" s="6" t="s">
        <v>1599</v>
      </c>
      <c r="D2349" s="6" t="s">
        <v>4330</v>
      </c>
    </row>
    <row r="2350" ht="22" customHeight="1" spans="1:4">
      <c r="A2350" s="6" t="s">
        <v>4285</v>
      </c>
      <c r="B2350" s="6" t="s">
        <v>4618</v>
      </c>
      <c r="C2350" s="6" t="s">
        <v>1599</v>
      </c>
      <c r="D2350" s="6" t="s">
        <v>4489</v>
      </c>
    </row>
    <row r="2351" ht="22" customHeight="1" spans="1:4">
      <c r="A2351" s="6" t="s">
        <v>4285</v>
      </c>
      <c r="B2351" s="6" t="s">
        <v>4619</v>
      </c>
      <c r="C2351" s="6" t="s">
        <v>1599</v>
      </c>
      <c r="D2351" s="6" t="s">
        <v>4370</v>
      </c>
    </row>
    <row r="2352" ht="22" customHeight="1" spans="1:4">
      <c r="A2352" s="6" t="s">
        <v>4285</v>
      </c>
      <c r="B2352" s="6" t="s">
        <v>4620</v>
      </c>
      <c r="C2352" s="6" t="s">
        <v>1599</v>
      </c>
      <c r="D2352" s="6" t="s">
        <v>4420</v>
      </c>
    </row>
    <row r="2353" ht="22" customHeight="1" spans="1:4">
      <c r="A2353" s="6" t="s">
        <v>4285</v>
      </c>
      <c r="B2353" s="6" t="s">
        <v>4621</v>
      </c>
      <c r="C2353" s="6" t="s">
        <v>1599</v>
      </c>
      <c r="D2353" s="6" t="s">
        <v>4429</v>
      </c>
    </row>
    <row r="2354" ht="22" customHeight="1" spans="1:4">
      <c r="A2354" s="6" t="s">
        <v>4285</v>
      </c>
      <c r="B2354" s="6" t="s">
        <v>4622</v>
      </c>
      <c r="C2354" s="6" t="s">
        <v>1605</v>
      </c>
      <c r="D2354" s="6" t="s">
        <v>2064</v>
      </c>
    </row>
    <row r="2355" ht="22" customHeight="1" spans="1:4">
      <c r="A2355" s="6" t="s">
        <v>4623</v>
      </c>
      <c r="B2355" s="6" t="s">
        <v>1569</v>
      </c>
      <c r="C2355" s="6" t="s">
        <v>1570</v>
      </c>
      <c r="D2355" s="6" t="s">
        <v>1571</v>
      </c>
    </row>
    <row r="2356" ht="22" customHeight="1" spans="1:4">
      <c r="A2356" s="6" t="s">
        <v>4623</v>
      </c>
      <c r="B2356" s="6" t="s">
        <v>4624</v>
      </c>
      <c r="C2356" s="6" t="s">
        <v>1599</v>
      </c>
      <c r="D2356" s="6" t="s">
        <v>4625</v>
      </c>
    </row>
    <row r="2357" ht="22" customHeight="1" spans="1:4">
      <c r="A2357" s="6" t="s">
        <v>4623</v>
      </c>
      <c r="B2357" s="6" t="s">
        <v>4626</v>
      </c>
      <c r="C2357" s="6" t="s">
        <v>1599</v>
      </c>
      <c r="D2357" s="6" t="s">
        <v>4627</v>
      </c>
    </row>
    <row r="2358" ht="22" customHeight="1" spans="1:4">
      <c r="A2358" s="6" t="s">
        <v>4623</v>
      </c>
      <c r="B2358" s="6" t="s">
        <v>4628</v>
      </c>
      <c r="C2358" s="6" t="s">
        <v>1576</v>
      </c>
      <c r="D2358" s="6" t="s">
        <v>1571</v>
      </c>
    </row>
    <row r="2359" ht="22" customHeight="1" spans="1:4">
      <c r="A2359" s="6" t="s">
        <v>4623</v>
      </c>
      <c r="B2359" s="6" t="s">
        <v>4629</v>
      </c>
      <c r="C2359" s="6" t="s">
        <v>1570</v>
      </c>
      <c r="D2359" s="6" t="s">
        <v>1571</v>
      </c>
    </row>
    <row r="2360" ht="22" customHeight="1" spans="1:4">
      <c r="A2360" s="6" t="s">
        <v>4623</v>
      </c>
      <c r="B2360" s="6" t="s">
        <v>4630</v>
      </c>
      <c r="C2360" s="6" t="s">
        <v>1599</v>
      </c>
      <c r="D2360" s="6" t="s">
        <v>4631</v>
      </c>
    </row>
    <row r="2361" ht="22" customHeight="1" spans="1:4">
      <c r="A2361" s="6" t="s">
        <v>4623</v>
      </c>
      <c r="B2361" s="6" t="s">
        <v>4632</v>
      </c>
      <c r="C2361" s="6" t="s">
        <v>1599</v>
      </c>
      <c r="D2361" s="6" t="s">
        <v>4633</v>
      </c>
    </row>
    <row r="2362" ht="22" customHeight="1" spans="1:4">
      <c r="A2362" s="6" t="s">
        <v>4623</v>
      </c>
      <c r="B2362" s="6" t="s">
        <v>4634</v>
      </c>
      <c r="C2362" s="6" t="s">
        <v>1599</v>
      </c>
      <c r="D2362" s="6" t="s">
        <v>4635</v>
      </c>
    </row>
    <row r="2363" ht="22" customHeight="1" spans="1:4">
      <c r="A2363" s="6" t="s">
        <v>4623</v>
      </c>
      <c r="B2363" s="6" t="s">
        <v>4636</v>
      </c>
      <c r="C2363" s="6" t="s">
        <v>1576</v>
      </c>
      <c r="D2363" s="6" t="s">
        <v>1571</v>
      </c>
    </row>
    <row r="2364" ht="22" customHeight="1" spans="1:4">
      <c r="A2364" s="6" t="s">
        <v>4623</v>
      </c>
      <c r="B2364" s="6" t="s">
        <v>4637</v>
      </c>
      <c r="C2364" s="6" t="s">
        <v>1573</v>
      </c>
      <c r="D2364" s="6" t="s">
        <v>1623</v>
      </c>
    </row>
    <row r="2365" ht="22" customHeight="1" spans="1:4">
      <c r="A2365" s="6" t="s">
        <v>4623</v>
      </c>
      <c r="B2365" s="6" t="s">
        <v>4638</v>
      </c>
      <c r="C2365" s="6" t="s">
        <v>1573</v>
      </c>
      <c r="D2365" s="6" t="s">
        <v>1585</v>
      </c>
    </row>
    <row r="2366" ht="22" customHeight="1" spans="1:4">
      <c r="A2366" s="6" t="s">
        <v>4623</v>
      </c>
      <c r="B2366" s="6" t="s">
        <v>4639</v>
      </c>
      <c r="C2366" s="6" t="s">
        <v>1573</v>
      </c>
      <c r="D2366" s="6" t="s">
        <v>3440</v>
      </c>
    </row>
    <row r="2367" ht="22" customHeight="1" spans="1:4">
      <c r="A2367" s="6" t="s">
        <v>4623</v>
      </c>
      <c r="B2367" s="6" t="s">
        <v>4640</v>
      </c>
      <c r="C2367" s="6" t="s">
        <v>1573</v>
      </c>
      <c r="D2367" s="6" t="s">
        <v>1775</v>
      </c>
    </row>
    <row r="2368" ht="22" customHeight="1" spans="1:4">
      <c r="A2368" s="6" t="s">
        <v>4623</v>
      </c>
      <c r="B2368" s="6" t="s">
        <v>4641</v>
      </c>
      <c r="C2368" s="6" t="s">
        <v>1573</v>
      </c>
      <c r="D2368" s="6" t="s">
        <v>1585</v>
      </c>
    </row>
    <row r="2369" ht="22" customHeight="1" spans="1:4">
      <c r="A2369" s="6" t="s">
        <v>4623</v>
      </c>
      <c r="B2369" s="6" t="s">
        <v>4642</v>
      </c>
      <c r="C2369" s="6" t="s">
        <v>1605</v>
      </c>
      <c r="D2369" s="6" t="s">
        <v>1973</v>
      </c>
    </row>
    <row r="2370" ht="22" customHeight="1" spans="1:4">
      <c r="A2370" s="6" t="s">
        <v>4623</v>
      </c>
      <c r="B2370" s="6" t="s">
        <v>4643</v>
      </c>
      <c r="C2370" s="6" t="s">
        <v>1573</v>
      </c>
      <c r="D2370" s="6" t="s">
        <v>1623</v>
      </c>
    </row>
    <row r="2371" ht="22" customHeight="1" spans="1:4">
      <c r="A2371" s="6" t="s">
        <v>4623</v>
      </c>
      <c r="B2371" s="6" t="s">
        <v>4644</v>
      </c>
      <c r="C2371" s="6" t="s">
        <v>1605</v>
      </c>
      <c r="D2371" s="6" t="s">
        <v>1634</v>
      </c>
    </row>
    <row r="2372" ht="22" customHeight="1" spans="1:4">
      <c r="A2372" s="6" t="s">
        <v>4623</v>
      </c>
      <c r="B2372" s="6" t="s">
        <v>4645</v>
      </c>
      <c r="C2372" s="6" t="s">
        <v>1599</v>
      </c>
      <c r="D2372" s="6" t="s">
        <v>4646</v>
      </c>
    </row>
    <row r="2373" ht="22" customHeight="1" spans="1:4">
      <c r="A2373" s="6" t="s">
        <v>4623</v>
      </c>
      <c r="B2373" s="6" t="s">
        <v>4647</v>
      </c>
      <c r="C2373" s="6" t="s">
        <v>1605</v>
      </c>
      <c r="D2373" s="6" t="s">
        <v>2164</v>
      </c>
    </row>
    <row r="2374" ht="22" customHeight="1" spans="1:4">
      <c r="A2374" s="6" t="s">
        <v>4623</v>
      </c>
      <c r="B2374" s="6" t="s">
        <v>4648</v>
      </c>
      <c r="C2374" s="6" t="s">
        <v>1573</v>
      </c>
      <c r="D2374" s="6" t="s">
        <v>3984</v>
      </c>
    </row>
    <row r="2375" ht="22" customHeight="1" spans="1:4">
      <c r="A2375" s="6" t="s">
        <v>4623</v>
      </c>
      <c r="B2375" s="6" t="s">
        <v>4649</v>
      </c>
      <c r="C2375" s="6" t="s">
        <v>1573</v>
      </c>
      <c r="D2375" s="6" t="s">
        <v>1155</v>
      </c>
    </row>
    <row r="2376" ht="22" customHeight="1" spans="1:4">
      <c r="A2376" s="6" t="s">
        <v>4623</v>
      </c>
      <c r="B2376" s="6" t="s">
        <v>4650</v>
      </c>
      <c r="C2376" s="6" t="s">
        <v>1573</v>
      </c>
      <c r="D2376" s="6" t="s">
        <v>3628</v>
      </c>
    </row>
    <row r="2377" ht="22" customHeight="1" spans="1:4">
      <c r="A2377" s="6" t="s">
        <v>4623</v>
      </c>
      <c r="B2377" s="6" t="s">
        <v>4651</v>
      </c>
      <c r="C2377" s="6" t="s">
        <v>1573</v>
      </c>
      <c r="D2377" s="6" t="s">
        <v>4256</v>
      </c>
    </row>
    <row r="2378" ht="22" customHeight="1" spans="1:4">
      <c r="A2378" s="6" t="s">
        <v>4623</v>
      </c>
      <c r="B2378" s="6" t="s">
        <v>4652</v>
      </c>
      <c r="C2378" s="6" t="s">
        <v>1605</v>
      </c>
      <c r="D2378" s="6" t="s">
        <v>1738</v>
      </c>
    </row>
    <row r="2379" ht="22" customHeight="1" spans="1:4">
      <c r="A2379" s="6" t="s">
        <v>4623</v>
      </c>
      <c r="B2379" s="6" t="s">
        <v>4653</v>
      </c>
      <c r="C2379" s="6" t="s">
        <v>1599</v>
      </c>
      <c r="D2379" s="6" t="s">
        <v>4654</v>
      </c>
    </row>
    <row r="2380" ht="22" customHeight="1" spans="1:4">
      <c r="A2380" s="6" t="s">
        <v>4623</v>
      </c>
      <c r="B2380" s="6" t="s">
        <v>4655</v>
      </c>
      <c r="C2380" s="6" t="s">
        <v>1573</v>
      </c>
      <c r="D2380" s="6" t="s">
        <v>921</v>
      </c>
    </row>
    <row r="2381" ht="22" customHeight="1" spans="1:4">
      <c r="A2381" s="6" t="s">
        <v>4623</v>
      </c>
      <c r="B2381" s="6" t="s">
        <v>4656</v>
      </c>
      <c r="C2381" s="6" t="s">
        <v>1573</v>
      </c>
      <c r="D2381" s="6" t="s">
        <v>921</v>
      </c>
    </row>
    <row r="2382" ht="22" customHeight="1" spans="1:4">
      <c r="A2382" s="6" t="s">
        <v>4623</v>
      </c>
      <c r="B2382" s="6" t="s">
        <v>4657</v>
      </c>
      <c r="C2382" s="6" t="s">
        <v>1605</v>
      </c>
      <c r="D2382" s="6" t="s">
        <v>1651</v>
      </c>
    </row>
    <row r="2383" ht="22" customHeight="1" spans="1:4">
      <c r="A2383" s="6" t="s">
        <v>4623</v>
      </c>
      <c r="B2383" s="6" t="s">
        <v>4658</v>
      </c>
      <c r="C2383" s="6" t="s">
        <v>1599</v>
      </c>
      <c r="D2383" s="6" t="s">
        <v>1653</v>
      </c>
    </row>
    <row r="2384" ht="22" customHeight="1" spans="1:4">
      <c r="A2384" s="6" t="s">
        <v>4623</v>
      </c>
      <c r="B2384" s="6" t="s">
        <v>4659</v>
      </c>
      <c r="C2384" s="6" t="s">
        <v>1599</v>
      </c>
      <c r="D2384" s="6" t="s">
        <v>1655</v>
      </c>
    </row>
    <row r="2385" ht="22" customHeight="1" spans="1:4">
      <c r="A2385" s="6" t="s">
        <v>4623</v>
      </c>
      <c r="B2385" s="6" t="s">
        <v>4660</v>
      </c>
      <c r="C2385" s="6" t="s">
        <v>1605</v>
      </c>
      <c r="D2385" s="6" t="s">
        <v>1744</v>
      </c>
    </row>
    <row r="2386" ht="22" customHeight="1" spans="1:4">
      <c r="A2386" s="6" t="s">
        <v>4623</v>
      </c>
      <c r="B2386" s="6" t="s">
        <v>4661</v>
      </c>
      <c r="C2386" s="6" t="s">
        <v>1605</v>
      </c>
      <c r="D2386" s="6" t="s">
        <v>1673</v>
      </c>
    </row>
    <row r="2387" ht="22" customHeight="1" spans="1:4">
      <c r="A2387" s="6" t="s">
        <v>4623</v>
      </c>
      <c r="B2387" s="6" t="s">
        <v>4662</v>
      </c>
      <c r="C2387" s="6" t="s">
        <v>1599</v>
      </c>
      <c r="D2387" s="6" t="s">
        <v>1661</v>
      </c>
    </row>
    <row r="2388" ht="22" customHeight="1" spans="1:4">
      <c r="A2388" s="6" t="s">
        <v>4623</v>
      </c>
      <c r="B2388" s="6" t="s">
        <v>4663</v>
      </c>
      <c r="C2388" s="6" t="s">
        <v>1570</v>
      </c>
      <c r="D2388" s="6" t="s">
        <v>1571</v>
      </c>
    </row>
    <row r="2389" ht="22" customHeight="1" spans="1:4">
      <c r="A2389" s="6" t="s">
        <v>4623</v>
      </c>
      <c r="B2389" s="6" t="s">
        <v>4664</v>
      </c>
      <c r="C2389" s="6" t="s">
        <v>1599</v>
      </c>
      <c r="D2389" s="6" t="s">
        <v>4665</v>
      </c>
    </row>
    <row r="2390" ht="22" customHeight="1" spans="1:4">
      <c r="A2390" s="6" t="s">
        <v>4623</v>
      </c>
      <c r="B2390" s="6" t="s">
        <v>4666</v>
      </c>
      <c r="C2390" s="6" t="s">
        <v>1599</v>
      </c>
      <c r="D2390" s="6" t="s">
        <v>4667</v>
      </c>
    </row>
    <row r="2391" ht="22" customHeight="1" spans="1:4">
      <c r="A2391" s="6" t="s">
        <v>4623</v>
      </c>
      <c r="B2391" s="6" t="s">
        <v>4668</v>
      </c>
      <c r="C2391" s="6" t="s">
        <v>1599</v>
      </c>
      <c r="D2391" s="6" t="s">
        <v>4669</v>
      </c>
    </row>
    <row r="2392" ht="22" customHeight="1" spans="1:4">
      <c r="A2392" s="6" t="s">
        <v>4623</v>
      </c>
      <c r="B2392" s="6" t="s">
        <v>4670</v>
      </c>
      <c r="C2392" s="6" t="s">
        <v>1576</v>
      </c>
      <c r="D2392" s="6" t="s">
        <v>1571</v>
      </c>
    </row>
    <row r="2393" ht="22" customHeight="1" spans="1:4">
      <c r="A2393" s="6" t="s">
        <v>4623</v>
      </c>
      <c r="B2393" s="6" t="s">
        <v>4671</v>
      </c>
      <c r="C2393" s="6" t="s">
        <v>1573</v>
      </c>
      <c r="D2393" s="6" t="s">
        <v>3096</v>
      </c>
    </row>
    <row r="2394" ht="22" customHeight="1" spans="1:4">
      <c r="A2394" s="6" t="s">
        <v>4623</v>
      </c>
      <c r="B2394" s="6" t="s">
        <v>4672</v>
      </c>
      <c r="C2394" s="6" t="s">
        <v>1573</v>
      </c>
      <c r="D2394" s="6" t="s">
        <v>1589</v>
      </c>
    </row>
    <row r="2395" ht="22" customHeight="1" spans="1:4">
      <c r="A2395" s="6" t="s">
        <v>4623</v>
      </c>
      <c r="B2395" s="6" t="s">
        <v>4673</v>
      </c>
      <c r="C2395" s="6" t="s">
        <v>1573</v>
      </c>
      <c r="D2395" s="6" t="s">
        <v>4674</v>
      </c>
    </row>
    <row r="2396" ht="22" customHeight="1" spans="1:4">
      <c r="A2396" s="6" t="s">
        <v>4623</v>
      </c>
      <c r="B2396" s="6" t="s">
        <v>4675</v>
      </c>
      <c r="C2396" s="6" t="s">
        <v>1573</v>
      </c>
      <c r="D2396" s="6" t="s">
        <v>4676</v>
      </c>
    </row>
    <row r="2397" ht="22" customHeight="1" spans="1:4">
      <c r="A2397" s="6" t="s">
        <v>4623</v>
      </c>
      <c r="B2397" s="6" t="s">
        <v>4677</v>
      </c>
      <c r="C2397" s="6" t="s">
        <v>1573</v>
      </c>
      <c r="D2397" s="6" t="s">
        <v>1733</v>
      </c>
    </row>
    <row r="2398" ht="22" customHeight="1" spans="1:4">
      <c r="A2398" s="6" t="s">
        <v>4623</v>
      </c>
      <c r="B2398" s="6" t="s">
        <v>4678</v>
      </c>
      <c r="C2398" s="6" t="s">
        <v>1605</v>
      </c>
      <c r="D2398" s="6" t="s">
        <v>1631</v>
      </c>
    </row>
    <row r="2399" ht="22" customHeight="1" spans="1:4">
      <c r="A2399" s="6" t="s">
        <v>4623</v>
      </c>
      <c r="B2399" s="6" t="s">
        <v>4679</v>
      </c>
      <c r="C2399" s="6" t="s">
        <v>1573</v>
      </c>
      <c r="D2399" s="6" t="s">
        <v>275</v>
      </c>
    </row>
    <row r="2400" ht="22" customHeight="1" spans="1:4">
      <c r="A2400" s="6" t="s">
        <v>4623</v>
      </c>
      <c r="B2400" s="6" t="s">
        <v>4680</v>
      </c>
      <c r="C2400" s="6" t="s">
        <v>1605</v>
      </c>
      <c r="D2400" s="6" t="s">
        <v>1738</v>
      </c>
    </row>
    <row r="2401" ht="22" customHeight="1" spans="1:4">
      <c r="A2401" s="6" t="s">
        <v>4623</v>
      </c>
      <c r="B2401" s="6" t="s">
        <v>4681</v>
      </c>
      <c r="C2401" s="6" t="s">
        <v>1599</v>
      </c>
      <c r="D2401" s="6" t="s">
        <v>4682</v>
      </c>
    </row>
    <row r="2402" ht="22" customHeight="1" spans="1:4">
      <c r="A2402" s="6" t="s">
        <v>4623</v>
      </c>
      <c r="B2402" s="6" t="s">
        <v>4683</v>
      </c>
      <c r="C2402" s="6" t="s">
        <v>1714</v>
      </c>
      <c r="D2402" s="6" t="s">
        <v>1715</v>
      </c>
    </row>
    <row r="2403" ht="22" customHeight="1" spans="1:4">
      <c r="A2403" s="6" t="s">
        <v>4623</v>
      </c>
      <c r="B2403" s="6" t="s">
        <v>4684</v>
      </c>
      <c r="C2403" s="6" t="s">
        <v>1605</v>
      </c>
      <c r="D2403" s="6" t="s">
        <v>909</v>
      </c>
    </row>
    <row r="2404" ht="22" customHeight="1" spans="1:4">
      <c r="A2404" s="6" t="s">
        <v>4623</v>
      </c>
      <c r="B2404" s="6" t="s">
        <v>4685</v>
      </c>
      <c r="C2404" s="6" t="s">
        <v>1605</v>
      </c>
      <c r="D2404" s="6" t="s">
        <v>3086</v>
      </c>
    </row>
    <row r="2405" ht="22" customHeight="1" spans="1:4">
      <c r="A2405" s="6" t="s">
        <v>4623</v>
      </c>
      <c r="B2405" s="6" t="s">
        <v>4686</v>
      </c>
      <c r="C2405" s="6" t="s">
        <v>1605</v>
      </c>
      <c r="D2405" s="6" t="s">
        <v>1606</v>
      </c>
    </row>
    <row r="2406" ht="22" customHeight="1" spans="1:4">
      <c r="A2406" s="6" t="s">
        <v>4623</v>
      </c>
      <c r="B2406" s="6" t="s">
        <v>4687</v>
      </c>
      <c r="C2406" s="6" t="s">
        <v>1605</v>
      </c>
      <c r="D2406" s="6" t="s">
        <v>1615</v>
      </c>
    </row>
    <row r="2407" ht="22" customHeight="1" spans="1:4">
      <c r="A2407" s="6" t="s">
        <v>4623</v>
      </c>
      <c r="B2407" s="6" t="s">
        <v>4688</v>
      </c>
      <c r="C2407" s="6" t="s">
        <v>1605</v>
      </c>
      <c r="D2407" s="6" t="s">
        <v>1738</v>
      </c>
    </row>
    <row r="2408" ht="22" customHeight="1" spans="1:4">
      <c r="A2408" s="6" t="s">
        <v>4623</v>
      </c>
      <c r="B2408" s="6" t="s">
        <v>4689</v>
      </c>
      <c r="C2408" s="6" t="s">
        <v>1599</v>
      </c>
      <c r="D2408" s="6" t="s">
        <v>4690</v>
      </c>
    </row>
    <row r="2409" ht="22" customHeight="1" spans="1:4">
      <c r="A2409" s="6" t="s">
        <v>4623</v>
      </c>
      <c r="B2409" s="6" t="s">
        <v>4691</v>
      </c>
      <c r="C2409" s="6" t="s">
        <v>1573</v>
      </c>
      <c r="D2409" s="6" t="s">
        <v>921</v>
      </c>
    </row>
    <row r="2410" ht="22" customHeight="1" spans="1:4">
      <c r="A2410" s="6" t="s">
        <v>4623</v>
      </c>
      <c r="B2410" s="6" t="s">
        <v>4692</v>
      </c>
      <c r="C2410" s="6" t="s">
        <v>1573</v>
      </c>
      <c r="D2410" s="6" t="s">
        <v>921</v>
      </c>
    </row>
    <row r="2411" ht="22" customHeight="1" spans="1:4">
      <c r="A2411" s="6" t="s">
        <v>4623</v>
      </c>
      <c r="B2411" s="6" t="s">
        <v>4693</v>
      </c>
      <c r="C2411" s="6" t="s">
        <v>1605</v>
      </c>
      <c r="D2411" s="6" t="s">
        <v>1651</v>
      </c>
    </row>
    <row r="2412" ht="22" customHeight="1" spans="1:4">
      <c r="A2412" s="6" t="s">
        <v>4623</v>
      </c>
      <c r="B2412" s="6" t="s">
        <v>4694</v>
      </c>
      <c r="C2412" s="6" t="s">
        <v>1599</v>
      </c>
      <c r="D2412" s="6" t="s">
        <v>1653</v>
      </c>
    </row>
    <row r="2413" ht="22" customHeight="1" spans="1:4">
      <c r="A2413" s="6" t="s">
        <v>4623</v>
      </c>
      <c r="B2413" s="6" t="s">
        <v>4695</v>
      </c>
      <c r="C2413" s="6" t="s">
        <v>1599</v>
      </c>
      <c r="D2413" s="6" t="s">
        <v>1655</v>
      </c>
    </row>
    <row r="2414" ht="22" customHeight="1" spans="1:4">
      <c r="A2414" s="6" t="s">
        <v>4623</v>
      </c>
      <c r="B2414" s="6" t="s">
        <v>4696</v>
      </c>
      <c r="C2414" s="6" t="s">
        <v>1605</v>
      </c>
      <c r="D2414" s="6" t="s">
        <v>1744</v>
      </c>
    </row>
    <row r="2415" ht="22" customHeight="1" spans="1:4">
      <c r="A2415" s="6" t="s">
        <v>4623</v>
      </c>
      <c r="B2415" s="6" t="s">
        <v>4697</v>
      </c>
      <c r="C2415" s="6" t="s">
        <v>1605</v>
      </c>
      <c r="D2415" s="6" t="s">
        <v>1673</v>
      </c>
    </row>
    <row r="2416" ht="22" customHeight="1" spans="1:4">
      <c r="A2416" s="6" t="s">
        <v>4623</v>
      </c>
      <c r="B2416" s="6" t="s">
        <v>4698</v>
      </c>
      <c r="C2416" s="6" t="s">
        <v>1599</v>
      </c>
      <c r="D2416" s="6" t="s">
        <v>1661</v>
      </c>
    </row>
    <row r="2417" ht="22" customHeight="1" spans="1:4">
      <c r="A2417" s="6" t="s">
        <v>4623</v>
      </c>
      <c r="B2417" s="6" t="s">
        <v>4699</v>
      </c>
      <c r="C2417" s="6" t="s">
        <v>1570</v>
      </c>
      <c r="D2417" s="6" t="s">
        <v>1571</v>
      </c>
    </row>
    <row r="2418" ht="22" customHeight="1" spans="1:4">
      <c r="A2418" s="6" t="s">
        <v>4623</v>
      </c>
      <c r="B2418" s="6" t="s">
        <v>4700</v>
      </c>
      <c r="C2418" s="6" t="s">
        <v>1599</v>
      </c>
      <c r="D2418" s="6" t="s">
        <v>4701</v>
      </c>
    </row>
    <row r="2419" ht="22" customHeight="1" spans="1:4">
      <c r="A2419" s="6" t="s">
        <v>4623</v>
      </c>
      <c r="B2419" s="6" t="s">
        <v>4702</v>
      </c>
      <c r="C2419" s="6" t="s">
        <v>1599</v>
      </c>
      <c r="D2419" s="6" t="s">
        <v>4703</v>
      </c>
    </row>
    <row r="2420" ht="22" customHeight="1" spans="1:4">
      <c r="A2420" s="6" t="s">
        <v>4623</v>
      </c>
      <c r="B2420" s="6" t="s">
        <v>4704</v>
      </c>
      <c r="C2420" s="6" t="s">
        <v>1599</v>
      </c>
      <c r="D2420" s="6" t="s">
        <v>4705</v>
      </c>
    </row>
    <row r="2421" ht="22" customHeight="1" spans="1:4">
      <c r="A2421" s="6" t="s">
        <v>4623</v>
      </c>
      <c r="B2421" s="6" t="s">
        <v>4706</v>
      </c>
      <c r="C2421" s="6" t="s">
        <v>1576</v>
      </c>
      <c r="D2421" s="6" t="s">
        <v>1571</v>
      </c>
    </row>
    <row r="2422" ht="22" customHeight="1" spans="1:4">
      <c r="A2422" s="6" t="s">
        <v>4623</v>
      </c>
      <c r="B2422" s="6" t="s">
        <v>4707</v>
      </c>
      <c r="C2422" s="6" t="s">
        <v>1573</v>
      </c>
      <c r="D2422" s="6" t="s">
        <v>1574</v>
      </c>
    </row>
    <row r="2423" ht="22" customHeight="1" spans="1:4">
      <c r="A2423" s="6" t="s">
        <v>4623</v>
      </c>
      <c r="B2423" s="6" t="s">
        <v>4708</v>
      </c>
      <c r="C2423" s="6" t="s">
        <v>1573</v>
      </c>
      <c r="D2423" s="6" t="s">
        <v>1727</v>
      </c>
    </row>
    <row r="2424" ht="22" customHeight="1" spans="1:4">
      <c r="A2424" s="6" t="s">
        <v>4623</v>
      </c>
      <c r="B2424" s="6" t="s">
        <v>4709</v>
      </c>
      <c r="C2424" s="6" t="s">
        <v>1573</v>
      </c>
      <c r="D2424" s="6" t="s">
        <v>4710</v>
      </c>
    </row>
    <row r="2425" ht="22" customHeight="1" spans="1:4">
      <c r="A2425" s="6" t="s">
        <v>4623</v>
      </c>
      <c r="B2425" s="6" t="s">
        <v>4711</v>
      </c>
      <c r="C2425" s="6" t="s">
        <v>1573</v>
      </c>
      <c r="D2425" s="6" t="s">
        <v>1930</v>
      </c>
    </row>
    <row r="2426" ht="22" customHeight="1" spans="1:4">
      <c r="A2426" s="6" t="s">
        <v>4623</v>
      </c>
      <c r="B2426" s="6" t="s">
        <v>4712</v>
      </c>
      <c r="C2426" s="6" t="s">
        <v>1573</v>
      </c>
      <c r="D2426" s="6" t="s">
        <v>1580</v>
      </c>
    </row>
    <row r="2427" ht="22" customHeight="1" spans="1:4">
      <c r="A2427" s="6" t="s">
        <v>4623</v>
      </c>
      <c r="B2427" s="6" t="s">
        <v>4713</v>
      </c>
      <c r="C2427" s="6" t="s">
        <v>1605</v>
      </c>
      <c r="D2427" s="6" t="s">
        <v>1688</v>
      </c>
    </row>
    <row r="2428" ht="22" customHeight="1" spans="1:4">
      <c r="A2428" s="6" t="s">
        <v>4623</v>
      </c>
      <c r="B2428" s="6" t="s">
        <v>4714</v>
      </c>
      <c r="C2428" s="6" t="s">
        <v>1573</v>
      </c>
      <c r="D2428" s="6" t="s">
        <v>1623</v>
      </c>
    </row>
    <row r="2429" ht="22" customHeight="1" spans="1:4">
      <c r="A2429" s="6" t="s">
        <v>4623</v>
      </c>
      <c r="B2429" s="6" t="s">
        <v>4715</v>
      </c>
      <c r="C2429" s="6" t="s">
        <v>1605</v>
      </c>
      <c r="D2429" s="6" t="s">
        <v>1738</v>
      </c>
    </row>
    <row r="2430" ht="22" customHeight="1" spans="1:4">
      <c r="A2430" s="6" t="s">
        <v>4623</v>
      </c>
      <c r="B2430" s="6" t="s">
        <v>4716</v>
      </c>
      <c r="C2430" s="6" t="s">
        <v>1599</v>
      </c>
      <c r="D2430" s="6" t="s">
        <v>4717</v>
      </c>
    </row>
    <row r="2431" ht="22" customHeight="1" spans="1:4">
      <c r="A2431" s="6" t="s">
        <v>4623</v>
      </c>
      <c r="B2431" s="6" t="s">
        <v>4718</v>
      </c>
      <c r="C2431" s="6" t="s">
        <v>1714</v>
      </c>
      <c r="D2431" s="6" t="s">
        <v>1715</v>
      </c>
    </row>
    <row r="2432" ht="22" customHeight="1" spans="1:4">
      <c r="A2432" s="6" t="s">
        <v>4623</v>
      </c>
      <c r="B2432" s="6" t="s">
        <v>4719</v>
      </c>
      <c r="C2432" s="6" t="s">
        <v>1605</v>
      </c>
      <c r="D2432" s="6" t="s">
        <v>1738</v>
      </c>
    </row>
    <row r="2433" ht="22" customHeight="1" spans="1:4">
      <c r="A2433" s="6" t="s">
        <v>4623</v>
      </c>
      <c r="B2433" s="6" t="s">
        <v>4720</v>
      </c>
      <c r="C2433" s="6" t="s">
        <v>1605</v>
      </c>
      <c r="D2433" s="6" t="s">
        <v>4721</v>
      </c>
    </row>
    <row r="2434" ht="22" customHeight="1" spans="1:4">
      <c r="A2434" s="6" t="s">
        <v>4623</v>
      </c>
      <c r="B2434" s="6" t="s">
        <v>4722</v>
      </c>
      <c r="C2434" s="6" t="s">
        <v>1605</v>
      </c>
      <c r="D2434" s="6" t="s">
        <v>942</v>
      </c>
    </row>
    <row r="2435" ht="22" customHeight="1" spans="1:4">
      <c r="A2435" s="6" t="s">
        <v>4623</v>
      </c>
      <c r="B2435" s="6" t="s">
        <v>4723</v>
      </c>
      <c r="C2435" s="6" t="s">
        <v>1605</v>
      </c>
      <c r="D2435" s="6" t="s">
        <v>1657</v>
      </c>
    </row>
    <row r="2436" ht="22" customHeight="1" spans="1:4">
      <c r="A2436" s="6" t="s">
        <v>4623</v>
      </c>
      <c r="B2436" s="6" t="s">
        <v>4724</v>
      </c>
      <c r="C2436" s="6" t="s">
        <v>1599</v>
      </c>
      <c r="D2436" s="6" t="s">
        <v>4725</v>
      </c>
    </row>
    <row r="2437" ht="22" customHeight="1" spans="1:4">
      <c r="A2437" s="6" t="s">
        <v>4623</v>
      </c>
      <c r="B2437" s="6" t="s">
        <v>4726</v>
      </c>
      <c r="C2437" s="6" t="s">
        <v>1573</v>
      </c>
      <c r="D2437" s="6" t="s">
        <v>921</v>
      </c>
    </row>
    <row r="2438" ht="22" customHeight="1" spans="1:4">
      <c r="A2438" s="6" t="s">
        <v>4623</v>
      </c>
      <c r="B2438" s="6" t="s">
        <v>4727</v>
      </c>
      <c r="C2438" s="6" t="s">
        <v>1573</v>
      </c>
      <c r="D2438" s="6" t="s">
        <v>921</v>
      </c>
    </row>
    <row r="2439" ht="22" customHeight="1" spans="1:4">
      <c r="A2439" s="6" t="s">
        <v>4623</v>
      </c>
      <c r="B2439" s="6" t="s">
        <v>4728</v>
      </c>
      <c r="C2439" s="6" t="s">
        <v>1605</v>
      </c>
      <c r="D2439" s="6" t="s">
        <v>1651</v>
      </c>
    </row>
    <row r="2440" ht="22" customHeight="1" spans="1:4">
      <c r="A2440" s="6" t="s">
        <v>4623</v>
      </c>
      <c r="B2440" s="6" t="s">
        <v>4729</v>
      </c>
      <c r="C2440" s="6" t="s">
        <v>1599</v>
      </c>
      <c r="D2440" s="6" t="s">
        <v>1653</v>
      </c>
    </row>
    <row r="2441" ht="22" customHeight="1" spans="1:4">
      <c r="A2441" s="6" t="s">
        <v>4623</v>
      </c>
      <c r="B2441" s="6" t="s">
        <v>4730</v>
      </c>
      <c r="C2441" s="6" t="s">
        <v>1599</v>
      </c>
      <c r="D2441" s="6" t="s">
        <v>1655</v>
      </c>
    </row>
    <row r="2442" ht="22" customHeight="1" spans="1:4">
      <c r="A2442" s="6" t="s">
        <v>4623</v>
      </c>
      <c r="B2442" s="6" t="s">
        <v>4731</v>
      </c>
      <c r="C2442" s="6" t="s">
        <v>1605</v>
      </c>
      <c r="D2442" s="6" t="s">
        <v>1744</v>
      </c>
    </row>
    <row r="2443" ht="22" customHeight="1" spans="1:4">
      <c r="A2443" s="6" t="s">
        <v>4623</v>
      </c>
      <c r="B2443" s="6" t="s">
        <v>4732</v>
      </c>
      <c r="C2443" s="6" t="s">
        <v>1605</v>
      </c>
      <c r="D2443" s="6" t="s">
        <v>1673</v>
      </c>
    </row>
    <row r="2444" ht="22" customHeight="1" spans="1:4">
      <c r="A2444" s="6" t="s">
        <v>4623</v>
      </c>
      <c r="B2444" s="6" t="s">
        <v>4733</v>
      </c>
      <c r="C2444" s="6" t="s">
        <v>1599</v>
      </c>
      <c r="D2444" s="6" t="s">
        <v>1661</v>
      </c>
    </row>
    <row r="2445" ht="22" customHeight="1" spans="1:4">
      <c r="A2445" s="6" t="s">
        <v>4623</v>
      </c>
      <c r="B2445" s="6" t="s">
        <v>4734</v>
      </c>
      <c r="C2445" s="6" t="s">
        <v>1570</v>
      </c>
      <c r="D2445" s="6" t="s">
        <v>1571</v>
      </c>
    </row>
    <row r="2446" ht="22" customHeight="1" spans="1:4">
      <c r="A2446" s="6" t="s">
        <v>4623</v>
      </c>
      <c r="B2446" s="6" t="s">
        <v>4735</v>
      </c>
      <c r="C2446" s="6" t="s">
        <v>1599</v>
      </c>
      <c r="D2446" s="6" t="s">
        <v>4736</v>
      </c>
    </row>
    <row r="2447" ht="22" customHeight="1" spans="1:4">
      <c r="A2447" s="6" t="s">
        <v>4623</v>
      </c>
      <c r="B2447" s="6" t="s">
        <v>4737</v>
      </c>
      <c r="C2447" s="6" t="s">
        <v>1599</v>
      </c>
      <c r="D2447" s="6" t="s">
        <v>4738</v>
      </c>
    </row>
    <row r="2448" ht="22" customHeight="1" spans="1:4">
      <c r="A2448" s="6" t="s">
        <v>4623</v>
      </c>
      <c r="B2448" s="6" t="s">
        <v>4739</v>
      </c>
      <c r="C2448" s="6" t="s">
        <v>1599</v>
      </c>
      <c r="D2448" s="6" t="s">
        <v>4740</v>
      </c>
    </row>
    <row r="2449" ht="22" customHeight="1" spans="1:4">
      <c r="A2449" s="6" t="s">
        <v>4623</v>
      </c>
      <c r="B2449" s="6" t="s">
        <v>4741</v>
      </c>
      <c r="C2449" s="6" t="s">
        <v>1576</v>
      </c>
      <c r="D2449" s="6" t="s">
        <v>1571</v>
      </c>
    </row>
    <row r="2450" ht="22" customHeight="1" spans="1:4">
      <c r="A2450" s="6" t="s">
        <v>4623</v>
      </c>
      <c r="B2450" s="6" t="s">
        <v>4742</v>
      </c>
      <c r="C2450" s="6" t="s">
        <v>1573</v>
      </c>
      <c r="D2450" s="6" t="s">
        <v>1628</v>
      </c>
    </row>
    <row r="2451" ht="22" customHeight="1" spans="1:4">
      <c r="A2451" s="6" t="s">
        <v>4623</v>
      </c>
      <c r="B2451" s="6" t="s">
        <v>4743</v>
      </c>
      <c r="C2451" s="6" t="s">
        <v>1573</v>
      </c>
      <c r="D2451" s="6" t="s">
        <v>4744</v>
      </c>
    </row>
    <row r="2452" ht="22" customHeight="1" spans="1:4">
      <c r="A2452" s="6" t="s">
        <v>4623</v>
      </c>
      <c r="B2452" s="6" t="s">
        <v>4745</v>
      </c>
      <c r="C2452" s="6" t="s">
        <v>1573</v>
      </c>
      <c r="D2452" s="6" t="s">
        <v>4746</v>
      </c>
    </row>
    <row r="2453" ht="22" customHeight="1" spans="1:4">
      <c r="A2453" s="6" t="s">
        <v>4623</v>
      </c>
      <c r="B2453" s="6" t="s">
        <v>4747</v>
      </c>
      <c r="C2453" s="6" t="s">
        <v>1573</v>
      </c>
      <c r="D2453" s="6" t="s">
        <v>4748</v>
      </c>
    </row>
    <row r="2454" ht="22" customHeight="1" spans="1:4">
      <c r="A2454" s="6" t="s">
        <v>4623</v>
      </c>
      <c r="B2454" s="6" t="s">
        <v>4749</v>
      </c>
      <c r="C2454" s="6" t="s">
        <v>1573</v>
      </c>
      <c r="D2454" s="6" t="s">
        <v>2269</v>
      </c>
    </row>
    <row r="2455" ht="22" customHeight="1" spans="1:4">
      <c r="A2455" s="6" t="s">
        <v>4623</v>
      </c>
      <c r="B2455" s="6" t="s">
        <v>4750</v>
      </c>
      <c r="C2455" s="6" t="s">
        <v>1605</v>
      </c>
      <c r="D2455" s="6" t="s">
        <v>1688</v>
      </c>
    </row>
    <row r="2456" ht="22" customHeight="1" spans="1:4">
      <c r="A2456" s="6" t="s">
        <v>4623</v>
      </c>
      <c r="B2456" s="6" t="s">
        <v>4751</v>
      </c>
      <c r="C2456" s="6" t="s">
        <v>1573</v>
      </c>
      <c r="D2456" s="6" t="s">
        <v>463</v>
      </c>
    </row>
    <row r="2457" ht="22" customHeight="1" spans="1:4">
      <c r="A2457" s="6" t="s">
        <v>4623</v>
      </c>
      <c r="B2457" s="6" t="s">
        <v>4752</v>
      </c>
      <c r="C2457" s="6" t="s">
        <v>1605</v>
      </c>
      <c r="D2457" s="6" t="s">
        <v>2483</v>
      </c>
    </row>
    <row r="2458" ht="22" customHeight="1" spans="1:4">
      <c r="A2458" s="6" t="s">
        <v>4623</v>
      </c>
      <c r="B2458" s="6" t="s">
        <v>4753</v>
      </c>
      <c r="C2458" s="6" t="s">
        <v>1599</v>
      </c>
      <c r="D2458" s="6" t="s">
        <v>4754</v>
      </c>
    </row>
    <row r="2459" ht="22" customHeight="1" spans="1:4">
      <c r="A2459" s="6" t="s">
        <v>4623</v>
      </c>
      <c r="B2459" s="6" t="s">
        <v>4755</v>
      </c>
      <c r="C2459" s="6" t="s">
        <v>1714</v>
      </c>
      <c r="D2459" s="6" t="s">
        <v>1715</v>
      </c>
    </row>
    <row r="2460" ht="22" customHeight="1" spans="1:4">
      <c r="A2460" s="6" t="s">
        <v>4623</v>
      </c>
      <c r="B2460" s="6" t="s">
        <v>4756</v>
      </c>
      <c r="C2460" s="6" t="s">
        <v>1605</v>
      </c>
      <c r="D2460" s="6" t="s">
        <v>1738</v>
      </c>
    </row>
    <row r="2461" ht="22" customHeight="1" spans="1:4">
      <c r="A2461" s="6" t="s">
        <v>4623</v>
      </c>
      <c r="B2461" s="6" t="s">
        <v>4757</v>
      </c>
      <c r="C2461" s="6" t="s">
        <v>1605</v>
      </c>
      <c r="D2461" s="6" t="s">
        <v>3086</v>
      </c>
    </row>
    <row r="2462" ht="22" customHeight="1" spans="1:4">
      <c r="A2462" s="6" t="s">
        <v>4623</v>
      </c>
      <c r="B2462" s="6" t="s">
        <v>4758</v>
      </c>
      <c r="C2462" s="6" t="s">
        <v>1573</v>
      </c>
      <c r="D2462" s="6" t="s">
        <v>1155</v>
      </c>
    </row>
    <row r="2463" ht="22" customHeight="1" spans="1:4">
      <c r="A2463" s="6" t="s">
        <v>4623</v>
      </c>
      <c r="B2463" s="6" t="s">
        <v>4759</v>
      </c>
      <c r="C2463" s="6" t="s">
        <v>1605</v>
      </c>
      <c r="D2463" s="6" t="s">
        <v>2164</v>
      </c>
    </row>
    <row r="2464" ht="22" customHeight="1" spans="1:4">
      <c r="A2464" s="6" t="s">
        <v>4623</v>
      </c>
      <c r="B2464" s="6" t="s">
        <v>4760</v>
      </c>
      <c r="C2464" s="6" t="s">
        <v>1605</v>
      </c>
      <c r="D2464" s="6" t="s">
        <v>1645</v>
      </c>
    </row>
    <row r="2465" ht="22" customHeight="1" spans="1:4">
      <c r="A2465" s="6" t="s">
        <v>4623</v>
      </c>
      <c r="B2465" s="6" t="s">
        <v>4761</v>
      </c>
      <c r="C2465" s="6" t="s">
        <v>1605</v>
      </c>
      <c r="D2465" s="6" t="s">
        <v>2164</v>
      </c>
    </row>
    <row r="2466" ht="22" customHeight="1" spans="1:4">
      <c r="A2466" s="6" t="s">
        <v>4623</v>
      </c>
      <c r="B2466" s="6" t="s">
        <v>4762</v>
      </c>
      <c r="C2466" s="6" t="s">
        <v>1599</v>
      </c>
      <c r="D2466" s="6" t="s">
        <v>4763</v>
      </c>
    </row>
    <row r="2467" ht="22" customHeight="1" spans="1:4">
      <c r="A2467" s="6" t="s">
        <v>4623</v>
      </c>
      <c r="B2467" s="6" t="s">
        <v>4764</v>
      </c>
      <c r="C2467" s="6" t="s">
        <v>1573</v>
      </c>
      <c r="D2467" s="6" t="s">
        <v>275</v>
      </c>
    </row>
    <row r="2468" ht="22" customHeight="1" spans="1:4">
      <c r="A2468" s="6" t="s">
        <v>4623</v>
      </c>
      <c r="B2468" s="6" t="s">
        <v>4765</v>
      </c>
      <c r="C2468" s="6" t="s">
        <v>1573</v>
      </c>
      <c r="D2468" s="6" t="s">
        <v>275</v>
      </c>
    </row>
    <row r="2469" ht="22" customHeight="1" spans="1:4">
      <c r="A2469" s="6" t="s">
        <v>4623</v>
      </c>
      <c r="B2469" s="6" t="s">
        <v>4766</v>
      </c>
      <c r="C2469" s="6" t="s">
        <v>1605</v>
      </c>
      <c r="D2469" s="6" t="s">
        <v>1651</v>
      </c>
    </row>
    <row r="2470" ht="22" customHeight="1" spans="1:4">
      <c r="A2470" s="6" t="s">
        <v>4623</v>
      </c>
      <c r="B2470" s="6" t="s">
        <v>4767</v>
      </c>
      <c r="C2470" s="6" t="s">
        <v>1599</v>
      </c>
      <c r="D2470" s="6" t="s">
        <v>1653</v>
      </c>
    </row>
    <row r="2471" ht="22" customHeight="1" spans="1:4">
      <c r="A2471" s="6" t="s">
        <v>4623</v>
      </c>
      <c r="B2471" s="6" t="s">
        <v>4768</v>
      </c>
      <c r="C2471" s="6" t="s">
        <v>1599</v>
      </c>
      <c r="D2471" s="6" t="s">
        <v>1655</v>
      </c>
    </row>
    <row r="2472" ht="22" customHeight="1" spans="1:4">
      <c r="A2472" s="6" t="s">
        <v>4623</v>
      </c>
      <c r="B2472" s="6" t="s">
        <v>4769</v>
      </c>
      <c r="C2472" s="6" t="s">
        <v>1605</v>
      </c>
      <c r="D2472" s="6" t="s">
        <v>1744</v>
      </c>
    </row>
    <row r="2473" ht="22" customHeight="1" spans="1:4">
      <c r="A2473" s="6" t="s">
        <v>4623</v>
      </c>
      <c r="B2473" s="6" t="s">
        <v>4770</v>
      </c>
      <c r="C2473" s="6" t="s">
        <v>1605</v>
      </c>
      <c r="D2473" s="6" t="s">
        <v>1673</v>
      </c>
    </row>
    <row r="2474" ht="22" customHeight="1" spans="1:4">
      <c r="A2474" s="6" t="s">
        <v>4623</v>
      </c>
      <c r="B2474" s="6" t="s">
        <v>4771</v>
      </c>
      <c r="C2474" s="6" t="s">
        <v>1599</v>
      </c>
      <c r="D2474" s="6" t="s">
        <v>1661</v>
      </c>
    </row>
    <row r="2475" ht="22" customHeight="1" spans="1:4">
      <c r="A2475" s="6" t="s">
        <v>4623</v>
      </c>
      <c r="B2475" s="6" t="s">
        <v>4772</v>
      </c>
      <c r="C2475" s="6" t="s">
        <v>1570</v>
      </c>
      <c r="D2475" s="6" t="s">
        <v>1571</v>
      </c>
    </row>
    <row r="2476" ht="22" customHeight="1" spans="1:4">
      <c r="A2476" s="6" t="s">
        <v>4623</v>
      </c>
      <c r="B2476" s="6" t="s">
        <v>4773</v>
      </c>
      <c r="C2476" s="6" t="s">
        <v>1599</v>
      </c>
      <c r="D2476" s="6" t="s">
        <v>4774</v>
      </c>
    </row>
    <row r="2477" ht="22" customHeight="1" spans="1:4">
      <c r="A2477" s="6" t="s">
        <v>4623</v>
      </c>
      <c r="B2477" s="6" t="s">
        <v>4775</v>
      </c>
      <c r="C2477" s="6" t="s">
        <v>1599</v>
      </c>
      <c r="D2477" s="6" t="s">
        <v>4776</v>
      </c>
    </row>
    <row r="2478" ht="22" customHeight="1" spans="1:4">
      <c r="A2478" s="6" t="s">
        <v>4623</v>
      </c>
      <c r="B2478" s="6" t="s">
        <v>4777</v>
      </c>
      <c r="C2478" s="6" t="s">
        <v>1599</v>
      </c>
      <c r="D2478" s="6" t="s">
        <v>4778</v>
      </c>
    </row>
    <row r="2479" ht="22" customHeight="1" spans="1:4">
      <c r="A2479" s="6" t="s">
        <v>4623</v>
      </c>
      <c r="B2479" s="6" t="s">
        <v>4779</v>
      </c>
      <c r="C2479" s="6" t="s">
        <v>1576</v>
      </c>
      <c r="D2479" s="6" t="s">
        <v>1571</v>
      </c>
    </row>
    <row r="2480" ht="22" customHeight="1" spans="1:4">
      <c r="A2480" s="6" t="s">
        <v>4623</v>
      </c>
      <c r="B2480" s="6" t="s">
        <v>4780</v>
      </c>
      <c r="C2480" s="6" t="s">
        <v>1573</v>
      </c>
      <c r="D2480" s="6" t="s">
        <v>4781</v>
      </c>
    </row>
    <row r="2481" ht="22" customHeight="1" spans="1:4">
      <c r="A2481" s="6" t="s">
        <v>4623</v>
      </c>
      <c r="B2481" s="6" t="s">
        <v>4782</v>
      </c>
      <c r="C2481" s="6" t="s">
        <v>1573</v>
      </c>
      <c r="D2481" s="6" t="s">
        <v>1888</v>
      </c>
    </row>
    <row r="2482" ht="22" customHeight="1" spans="1:4">
      <c r="A2482" s="6" t="s">
        <v>4623</v>
      </c>
      <c r="B2482" s="6" t="s">
        <v>4783</v>
      </c>
      <c r="C2482" s="6" t="s">
        <v>1573</v>
      </c>
      <c r="D2482" s="6" t="s">
        <v>4784</v>
      </c>
    </row>
    <row r="2483" ht="22" customHeight="1" spans="1:4">
      <c r="A2483" s="6" t="s">
        <v>4623</v>
      </c>
      <c r="B2483" s="6" t="s">
        <v>4785</v>
      </c>
      <c r="C2483" s="6" t="s">
        <v>1573</v>
      </c>
      <c r="D2483" s="6" t="s">
        <v>3897</v>
      </c>
    </row>
    <row r="2484" ht="22" customHeight="1" spans="1:4">
      <c r="A2484" s="6" t="s">
        <v>4623</v>
      </c>
      <c r="B2484" s="6" t="s">
        <v>4786</v>
      </c>
      <c r="C2484" s="6" t="s">
        <v>1573</v>
      </c>
      <c r="D2484" s="6" t="s">
        <v>1727</v>
      </c>
    </row>
    <row r="2485" ht="22" customHeight="1" spans="1:4">
      <c r="A2485" s="6" t="s">
        <v>4623</v>
      </c>
      <c r="B2485" s="6" t="s">
        <v>4787</v>
      </c>
      <c r="C2485" s="6" t="s">
        <v>1605</v>
      </c>
      <c r="D2485" s="6" t="s">
        <v>1895</v>
      </c>
    </row>
    <row r="2486" ht="22" customHeight="1" spans="1:4">
      <c r="A2486" s="6" t="s">
        <v>4623</v>
      </c>
      <c r="B2486" s="6" t="s">
        <v>4788</v>
      </c>
      <c r="C2486" s="6" t="s">
        <v>1573</v>
      </c>
      <c r="D2486" s="6" t="s">
        <v>1623</v>
      </c>
    </row>
    <row r="2487" ht="22" customHeight="1" spans="1:4">
      <c r="A2487" s="6" t="s">
        <v>4623</v>
      </c>
      <c r="B2487" s="6" t="s">
        <v>4789</v>
      </c>
      <c r="C2487" s="6" t="s">
        <v>1605</v>
      </c>
      <c r="D2487" s="6" t="s">
        <v>1738</v>
      </c>
    </row>
    <row r="2488" ht="22" customHeight="1" spans="1:4">
      <c r="A2488" s="6" t="s">
        <v>4623</v>
      </c>
      <c r="B2488" s="6" t="s">
        <v>4790</v>
      </c>
      <c r="C2488" s="6" t="s">
        <v>1599</v>
      </c>
      <c r="D2488" s="6" t="s">
        <v>4791</v>
      </c>
    </row>
    <row r="2489" ht="22" customHeight="1" spans="1:4">
      <c r="A2489" s="6" t="s">
        <v>4623</v>
      </c>
      <c r="B2489" s="6" t="s">
        <v>4792</v>
      </c>
      <c r="C2489" s="6" t="s">
        <v>1714</v>
      </c>
      <c r="D2489" s="6" t="s">
        <v>1715</v>
      </c>
    </row>
    <row r="2490" ht="22" customHeight="1" spans="1:4">
      <c r="A2490" s="6" t="s">
        <v>4623</v>
      </c>
      <c r="B2490" s="6" t="s">
        <v>4793</v>
      </c>
      <c r="C2490" s="6" t="s">
        <v>1605</v>
      </c>
      <c r="D2490" s="6" t="s">
        <v>942</v>
      </c>
    </row>
    <row r="2491" ht="22" customHeight="1" spans="1:4">
      <c r="A2491" s="6" t="s">
        <v>4623</v>
      </c>
      <c r="B2491" s="6" t="s">
        <v>4794</v>
      </c>
      <c r="C2491" s="6" t="s">
        <v>1605</v>
      </c>
      <c r="D2491" s="6" t="s">
        <v>4721</v>
      </c>
    </row>
    <row r="2492" ht="22" customHeight="1" spans="1:4">
      <c r="A2492" s="6" t="s">
        <v>4623</v>
      </c>
      <c r="B2492" s="6" t="s">
        <v>4795</v>
      </c>
      <c r="C2492" s="6" t="s">
        <v>1573</v>
      </c>
      <c r="D2492" s="6" t="s">
        <v>2373</v>
      </c>
    </row>
    <row r="2493" ht="22" customHeight="1" spans="1:4">
      <c r="A2493" s="6" t="s">
        <v>4623</v>
      </c>
      <c r="B2493" s="6" t="s">
        <v>4796</v>
      </c>
      <c r="C2493" s="6" t="s">
        <v>1599</v>
      </c>
      <c r="D2493" s="6" t="s">
        <v>4797</v>
      </c>
    </row>
    <row r="2494" ht="22" customHeight="1" spans="1:4">
      <c r="A2494" s="6" t="s">
        <v>4623</v>
      </c>
      <c r="B2494" s="6" t="s">
        <v>4798</v>
      </c>
      <c r="C2494" s="6" t="s">
        <v>1573</v>
      </c>
      <c r="D2494" s="6" t="s">
        <v>921</v>
      </c>
    </row>
    <row r="2495" ht="22" customHeight="1" spans="1:4">
      <c r="A2495" s="6" t="s">
        <v>4623</v>
      </c>
      <c r="B2495" s="6" t="s">
        <v>4799</v>
      </c>
      <c r="C2495" s="6" t="s">
        <v>1573</v>
      </c>
      <c r="D2495" s="6" t="s">
        <v>921</v>
      </c>
    </row>
    <row r="2496" ht="22" customHeight="1" spans="1:4">
      <c r="A2496" s="6" t="s">
        <v>4623</v>
      </c>
      <c r="B2496" s="6" t="s">
        <v>4800</v>
      </c>
      <c r="C2496" s="6" t="s">
        <v>1605</v>
      </c>
      <c r="D2496" s="6" t="s">
        <v>1651</v>
      </c>
    </row>
    <row r="2497" ht="22" customHeight="1" spans="1:4">
      <c r="A2497" s="6" t="s">
        <v>4623</v>
      </c>
      <c r="B2497" s="6" t="s">
        <v>4801</v>
      </c>
      <c r="C2497" s="6" t="s">
        <v>1599</v>
      </c>
      <c r="D2497" s="6" t="s">
        <v>1653</v>
      </c>
    </row>
    <row r="2498" ht="22" customHeight="1" spans="1:4">
      <c r="A2498" s="6" t="s">
        <v>4623</v>
      </c>
      <c r="B2498" s="6" t="s">
        <v>4802</v>
      </c>
      <c r="C2498" s="6" t="s">
        <v>1599</v>
      </c>
      <c r="D2498" s="6" t="s">
        <v>1655</v>
      </c>
    </row>
    <row r="2499" ht="22" customHeight="1" spans="1:4">
      <c r="A2499" s="6" t="s">
        <v>4623</v>
      </c>
      <c r="B2499" s="6" t="s">
        <v>4803</v>
      </c>
      <c r="C2499" s="6" t="s">
        <v>1605</v>
      </c>
      <c r="D2499" s="6" t="s">
        <v>1744</v>
      </c>
    </row>
    <row r="2500" ht="22" customHeight="1" spans="1:4">
      <c r="A2500" s="6" t="s">
        <v>4623</v>
      </c>
      <c r="B2500" s="6" t="s">
        <v>4804</v>
      </c>
      <c r="C2500" s="6" t="s">
        <v>1605</v>
      </c>
      <c r="D2500" s="6" t="s">
        <v>1673</v>
      </c>
    </row>
    <row r="2501" ht="22" customHeight="1" spans="1:4">
      <c r="A2501" s="6" t="s">
        <v>4623</v>
      </c>
      <c r="B2501" s="6" t="s">
        <v>4805</v>
      </c>
      <c r="C2501" s="6" t="s">
        <v>1599</v>
      </c>
      <c r="D2501" s="6" t="s">
        <v>1661</v>
      </c>
    </row>
    <row r="2502" ht="22" customHeight="1" spans="1:4">
      <c r="A2502" s="6" t="s">
        <v>4806</v>
      </c>
      <c r="B2502" s="6" t="s">
        <v>1569</v>
      </c>
      <c r="C2502" s="6" t="s">
        <v>1570</v>
      </c>
      <c r="D2502" s="6" t="s">
        <v>1571</v>
      </c>
    </row>
    <row r="2503" ht="22" customHeight="1" spans="1:4">
      <c r="A2503" s="6" t="s">
        <v>4806</v>
      </c>
      <c r="B2503" s="6" t="s">
        <v>4807</v>
      </c>
      <c r="C2503" s="6" t="s">
        <v>1576</v>
      </c>
      <c r="D2503" s="6" t="s">
        <v>1571</v>
      </c>
    </row>
    <row r="2504" ht="22" customHeight="1" spans="1:4">
      <c r="A2504" s="6" t="s">
        <v>4806</v>
      </c>
      <c r="B2504" s="6" t="s">
        <v>4808</v>
      </c>
      <c r="C2504" s="6" t="s">
        <v>1599</v>
      </c>
      <c r="D2504" s="6" t="s">
        <v>4809</v>
      </c>
    </row>
    <row r="2505" ht="22" customHeight="1" spans="1:4">
      <c r="A2505" s="6" t="s">
        <v>4806</v>
      </c>
      <c r="B2505" s="6" t="s">
        <v>4810</v>
      </c>
      <c r="C2505" s="6" t="s">
        <v>1599</v>
      </c>
      <c r="D2505" s="6" t="s">
        <v>4811</v>
      </c>
    </row>
    <row r="2506" ht="22" customHeight="1" spans="1:4">
      <c r="A2506" s="6" t="s">
        <v>4806</v>
      </c>
      <c r="B2506" s="6" t="s">
        <v>4812</v>
      </c>
      <c r="C2506" s="6" t="s">
        <v>1599</v>
      </c>
      <c r="D2506" s="6" t="s">
        <v>4813</v>
      </c>
    </row>
    <row r="2507" ht="22" customHeight="1" spans="1:4">
      <c r="A2507" s="6" t="s">
        <v>4806</v>
      </c>
      <c r="B2507" s="6" t="s">
        <v>4814</v>
      </c>
      <c r="C2507" s="6" t="s">
        <v>1576</v>
      </c>
      <c r="D2507" s="6" t="s">
        <v>1571</v>
      </c>
    </row>
    <row r="2508" ht="22" customHeight="1" spans="1:4">
      <c r="A2508" s="6" t="s">
        <v>4806</v>
      </c>
      <c r="B2508" s="6" t="s">
        <v>4815</v>
      </c>
      <c r="C2508" s="6" t="s">
        <v>1570</v>
      </c>
      <c r="D2508" s="6" t="s">
        <v>1571</v>
      </c>
    </row>
    <row r="2509" ht="22" customHeight="1" spans="1:4">
      <c r="A2509" s="6" t="s">
        <v>4806</v>
      </c>
      <c r="B2509" s="6" t="s">
        <v>4816</v>
      </c>
      <c r="C2509" s="6" t="s">
        <v>1599</v>
      </c>
      <c r="D2509" s="6" t="s">
        <v>4809</v>
      </c>
    </row>
    <row r="2510" ht="22" customHeight="1" spans="1:4">
      <c r="A2510" s="6" t="s">
        <v>4806</v>
      </c>
      <c r="B2510" s="6" t="s">
        <v>4817</v>
      </c>
      <c r="C2510" s="6" t="s">
        <v>1599</v>
      </c>
      <c r="D2510" s="6" t="s">
        <v>4818</v>
      </c>
    </row>
    <row r="2511" ht="22" customHeight="1" spans="1:4">
      <c r="A2511" s="6" t="s">
        <v>4806</v>
      </c>
      <c r="B2511" s="6" t="s">
        <v>4819</v>
      </c>
      <c r="C2511" s="6" t="s">
        <v>1599</v>
      </c>
      <c r="D2511" s="6" t="s">
        <v>4820</v>
      </c>
    </row>
    <row r="2512" ht="22" customHeight="1" spans="1:4">
      <c r="A2512" s="6" t="s">
        <v>4806</v>
      </c>
      <c r="B2512" s="6" t="s">
        <v>4821</v>
      </c>
      <c r="C2512" s="6" t="s">
        <v>1599</v>
      </c>
      <c r="D2512" s="6" t="s">
        <v>4822</v>
      </c>
    </row>
    <row r="2513" ht="22" customHeight="1" spans="1:4">
      <c r="A2513" s="6" t="s">
        <v>4806</v>
      </c>
      <c r="B2513" s="6" t="s">
        <v>4823</v>
      </c>
      <c r="C2513" s="6" t="s">
        <v>1605</v>
      </c>
      <c r="D2513" s="6" t="s">
        <v>898</v>
      </c>
    </row>
    <row r="2514" ht="22" customHeight="1" spans="1:4">
      <c r="A2514" s="6" t="s">
        <v>4806</v>
      </c>
      <c r="B2514" s="6" t="s">
        <v>4824</v>
      </c>
      <c r="C2514" s="6" t="s">
        <v>1599</v>
      </c>
      <c r="D2514" s="6" t="s">
        <v>4825</v>
      </c>
    </row>
    <row r="2515" ht="22" customHeight="1" spans="1:4">
      <c r="A2515" s="6" t="s">
        <v>4806</v>
      </c>
      <c r="B2515" s="6" t="s">
        <v>4826</v>
      </c>
      <c r="C2515" s="6" t="s">
        <v>1605</v>
      </c>
      <c r="D2515" s="6" t="s">
        <v>1649</v>
      </c>
    </row>
    <row r="2516" ht="22" customHeight="1" spans="1:4">
      <c r="A2516" s="6" t="s">
        <v>4806</v>
      </c>
      <c r="B2516" s="6" t="s">
        <v>4827</v>
      </c>
      <c r="C2516" s="6" t="s">
        <v>1605</v>
      </c>
      <c r="D2516" s="6" t="s">
        <v>2756</v>
      </c>
    </row>
    <row r="2517" ht="22" customHeight="1" spans="1:4">
      <c r="A2517" s="6" t="s">
        <v>4806</v>
      </c>
      <c r="B2517" s="6" t="s">
        <v>4828</v>
      </c>
      <c r="C2517" s="6" t="s">
        <v>1599</v>
      </c>
      <c r="D2517" s="6" t="s">
        <v>4829</v>
      </c>
    </row>
    <row r="2518" ht="22" customHeight="1" spans="1:4">
      <c r="A2518" s="6" t="s">
        <v>4806</v>
      </c>
      <c r="B2518" s="6" t="s">
        <v>4830</v>
      </c>
      <c r="C2518" s="6" t="s">
        <v>1570</v>
      </c>
      <c r="D2518" s="6" t="s">
        <v>1571</v>
      </c>
    </row>
    <row r="2519" ht="22" customHeight="1" spans="1:4">
      <c r="A2519" s="6" t="s">
        <v>4806</v>
      </c>
      <c r="B2519" s="6" t="s">
        <v>4831</v>
      </c>
      <c r="C2519" s="6" t="s">
        <v>1599</v>
      </c>
      <c r="D2519" s="6" t="s">
        <v>4811</v>
      </c>
    </row>
    <row r="2520" ht="22" customHeight="1" spans="1:4">
      <c r="A2520" s="6" t="s">
        <v>4806</v>
      </c>
      <c r="B2520" s="6" t="s">
        <v>4832</v>
      </c>
      <c r="C2520" s="6" t="s">
        <v>1599</v>
      </c>
      <c r="D2520" s="6" t="s">
        <v>4833</v>
      </c>
    </row>
    <row r="2521" ht="22" customHeight="1" spans="1:4">
      <c r="A2521" s="6" t="s">
        <v>4806</v>
      </c>
      <c r="B2521" s="6" t="s">
        <v>4834</v>
      </c>
      <c r="C2521" s="6" t="s">
        <v>1599</v>
      </c>
      <c r="D2521" s="6" t="s">
        <v>4835</v>
      </c>
    </row>
    <row r="2522" ht="22" customHeight="1" spans="1:4">
      <c r="A2522" s="6" t="s">
        <v>4806</v>
      </c>
      <c r="B2522" s="6" t="s">
        <v>4836</v>
      </c>
      <c r="C2522" s="6" t="s">
        <v>1599</v>
      </c>
      <c r="D2522" s="6" t="s">
        <v>4837</v>
      </c>
    </row>
    <row r="2523" ht="22" customHeight="1" spans="1:4">
      <c r="A2523" s="6" t="s">
        <v>4806</v>
      </c>
      <c r="B2523" s="6" t="s">
        <v>4838</v>
      </c>
      <c r="C2523" s="6" t="s">
        <v>1605</v>
      </c>
      <c r="D2523" s="6" t="s">
        <v>1636</v>
      </c>
    </row>
    <row r="2524" ht="22" customHeight="1" spans="1:4">
      <c r="A2524" s="6" t="s">
        <v>4806</v>
      </c>
      <c r="B2524" s="6" t="s">
        <v>4839</v>
      </c>
      <c r="C2524" s="6" t="s">
        <v>1599</v>
      </c>
      <c r="D2524" s="6" t="s">
        <v>4840</v>
      </c>
    </row>
    <row r="2525" ht="22" customHeight="1" spans="1:4">
      <c r="A2525" s="6" t="s">
        <v>4806</v>
      </c>
      <c r="B2525" s="6" t="s">
        <v>4841</v>
      </c>
      <c r="C2525" s="6" t="s">
        <v>1605</v>
      </c>
      <c r="D2525" s="6" t="s">
        <v>1649</v>
      </c>
    </row>
    <row r="2526" ht="22" customHeight="1" spans="1:4">
      <c r="A2526" s="6" t="s">
        <v>4806</v>
      </c>
      <c r="B2526" s="6" t="s">
        <v>4842</v>
      </c>
      <c r="C2526" s="6" t="s">
        <v>1605</v>
      </c>
      <c r="D2526" s="6" t="s">
        <v>2756</v>
      </c>
    </row>
    <row r="2527" ht="22" customHeight="1" spans="1:4">
      <c r="A2527" s="6" t="s">
        <v>4806</v>
      </c>
      <c r="B2527" s="6" t="s">
        <v>4843</v>
      </c>
      <c r="C2527" s="6" t="s">
        <v>1599</v>
      </c>
      <c r="D2527" s="6" t="s">
        <v>4844</v>
      </c>
    </row>
    <row r="2528" ht="22" customHeight="1" spans="1:4">
      <c r="A2528" s="6" t="s">
        <v>4806</v>
      </c>
      <c r="B2528" s="6" t="s">
        <v>4845</v>
      </c>
      <c r="C2528" s="6" t="s">
        <v>1570</v>
      </c>
      <c r="D2528" s="6" t="s">
        <v>1571</v>
      </c>
    </row>
    <row r="2529" ht="22" customHeight="1" spans="1:4">
      <c r="A2529" s="6" t="s">
        <v>4806</v>
      </c>
      <c r="B2529" s="6" t="s">
        <v>4846</v>
      </c>
      <c r="C2529" s="6" t="s">
        <v>1599</v>
      </c>
      <c r="D2529" s="6" t="s">
        <v>4813</v>
      </c>
    </row>
    <row r="2530" ht="22" customHeight="1" spans="1:4">
      <c r="A2530" s="6" t="s">
        <v>4806</v>
      </c>
      <c r="B2530" s="6" t="s">
        <v>4847</v>
      </c>
      <c r="C2530" s="6" t="s">
        <v>1599</v>
      </c>
      <c r="D2530" s="6" t="s">
        <v>4848</v>
      </c>
    </row>
    <row r="2531" ht="22" customHeight="1" spans="1:4">
      <c r="A2531" s="6" t="s">
        <v>4806</v>
      </c>
      <c r="B2531" s="6" t="s">
        <v>4849</v>
      </c>
      <c r="C2531" s="6" t="s">
        <v>1599</v>
      </c>
      <c r="D2531" s="6" t="s">
        <v>4850</v>
      </c>
    </row>
    <row r="2532" ht="22" customHeight="1" spans="1:4">
      <c r="A2532" s="6" t="s">
        <v>4806</v>
      </c>
      <c r="B2532" s="6" t="s">
        <v>4851</v>
      </c>
      <c r="C2532" s="6" t="s">
        <v>1599</v>
      </c>
      <c r="D2532" s="6" t="s">
        <v>4852</v>
      </c>
    </row>
    <row r="2533" ht="22" customHeight="1" spans="1:4">
      <c r="A2533" s="6" t="s">
        <v>4806</v>
      </c>
      <c r="B2533" s="6" t="s">
        <v>4853</v>
      </c>
      <c r="C2533" s="6" t="s">
        <v>1605</v>
      </c>
      <c r="D2533" s="6" t="s">
        <v>898</v>
      </c>
    </row>
    <row r="2534" ht="22" customHeight="1" spans="1:4">
      <c r="A2534" s="6" t="s">
        <v>4806</v>
      </c>
      <c r="B2534" s="6" t="s">
        <v>4854</v>
      </c>
      <c r="C2534" s="6" t="s">
        <v>1599</v>
      </c>
      <c r="D2534" s="6" t="s">
        <v>4855</v>
      </c>
    </row>
    <row r="2535" ht="22" customHeight="1" spans="1:4">
      <c r="A2535" s="6" t="s">
        <v>4806</v>
      </c>
      <c r="B2535" s="6" t="s">
        <v>4856</v>
      </c>
      <c r="C2535" s="6" t="s">
        <v>1605</v>
      </c>
      <c r="D2535" s="6" t="s">
        <v>1649</v>
      </c>
    </row>
    <row r="2536" ht="22" customHeight="1" spans="1:4">
      <c r="A2536" s="6" t="s">
        <v>4806</v>
      </c>
      <c r="B2536" s="6" t="s">
        <v>4857</v>
      </c>
      <c r="C2536" s="6" t="s">
        <v>1605</v>
      </c>
      <c r="D2536" s="6" t="s">
        <v>2756</v>
      </c>
    </row>
    <row r="2537" ht="22" customHeight="1" spans="1:4">
      <c r="A2537" s="6" t="s">
        <v>4806</v>
      </c>
      <c r="B2537" s="6" t="s">
        <v>4858</v>
      </c>
      <c r="C2537" s="6" t="s">
        <v>1599</v>
      </c>
      <c r="D2537" s="6" t="s">
        <v>4859</v>
      </c>
    </row>
    <row r="2538" ht="22" customHeight="1" spans="1:4">
      <c r="A2538" s="6" t="s">
        <v>4806</v>
      </c>
      <c r="B2538" s="6" t="s">
        <v>4860</v>
      </c>
      <c r="C2538" s="6" t="s">
        <v>1570</v>
      </c>
      <c r="D2538" s="6" t="s">
        <v>1571</v>
      </c>
    </row>
    <row r="2539" ht="22" customHeight="1" spans="1:4">
      <c r="A2539" s="6" t="s">
        <v>4806</v>
      </c>
      <c r="B2539" s="6" t="s">
        <v>4861</v>
      </c>
      <c r="C2539" s="6" t="s">
        <v>1599</v>
      </c>
      <c r="D2539" s="6" t="s">
        <v>4862</v>
      </c>
    </row>
    <row r="2540" ht="22" customHeight="1" spans="1:4">
      <c r="A2540" s="6" t="s">
        <v>4806</v>
      </c>
      <c r="B2540" s="6" t="s">
        <v>4863</v>
      </c>
      <c r="C2540" s="6" t="s">
        <v>1599</v>
      </c>
      <c r="D2540" s="6" t="s">
        <v>4864</v>
      </c>
    </row>
    <row r="2541" ht="22" customHeight="1" spans="1:4">
      <c r="A2541" s="6" t="s">
        <v>4806</v>
      </c>
      <c r="B2541" s="6" t="s">
        <v>4865</v>
      </c>
      <c r="C2541" s="6" t="s">
        <v>1599</v>
      </c>
      <c r="D2541" s="6" t="s">
        <v>4866</v>
      </c>
    </row>
    <row r="2542" ht="22" customHeight="1" spans="1:4">
      <c r="A2542" s="6" t="s">
        <v>4806</v>
      </c>
      <c r="B2542" s="6" t="s">
        <v>4867</v>
      </c>
      <c r="C2542" s="6" t="s">
        <v>1599</v>
      </c>
      <c r="D2542" s="6" t="s">
        <v>4868</v>
      </c>
    </row>
    <row r="2543" ht="22" customHeight="1" spans="1:4">
      <c r="A2543" s="6" t="s">
        <v>4806</v>
      </c>
      <c r="B2543" s="6" t="s">
        <v>4869</v>
      </c>
      <c r="C2543" s="6" t="s">
        <v>1605</v>
      </c>
      <c r="D2543" s="6" t="s">
        <v>1744</v>
      </c>
    </row>
    <row r="2544" ht="22" customHeight="1" spans="1:4">
      <c r="A2544" s="6" t="s">
        <v>4806</v>
      </c>
      <c r="B2544" s="6" t="s">
        <v>4870</v>
      </c>
      <c r="C2544" s="6" t="s">
        <v>1599</v>
      </c>
      <c r="D2544" s="6" t="s">
        <v>4871</v>
      </c>
    </row>
    <row r="2545" ht="22" customHeight="1" spans="1:4">
      <c r="A2545" s="6" t="s">
        <v>4806</v>
      </c>
      <c r="B2545" s="6" t="s">
        <v>4872</v>
      </c>
      <c r="C2545" s="6" t="s">
        <v>1605</v>
      </c>
      <c r="D2545" s="6" t="s">
        <v>1649</v>
      </c>
    </row>
    <row r="2546" ht="22" customHeight="1" spans="1:4">
      <c r="A2546" s="6" t="s">
        <v>4806</v>
      </c>
      <c r="B2546" s="6" t="s">
        <v>4873</v>
      </c>
      <c r="C2546" s="6" t="s">
        <v>1605</v>
      </c>
      <c r="D2546" s="6" t="s">
        <v>2756</v>
      </c>
    </row>
    <row r="2547" ht="22" customHeight="1" spans="1:4">
      <c r="A2547" s="6" t="s">
        <v>4806</v>
      </c>
      <c r="B2547" s="6" t="s">
        <v>4874</v>
      </c>
      <c r="C2547" s="6" t="s">
        <v>1599</v>
      </c>
      <c r="D2547" s="6" t="s">
        <v>4875</v>
      </c>
    </row>
    <row r="2548" ht="22" customHeight="1" spans="1:4">
      <c r="A2548" s="6" t="s">
        <v>4806</v>
      </c>
      <c r="B2548" s="6" t="s">
        <v>4876</v>
      </c>
      <c r="C2548" s="6" t="s">
        <v>1570</v>
      </c>
      <c r="D2548" s="6" t="s">
        <v>1571</v>
      </c>
    </row>
    <row r="2549" ht="22" customHeight="1" spans="1:4">
      <c r="A2549" s="6" t="s">
        <v>4806</v>
      </c>
      <c r="B2549" s="6" t="s">
        <v>4877</v>
      </c>
      <c r="C2549" s="6" t="s">
        <v>1599</v>
      </c>
      <c r="D2549" s="6" t="s">
        <v>4878</v>
      </c>
    </row>
    <row r="2550" ht="22" customHeight="1" spans="1:4">
      <c r="A2550" s="6" t="s">
        <v>4806</v>
      </c>
      <c r="B2550" s="6" t="s">
        <v>4879</v>
      </c>
      <c r="C2550" s="6" t="s">
        <v>1599</v>
      </c>
      <c r="D2550" s="6" t="s">
        <v>4880</v>
      </c>
    </row>
    <row r="2551" ht="22" customHeight="1" spans="1:4">
      <c r="A2551" s="6" t="s">
        <v>4806</v>
      </c>
      <c r="B2551" s="6" t="s">
        <v>4881</v>
      </c>
      <c r="C2551" s="6" t="s">
        <v>1599</v>
      </c>
      <c r="D2551" s="6" t="s">
        <v>4882</v>
      </c>
    </row>
    <row r="2552" ht="22" customHeight="1" spans="1:4">
      <c r="A2552" s="6" t="s">
        <v>4806</v>
      </c>
      <c r="B2552" s="6" t="s">
        <v>4883</v>
      </c>
      <c r="C2552" s="6" t="s">
        <v>1599</v>
      </c>
      <c r="D2552" s="6" t="s">
        <v>4884</v>
      </c>
    </row>
    <row r="2553" ht="22" customHeight="1" spans="1:4">
      <c r="A2553" s="6" t="s">
        <v>4806</v>
      </c>
      <c r="B2553" s="6" t="s">
        <v>4885</v>
      </c>
      <c r="C2553" s="6" t="s">
        <v>1605</v>
      </c>
      <c r="D2553" s="6" t="s">
        <v>1636</v>
      </c>
    </row>
    <row r="2554" ht="22" customHeight="1" spans="1:4">
      <c r="A2554" s="6" t="s">
        <v>4806</v>
      </c>
      <c r="B2554" s="6" t="s">
        <v>4886</v>
      </c>
      <c r="C2554" s="6" t="s">
        <v>1599</v>
      </c>
      <c r="D2554" s="6" t="s">
        <v>4887</v>
      </c>
    </row>
    <row r="2555" ht="22" customHeight="1" spans="1:4">
      <c r="A2555" s="6" t="s">
        <v>4806</v>
      </c>
      <c r="B2555" s="6" t="s">
        <v>4888</v>
      </c>
      <c r="C2555" s="6" t="s">
        <v>1605</v>
      </c>
      <c r="D2555" s="6" t="s">
        <v>1649</v>
      </c>
    </row>
    <row r="2556" ht="22" customHeight="1" spans="1:4">
      <c r="A2556" s="6" t="s">
        <v>4806</v>
      </c>
      <c r="B2556" s="6" t="s">
        <v>4889</v>
      </c>
      <c r="C2556" s="6" t="s">
        <v>1605</v>
      </c>
      <c r="D2556" s="6" t="s">
        <v>2756</v>
      </c>
    </row>
    <row r="2557" ht="22" customHeight="1" spans="1:4">
      <c r="A2557" s="6" t="s">
        <v>4806</v>
      </c>
      <c r="B2557" s="6" t="s">
        <v>4890</v>
      </c>
      <c r="C2557" s="6" t="s">
        <v>1599</v>
      </c>
      <c r="D2557" s="6" t="s">
        <v>4891</v>
      </c>
    </row>
    <row r="2558" ht="22" customHeight="1" spans="1:4">
      <c r="A2558" s="6" t="s">
        <v>4892</v>
      </c>
      <c r="B2558" s="6" t="s">
        <v>1569</v>
      </c>
      <c r="C2558" s="6" t="s">
        <v>1570</v>
      </c>
      <c r="D2558" s="6" t="s">
        <v>1571</v>
      </c>
    </row>
    <row r="2559" ht="22" customHeight="1" spans="1:4">
      <c r="A2559" s="6" t="s">
        <v>4892</v>
      </c>
      <c r="B2559" s="6" t="s">
        <v>4893</v>
      </c>
      <c r="C2559" s="6" t="s">
        <v>1573</v>
      </c>
      <c r="D2559" s="6" t="s">
        <v>1623</v>
      </c>
    </row>
    <row r="2560" ht="22" customHeight="1" spans="1:4">
      <c r="A2560" s="6" t="s">
        <v>4892</v>
      </c>
      <c r="B2560" s="6" t="s">
        <v>4894</v>
      </c>
      <c r="C2560" s="6" t="s">
        <v>1599</v>
      </c>
      <c r="D2560" s="6" t="s">
        <v>4895</v>
      </c>
    </row>
    <row r="2561" ht="22" customHeight="1" spans="1:4">
      <c r="A2561" s="6" t="s">
        <v>4892</v>
      </c>
      <c r="B2561" s="6" t="s">
        <v>4896</v>
      </c>
      <c r="C2561" s="6" t="s">
        <v>1599</v>
      </c>
      <c r="D2561" s="6" t="s">
        <v>4897</v>
      </c>
    </row>
    <row r="2562" ht="22" customHeight="1" spans="1:4">
      <c r="A2562" s="6" t="s">
        <v>4892</v>
      </c>
      <c r="B2562" s="6" t="s">
        <v>4898</v>
      </c>
      <c r="C2562" s="6" t="s">
        <v>1599</v>
      </c>
      <c r="D2562" s="6" t="s">
        <v>4899</v>
      </c>
    </row>
    <row r="2563" ht="22" customHeight="1" spans="1:4">
      <c r="A2563" s="6" t="s">
        <v>4892</v>
      </c>
      <c r="B2563" s="6" t="s">
        <v>4900</v>
      </c>
      <c r="C2563" s="6" t="s">
        <v>1599</v>
      </c>
      <c r="D2563" s="6" t="s">
        <v>4901</v>
      </c>
    </row>
    <row r="2564" ht="22" customHeight="1" spans="1:4">
      <c r="A2564" s="6" t="s">
        <v>4892</v>
      </c>
      <c r="B2564" s="6" t="s">
        <v>4902</v>
      </c>
      <c r="C2564" s="6" t="s">
        <v>1576</v>
      </c>
      <c r="D2564" s="6" t="s">
        <v>1571</v>
      </c>
    </row>
    <row r="2565" ht="22" customHeight="1" spans="1:4">
      <c r="A2565" s="6" t="s">
        <v>4892</v>
      </c>
      <c r="B2565" s="6" t="s">
        <v>4903</v>
      </c>
      <c r="C2565" s="6" t="s">
        <v>1570</v>
      </c>
      <c r="D2565" s="6" t="s">
        <v>1571</v>
      </c>
    </row>
    <row r="2566" ht="22" customHeight="1" spans="1:4">
      <c r="A2566" s="6" t="s">
        <v>4892</v>
      </c>
      <c r="B2566" s="6" t="s">
        <v>4904</v>
      </c>
      <c r="C2566" s="6" t="s">
        <v>1599</v>
      </c>
      <c r="D2566" s="6" t="s">
        <v>4905</v>
      </c>
    </row>
    <row r="2567" ht="22" customHeight="1" spans="1:4">
      <c r="A2567" s="6" t="s">
        <v>4892</v>
      </c>
      <c r="B2567" s="6" t="s">
        <v>4906</v>
      </c>
      <c r="C2567" s="6" t="s">
        <v>1599</v>
      </c>
      <c r="D2567" s="6" t="s">
        <v>4907</v>
      </c>
    </row>
    <row r="2568" ht="22" customHeight="1" spans="1:4">
      <c r="A2568" s="6" t="s">
        <v>4892</v>
      </c>
      <c r="B2568" s="6" t="s">
        <v>4908</v>
      </c>
      <c r="C2568" s="6" t="s">
        <v>1599</v>
      </c>
      <c r="D2568" s="6" t="s">
        <v>4809</v>
      </c>
    </row>
    <row r="2569" ht="22" customHeight="1" spans="1:4">
      <c r="A2569" s="6" t="s">
        <v>4892</v>
      </c>
      <c r="B2569" s="6" t="s">
        <v>4909</v>
      </c>
      <c r="C2569" s="6" t="s">
        <v>1599</v>
      </c>
      <c r="D2569" s="6" t="s">
        <v>4910</v>
      </c>
    </row>
    <row r="2570" ht="22" customHeight="1" spans="1:4">
      <c r="A2570" s="6" t="s">
        <v>4892</v>
      </c>
      <c r="B2570" s="6" t="s">
        <v>4911</v>
      </c>
      <c r="C2570" s="6" t="s">
        <v>1573</v>
      </c>
      <c r="D2570" s="6" t="s">
        <v>4186</v>
      </c>
    </row>
    <row r="2571" ht="22" customHeight="1" spans="1:4">
      <c r="A2571" s="6" t="s">
        <v>4892</v>
      </c>
      <c r="B2571" s="6" t="s">
        <v>4912</v>
      </c>
      <c r="C2571" s="6" t="s">
        <v>1599</v>
      </c>
      <c r="D2571" s="6" t="s">
        <v>4818</v>
      </c>
    </row>
    <row r="2572" ht="22" customHeight="1" spans="1:4">
      <c r="A2572" s="6" t="s">
        <v>4892</v>
      </c>
      <c r="B2572" s="6" t="s">
        <v>4913</v>
      </c>
      <c r="C2572" s="6" t="s">
        <v>1599</v>
      </c>
      <c r="D2572" s="6" t="s">
        <v>4820</v>
      </c>
    </row>
    <row r="2573" ht="22" customHeight="1" spans="1:4">
      <c r="A2573" s="6" t="s">
        <v>4892</v>
      </c>
      <c r="B2573" s="6" t="s">
        <v>4914</v>
      </c>
      <c r="C2573" s="6" t="s">
        <v>1570</v>
      </c>
      <c r="D2573" s="6" t="s">
        <v>1571</v>
      </c>
    </row>
    <row r="2574" ht="22" customHeight="1" spans="1:4">
      <c r="A2574" s="6" t="s">
        <v>4892</v>
      </c>
      <c r="B2574" s="6" t="s">
        <v>4915</v>
      </c>
      <c r="C2574" s="6" t="s">
        <v>1599</v>
      </c>
      <c r="D2574" s="6" t="s">
        <v>4916</v>
      </c>
    </row>
    <row r="2575" ht="22" customHeight="1" spans="1:4">
      <c r="A2575" s="6" t="s">
        <v>4892</v>
      </c>
      <c r="B2575" s="6" t="s">
        <v>4917</v>
      </c>
      <c r="C2575" s="6" t="s">
        <v>1599</v>
      </c>
      <c r="D2575" s="6" t="s">
        <v>4907</v>
      </c>
    </row>
    <row r="2576" ht="22" customHeight="1" spans="1:4">
      <c r="A2576" s="6" t="s">
        <v>4892</v>
      </c>
      <c r="B2576" s="6" t="s">
        <v>4918</v>
      </c>
      <c r="C2576" s="6" t="s">
        <v>1599</v>
      </c>
      <c r="D2576" s="6" t="s">
        <v>4811</v>
      </c>
    </row>
    <row r="2577" ht="22" customHeight="1" spans="1:4">
      <c r="A2577" s="6" t="s">
        <v>4892</v>
      </c>
      <c r="B2577" s="6" t="s">
        <v>4919</v>
      </c>
      <c r="C2577" s="6" t="s">
        <v>1599</v>
      </c>
      <c r="D2577" s="6" t="s">
        <v>4910</v>
      </c>
    </row>
    <row r="2578" ht="22" customHeight="1" spans="1:4">
      <c r="A2578" s="6" t="s">
        <v>4892</v>
      </c>
      <c r="B2578" s="6" t="s">
        <v>4920</v>
      </c>
      <c r="C2578" s="6" t="s">
        <v>1573</v>
      </c>
      <c r="D2578" s="6" t="s">
        <v>4186</v>
      </c>
    </row>
    <row r="2579" ht="22" customHeight="1" spans="1:4">
      <c r="A2579" s="6" t="s">
        <v>4892</v>
      </c>
      <c r="B2579" s="6" t="s">
        <v>4921</v>
      </c>
      <c r="C2579" s="6" t="s">
        <v>1599</v>
      </c>
      <c r="D2579" s="6" t="s">
        <v>4833</v>
      </c>
    </row>
    <row r="2580" ht="22" customHeight="1" spans="1:4">
      <c r="A2580" s="6" t="s">
        <v>4892</v>
      </c>
      <c r="B2580" s="6" t="s">
        <v>4922</v>
      </c>
      <c r="C2580" s="6" t="s">
        <v>1599</v>
      </c>
      <c r="D2580" s="6" t="s">
        <v>4835</v>
      </c>
    </row>
    <row r="2581" ht="22" customHeight="1" spans="1:4">
      <c r="A2581" s="6" t="s">
        <v>4892</v>
      </c>
      <c r="B2581" s="6" t="s">
        <v>4923</v>
      </c>
      <c r="C2581" s="6" t="s">
        <v>1570</v>
      </c>
      <c r="D2581" s="6" t="s">
        <v>1571</v>
      </c>
    </row>
    <row r="2582" ht="22" customHeight="1" spans="1:4">
      <c r="A2582" s="6" t="s">
        <v>4892</v>
      </c>
      <c r="B2582" s="6" t="s">
        <v>4924</v>
      </c>
      <c r="C2582" s="6" t="s">
        <v>1599</v>
      </c>
      <c r="D2582" s="6" t="s">
        <v>4925</v>
      </c>
    </row>
    <row r="2583" ht="22" customHeight="1" spans="1:4">
      <c r="A2583" s="6" t="s">
        <v>4892</v>
      </c>
      <c r="B2583" s="6" t="s">
        <v>4926</v>
      </c>
      <c r="C2583" s="6" t="s">
        <v>1599</v>
      </c>
      <c r="D2583" s="6" t="s">
        <v>4907</v>
      </c>
    </row>
    <row r="2584" ht="22" customHeight="1" spans="1:4">
      <c r="A2584" s="6" t="s">
        <v>4892</v>
      </c>
      <c r="B2584" s="6" t="s">
        <v>4927</v>
      </c>
      <c r="C2584" s="6" t="s">
        <v>1599</v>
      </c>
      <c r="D2584" s="6" t="s">
        <v>4813</v>
      </c>
    </row>
    <row r="2585" ht="22" customHeight="1" spans="1:4">
      <c r="A2585" s="6" t="s">
        <v>4892</v>
      </c>
      <c r="B2585" s="6" t="s">
        <v>4928</v>
      </c>
      <c r="C2585" s="6" t="s">
        <v>1599</v>
      </c>
      <c r="D2585" s="6" t="s">
        <v>4910</v>
      </c>
    </row>
    <row r="2586" ht="22" customHeight="1" spans="1:4">
      <c r="A2586" s="6" t="s">
        <v>4892</v>
      </c>
      <c r="B2586" s="6" t="s">
        <v>4929</v>
      </c>
      <c r="C2586" s="6" t="s">
        <v>1573</v>
      </c>
      <c r="D2586" s="6" t="s">
        <v>4186</v>
      </c>
    </row>
    <row r="2587" ht="22" customHeight="1" spans="1:4">
      <c r="A2587" s="6" t="s">
        <v>4892</v>
      </c>
      <c r="B2587" s="6" t="s">
        <v>4930</v>
      </c>
      <c r="C2587" s="6" t="s">
        <v>1599</v>
      </c>
      <c r="D2587" s="6" t="s">
        <v>4848</v>
      </c>
    </row>
    <row r="2588" ht="22" customHeight="1" spans="1:4">
      <c r="A2588" s="6" t="s">
        <v>4892</v>
      </c>
      <c r="B2588" s="6" t="s">
        <v>4931</v>
      </c>
      <c r="C2588" s="6" t="s">
        <v>1599</v>
      </c>
      <c r="D2588" s="6" t="s">
        <v>4850</v>
      </c>
    </row>
    <row r="2589" ht="22" customHeight="1" spans="1:4">
      <c r="A2589" s="6" t="s">
        <v>4892</v>
      </c>
      <c r="B2589" s="6" t="s">
        <v>4932</v>
      </c>
      <c r="C2589" s="6" t="s">
        <v>1570</v>
      </c>
      <c r="D2589" s="6" t="s">
        <v>1571</v>
      </c>
    </row>
    <row r="2590" ht="22" customHeight="1" spans="1:4">
      <c r="A2590" s="6" t="s">
        <v>4892</v>
      </c>
      <c r="B2590" s="6" t="s">
        <v>4933</v>
      </c>
      <c r="C2590" s="6" t="s">
        <v>1599</v>
      </c>
      <c r="D2590" s="6" t="s">
        <v>4934</v>
      </c>
    </row>
    <row r="2591" ht="22" customHeight="1" spans="1:4">
      <c r="A2591" s="6" t="s">
        <v>4892</v>
      </c>
      <c r="B2591" s="6" t="s">
        <v>4935</v>
      </c>
      <c r="C2591" s="6" t="s">
        <v>1599</v>
      </c>
      <c r="D2591" s="6" t="s">
        <v>4936</v>
      </c>
    </row>
    <row r="2592" ht="22" customHeight="1" spans="1:4">
      <c r="A2592" s="6" t="s">
        <v>4892</v>
      </c>
      <c r="B2592" s="6" t="s">
        <v>4937</v>
      </c>
      <c r="C2592" s="6" t="s">
        <v>1599</v>
      </c>
      <c r="D2592" s="6" t="s">
        <v>4938</v>
      </c>
    </row>
    <row r="2593" ht="22" customHeight="1" spans="1:4">
      <c r="A2593" s="6" t="s">
        <v>4892</v>
      </c>
      <c r="B2593" s="6" t="s">
        <v>4939</v>
      </c>
      <c r="C2593" s="6" t="s">
        <v>1599</v>
      </c>
      <c r="D2593" s="6" t="s">
        <v>4940</v>
      </c>
    </row>
    <row r="2594" ht="22" customHeight="1" spans="1:4">
      <c r="A2594" s="6" t="s">
        <v>4892</v>
      </c>
      <c r="B2594" s="6" t="s">
        <v>4941</v>
      </c>
      <c r="C2594" s="6" t="s">
        <v>1573</v>
      </c>
      <c r="D2594" s="6" t="s">
        <v>2445</v>
      </c>
    </row>
    <row r="2595" ht="22" customHeight="1" spans="1:4">
      <c r="A2595" s="6" t="s">
        <v>4892</v>
      </c>
      <c r="B2595" s="6" t="s">
        <v>4942</v>
      </c>
      <c r="C2595" s="6" t="s">
        <v>1714</v>
      </c>
      <c r="D2595" s="6" t="s">
        <v>3872</v>
      </c>
    </row>
    <row r="2596" ht="22" customHeight="1" spans="1:4">
      <c r="A2596" s="6" t="s">
        <v>4892</v>
      </c>
      <c r="B2596" s="6" t="s">
        <v>4943</v>
      </c>
      <c r="C2596" s="6" t="s">
        <v>1599</v>
      </c>
      <c r="D2596" s="6" t="s">
        <v>4944</v>
      </c>
    </row>
    <row r="2597" ht="22" customHeight="1" spans="1:4">
      <c r="A2597" s="6" t="s">
        <v>4892</v>
      </c>
      <c r="B2597" s="6" t="s">
        <v>4945</v>
      </c>
      <c r="C2597" s="6" t="s">
        <v>1599</v>
      </c>
      <c r="D2597" s="6" t="s">
        <v>4946</v>
      </c>
    </row>
    <row r="2598" ht="22" customHeight="1" spans="1:4">
      <c r="A2598" s="6" t="s">
        <v>4892</v>
      </c>
      <c r="B2598" s="6" t="s">
        <v>4947</v>
      </c>
      <c r="C2598" s="6" t="s">
        <v>1570</v>
      </c>
      <c r="D2598" s="6" t="s">
        <v>1571</v>
      </c>
    </row>
    <row r="2599" ht="22" customHeight="1" spans="1:4">
      <c r="A2599" s="6" t="s">
        <v>4892</v>
      </c>
      <c r="B2599" s="6" t="s">
        <v>4948</v>
      </c>
      <c r="C2599" s="6" t="s">
        <v>1599</v>
      </c>
      <c r="D2599" s="6" t="s">
        <v>4949</v>
      </c>
    </row>
    <row r="2600" ht="22" customHeight="1" spans="1:4">
      <c r="A2600" s="6" t="s">
        <v>4892</v>
      </c>
      <c r="B2600" s="6" t="s">
        <v>4950</v>
      </c>
      <c r="C2600" s="6" t="s">
        <v>1599</v>
      </c>
      <c r="D2600" s="6" t="s">
        <v>4951</v>
      </c>
    </row>
    <row r="2601" ht="22" customHeight="1" spans="1:4">
      <c r="A2601" s="6" t="s">
        <v>4892</v>
      </c>
      <c r="B2601" s="6" t="s">
        <v>4952</v>
      </c>
      <c r="C2601" s="6" t="s">
        <v>1599</v>
      </c>
      <c r="D2601" s="6" t="s">
        <v>4953</v>
      </c>
    </row>
    <row r="2602" ht="22" customHeight="1" spans="1:4">
      <c r="A2602" s="6" t="s">
        <v>4892</v>
      </c>
      <c r="B2602" s="6" t="s">
        <v>4954</v>
      </c>
      <c r="C2602" s="6" t="s">
        <v>1599</v>
      </c>
      <c r="D2602" s="6" t="s">
        <v>4940</v>
      </c>
    </row>
    <row r="2603" ht="22" customHeight="1" spans="1:4">
      <c r="A2603" s="6" t="s">
        <v>4892</v>
      </c>
      <c r="B2603" s="6" t="s">
        <v>4955</v>
      </c>
      <c r="C2603" s="6" t="s">
        <v>1573</v>
      </c>
      <c r="D2603" s="6" t="s">
        <v>2445</v>
      </c>
    </row>
    <row r="2604" ht="22" customHeight="1" spans="1:4">
      <c r="A2604" s="6" t="s">
        <v>4892</v>
      </c>
      <c r="B2604" s="6" t="s">
        <v>4956</v>
      </c>
      <c r="C2604" s="6" t="s">
        <v>1714</v>
      </c>
      <c r="D2604" s="6" t="s">
        <v>3872</v>
      </c>
    </row>
    <row r="2605" ht="22" customHeight="1" spans="1:4">
      <c r="A2605" s="6" t="s">
        <v>4892</v>
      </c>
      <c r="B2605" s="6" t="s">
        <v>4957</v>
      </c>
      <c r="C2605" s="6" t="s">
        <v>1599</v>
      </c>
      <c r="D2605" s="6" t="s">
        <v>4958</v>
      </c>
    </row>
    <row r="2606" ht="22" customHeight="1" spans="1:4">
      <c r="A2606" s="6" t="s">
        <v>4892</v>
      </c>
      <c r="B2606" s="6" t="s">
        <v>4959</v>
      </c>
      <c r="C2606" s="6" t="s">
        <v>1599</v>
      </c>
      <c r="D2606" s="6" t="s">
        <v>4960</v>
      </c>
    </row>
    <row r="2607" ht="22" customHeight="1" spans="1:4">
      <c r="A2607" s="6" t="s">
        <v>4892</v>
      </c>
      <c r="B2607" s="6" t="s">
        <v>4961</v>
      </c>
      <c r="C2607" s="6" t="s">
        <v>1570</v>
      </c>
      <c r="D2607" s="6" t="s">
        <v>1571</v>
      </c>
    </row>
    <row r="2608" ht="22" customHeight="1" spans="1:4">
      <c r="A2608" s="6" t="s">
        <v>4892</v>
      </c>
      <c r="B2608" s="6" t="s">
        <v>4962</v>
      </c>
      <c r="C2608" s="6" t="s">
        <v>1599</v>
      </c>
      <c r="D2608" s="6" t="s">
        <v>4963</v>
      </c>
    </row>
    <row r="2609" ht="22" customHeight="1" spans="1:4">
      <c r="A2609" s="6" t="s">
        <v>4892</v>
      </c>
      <c r="B2609" s="6" t="s">
        <v>4964</v>
      </c>
      <c r="C2609" s="6" t="s">
        <v>1599</v>
      </c>
      <c r="D2609" s="6" t="s">
        <v>4951</v>
      </c>
    </row>
    <row r="2610" ht="22" customHeight="1" spans="1:4">
      <c r="A2610" s="6" t="s">
        <v>4892</v>
      </c>
      <c r="B2610" s="6" t="s">
        <v>4965</v>
      </c>
      <c r="C2610" s="6" t="s">
        <v>1599</v>
      </c>
      <c r="D2610" s="6" t="s">
        <v>4966</v>
      </c>
    </row>
    <row r="2611" ht="22" customHeight="1" spans="1:4">
      <c r="A2611" s="6" t="s">
        <v>4892</v>
      </c>
      <c r="B2611" s="6" t="s">
        <v>4967</v>
      </c>
      <c r="C2611" s="6" t="s">
        <v>1599</v>
      </c>
      <c r="D2611" s="6" t="s">
        <v>4910</v>
      </c>
    </row>
    <row r="2612" ht="22" customHeight="1" spans="1:4">
      <c r="A2612" s="6" t="s">
        <v>4892</v>
      </c>
      <c r="B2612" s="6" t="s">
        <v>4968</v>
      </c>
      <c r="C2612" s="6" t="s">
        <v>1573</v>
      </c>
      <c r="D2612" s="6" t="s">
        <v>1683</v>
      </c>
    </row>
    <row r="2613" ht="22" customHeight="1" spans="1:4">
      <c r="A2613" s="6" t="s">
        <v>4892</v>
      </c>
      <c r="B2613" s="6" t="s">
        <v>4969</v>
      </c>
      <c r="C2613" s="6" t="s">
        <v>1599</v>
      </c>
      <c r="D2613" s="6" t="s">
        <v>4970</v>
      </c>
    </row>
    <row r="2614" ht="22" customHeight="1" spans="1:4">
      <c r="A2614" s="6" t="s">
        <v>4892</v>
      </c>
      <c r="B2614" s="6" t="s">
        <v>4971</v>
      </c>
      <c r="C2614" s="6" t="s">
        <v>1599</v>
      </c>
      <c r="D2614" s="6" t="s">
        <v>4972</v>
      </c>
    </row>
    <row r="2615" ht="22" customHeight="1" spans="1:4">
      <c r="A2615" s="6" t="s">
        <v>4892</v>
      </c>
      <c r="B2615" s="6" t="s">
        <v>4973</v>
      </c>
      <c r="C2615" s="6" t="s">
        <v>1570</v>
      </c>
      <c r="D2615" s="6" t="s">
        <v>1571</v>
      </c>
    </row>
    <row r="2616" ht="22" customHeight="1" spans="1:4">
      <c r="A2616" s="6" t="s">
        <v>4892</v>
      </c>
      <c r="B2616" s="6" t="s">
        <v>4974</v>
      </c>
      <c r="C2616" s="6" t="s">
        <v>1599</v>
      </c>
      <c r="D2616" s="6" t="s">
        <v>4975</v>
      </c>
    </row>
    <row r="2617" ht="22" customHeight="1" spans="1:4">
      <c r="A2617" s="6" t="s">
        <v>4892</v>
      </c>
      <c r="B2617" s="6" t="s">
        <v>4976</v>
      </c>
      <c r="C2617" s="6" t="s">
        <v>1599</v>
      </c>
      <c r="D2617" s="6" t="s">
        <v>4951</v>
      </c>
    </row>
    <row r="2618" ht="22" customHeight="1" spans="1:4">
      <c r="A2618" s="6" t="s">
        <v>4892</v>
      </c>
      <c r="B2618" s="6" t="s">
        <v>4977</v>
      </c>
      <c r="C2618" s="6" t="s">
        <v>1599</v>
      </c>
      <c r="D2618" s="6" t="s">
        <v>4978</v>
      </c>
    </row>
    <row r="2619" ht="22" customHeight="1" spans="1:4">
      <c r="A2619" s="6" t="s">
        <v>4892</v>
      </c>
      <c r="B2619" s="6" t="s">
        <v>4979</v>
      </c>
      <c r="C2619" s="6" t="s">
        <v>1599</v>
      </c>
      <c r="D2619" s="6" t="s">
        <v>4910</v>
      </c>
    </row>
    <row r="2620" ht="22" customHeight="1" spans="1:4">
      <c r="A2620" s="6" t="s">
        <v>4892</v>
      </c>
      <c r="B2620" s="6" t="s">
        <v>4980</v>
      </c>
      <c r="C2620" s="6" t="s">
        <v>1573</v>
      </c>
      <c r="D2620" s="6" t="s">
        <v>1683</v>
      </c>
    </row>
    <row r="2621" ht="22" customHeight="1" spans="1:4">
      <c r="A2621" s="6" t="s">
        <v>4892</v>
      </c>
      <c r="B2621" s="6" t="s">
        <v>4981</v>
      </c>
      <c r="C2621" s="6" t="s">
        <v>1599</v>
      </c>
      <c r="D2621" s="6" t="s">
        <v>4982</v>
      </c>
    </row>
    <row r="2622" ht="22" customHeight="1" spans="1:4">
      <c r="A2622" s="6" t="s">
        <v>4892</v>
      </c>
      <c r="B2622" s="6" t="s">
        <v>4983</v>
      </c>
      <c r="C2622" s="6" t="s">
        <v>1599</v>
      </c>
      <c r="D2622" s="6" t="s">
        <v>4984</v>
      </c>
    </row>
    <row r="2623" ht="22" customHeight="1" spans="1:4">
      <c r="A2623" s="6" t="s">
        <v>4892</v>
      </c>
      <c r="B2623" s="6" t="s">
        <v>4985</v>
      </c>
      <c r="C2623" s="6" t="s">
        <v>1570</v>
      </c>
      <c r="D2623" s="6" t="s">
        <v>1571</v>
      </c>
    </row>
    <row r="2624" ht="22" customHeight="1" spans="1:4">
      <c r="A2624" s="6" t="s">
        <v>4892</v>
      </c>
      <c r="B2624" s="6" t="s">
        <v>4986</v>
      </c>
      <c r="C2624" s="6" t="s">
        <v>1599</v>
      </c>
      <c r="D2624" s="6" t="s">
        <v>4987</v>
      </c>
    </row>
    <row r="2625" ht="22" customHeight="1" spans="1:4">
      <c r="A2625" s="6" t="s">
        <v>4892</v>
      </c>
      <c r="B2625" s="6" t="s">
        <v>4988</v>
      </c>
      <c r="C2625" s="6" t="s">
        <v>1599</v>
      </c>
      <c r="D2625" s="6" t="s">
        <v>4951</v>
      </c>
    </row>
    <row r="2626" ht="22" customHeight="1" spans="1:4">
      <c r="A2626" s="6" t="s">
        <v>4892</v>
      </c>
      <c r="B2626" s="6" t="s">
        <v>4989</v>
      </c>
      <c r="C2626" s="6" t="s">
        <v>1599</v>
      </c>
      <c r="D2626" s="6" t="s">
        <v>4990</v>
      </c>
    </row>
    <row r="2627" ht="22" customHeight="1" spans="1:4">
      <c r="A2627" s="6" t="s">
        <v>4892</v>
      </c>
      <c r="B2627" s="6" t="s">
        <v>4991</v>
      </c>
      <c r="C2627" s="6" t="s">
        <v>1599</v>
      </c>
      <c r="D2627" s="6" t="s">
        <v>4910</v>
      </c>
    </row>
    <row r="2628" ht="22" customHeight="1" spans="1:4">
      <c r="A2628" s="6" t="s">
        <v>4892</v>
      </c>
      <c r="B2628" s="6" t="s">
        <v>4992</v>
      </c>
      <c r="C2628" s="6" t="s">
        <v>1573</v>
      </c>
      <c r="D2628" s="6" t="s">
        <v>1683</v>
      </c>
    </row>
    <row r="2629" ht="22" customHeight="1" spans="1:4">
      <c r="A2629" s="6" t="s">
        <v>4892</v>
      </c>
      <c r="B2629" s="6" t="s">
        <v>4993</v>
      </c>
      <c r="C2629" s="6" t="s">
        <v>1599</v>
      </c>
      <c r="D2629" s="6" t="s">
        <v>4994</v>
      </c>
    </row>
    <row r="2630" ht="22" customHeight="1" spans="1:4">
      <c r="A2630" s="6" t="s">
        <v>4892</v>
      </c>
      <c r="B2630" s="6" t="s">
        <v>4995</v>
      </c>
      <c r="C2630" s="6" t="s">
        <v>1599</v>
      </c>
      <c r="D2630" s="6" t="s">
        <v>4996</v>
      </c>
    </row>
    <row r="2631" ht="22" customHeight="1" spans="1:4">
      <c r="A2631" s="6" t="s">
        <v>4892</v>
      </c>
      <c r="B2631" s="6" t="s">
        <v>4997</v>
      </c>
      <c r="C2631" s="6" t="s">
        <v>1570</v>
      </c>
      <c r="D2631" s="6" t="s">
        <v>1571</v>
      </c>
    </row>
    <row r="2632" ht="22" customHeight="1" spans="1:4">
      <c r="A2632" s="6" t="s">
        <v>4892</v>
      </c>
      <c r="B2632" s="6" t="s">
        <v>4998</v>
      </c>
      <c r="C2632" s="6" t="s">
        <v>1599</v>
      </c>
      <c r="D2632" s="6" t="s">
        <v>4999</v>
      </c>
    </row>
    <row r="2633" ht="22" customHeight="1" spans="1:4">
      <c r="A2633" s="6" t="s">
        <v>4892</v>
      </c>
      <c r="B2633" s="6" t="s">
        <v>5000</v>
      </c>
      <c r="C2633" s="6" t="s">
        <v>1599</v>
      </c>
      <c r="D2633" s="6" t="s">
        <v>4951</v>
      </c>
    </row>
    <row r="2634" ht="22" customHeight="1" spans="1:4">
      <c r="A2634" s="6" t="s">
        <v>4892</v>
      </c>
      <c r="B2634" s="6" t="s">
        <v>5001</v>
      </c>
      <c r="C2634" s="6" t="s">
        <v>1599</v>
      </c>
      <c r="D2634" s="6" t="s">
        <v>5002</v>
      </c>
    </row>
    <row r="2635" ht="22" customHeight="1" spans="1:4">
      <c r="A2635" s="6" t="s">
        <v>4892</v>
      </c>
      <c r="B2635" s="6" t="s">
        <v>5003</v>
      </c>
      <c r="C2635" s="6" t="s">
        <v>1599</v>
      </c>
      <c r="D2635" s="6" t="s">
        <v>4910</v>
      </c>
    </row>
    <row r="2636" ht="22" customHeight="1" spans="1:4">
      <c r="A2636" s="6" t="s">
        <v>4892</v>
      </c>
      <c r="B2636" s="6" t="s">
        <v>5004</v>
      </c>
      <c r="C2636" s="6" t="s">
        <v>1573</v>
      </c>
      <c r="D2636" s="6" t="s">
        <v>1683</v>
      </c>
    </row>
    <row r="2637" ht="22" customHeight="1" spans="1:4">
      <c r="A2637" s="6" t="s">
        <v>4892</v>
      </c>
      <c r="B2637" s="6" t="s">
        <v>5005</v>
      </c>
      <c r="C2637" s="6" t="s">
        <v>1599</v>
      </c>
      <c r="D2637" s="6" t="s">
        <v>5006</v>
      </c>
    </row>
    <row r="2638" ht="22" customHeight="1" spans="1:4">
      <c r="A2638" s="6" t="s">
        <v>4892</v>
      </c>
      <c r="B2638" s="6" t="s">
        <v>5007</v>
      </c>
      <c r="C2638" s="6" t="s">
        <v>1599</v>
      </c>
      <c r="D2638" s="6" t="s">
        <v>5008</v>
      </c>
    </row>
    <row r="2639" ht="22" customHeight="1" spans="1:4">
      <c r="A2639" s="6" t="s">
        <v>4892</v>
      </c>
      <c r="B2639" s="6" t="s">
        <v>5009</v>
      </c>
      <c r="C2639" s="6" t="s">
        <v>1570</v>
      </c>
      <c r="D2639" s="6" t="s">
        <v>1571</v>
      </c>
    </row>
    <row r="2640" ht="22" customHeight="1" spans="1:4">
      <c r="A2640" s="6" t="s">
        <v>4892</v>
      </c>
      <c r="B2640" s="6" t="s">
        <v>5010</v>
      </c>
      <c r="C2640" s="6" t="s">
        <v>1599</v>
      </c>
      <c r="D2640" s="6" t="s">
        <v>5011</v>
      </c>
    </row>
    <row r="2641" ht="22" customHeight="1" spans="1:4">
      <c r="A2641" s="6" t="s">
        <v>4892</v>
      </c>
      <c r="B2641" s="6" t="s">
        <v>5012</v>
      </c>
      <c r="C2641" s="6" t="s">
        <v>1599</v>
      </c>
      <c r="D2641" s="6" t="s">
        <v>4951</v>
      </c>
    </row>
    <row r="2642" ht="22" customHeight="1" spans="1:4">
      <c r="A2642" s="6" t="s">
        <v>4892</v>
      </c>
      <c r="B2642" s="6" t="s">
        <v>5013</v>
      </c>
      <c r="C2642" s="6" t="s">
        <v>1599</v>
      </c>
      <c r="D2642" s="6" t="s">
        <v>5014</v>
      </c>
    </row>
    <row r="2643" ht="22" customHeight="1" spans="1:4">
      <c r="A2643" s="6" t="s">
        <v>4892</v>
      </c>
      <c r="B2643" s="6" t="s">
        <v>5015</v>
      </c>
      <c r="C2643" s="6" t="s">
        <v>1599</v>
      </c>
      <c r="D2643" s="6" t="s">
        <v>4910</v>
      </c>
    </row>
    <row r="2644" ht="22" customHeight="1" spans="1:4">
      <c r="A2644" s="6" t="s">
        <v>4892</v>
      </c>
      <c r="B2644" s="6" t="s">
        <v>5016</v>
      </c>
      <c r="C2644" s="6" t="s">
        <v>1573</v>
      </c>
      <c r="D2644" s="6" t="s">
        <v>1683</v>
      </c>
    </row>
    <row r="2645" ht="22" customHeight="1" spans="1:4">
      <c r="A2645" s="6" t="s">
        <v>4892</v>
      </c>
      <c r="B2645" s="6" t="s">
        <v>5017</v>
      </c>
      <c r="C2645" s="6" t="s">
        <v>1599</v>
      </c>
      <c r="D2645" s="6" t="s">
        <v>5018</v>
      </c>
    </row>
    <row r="2646" ht="22" customHeight="1" spans="1:4">
      <c r="A2646" s="6" t="s">
        <v>4892</v>
      </c>
      <c r="B2646" s="6" t="s">
        <v>5019</v>
      </c>
      <c r="C2646" s="6" t="s">
        <v>1599</v>
      </c>
      <c r="D2646" s="6" t="s">
        <v>5020</v>
      </c>
    </row>
    <row r="2647" ht="22" customHeight="1" spans="1:4">
      <c r="A2647" s="6" t="s">
        <v>4892</v>
      </c>
      <c r="B2647" s="6" t="s">
        <v>5021</v>
      </c>
      <c r="C2647" s="6" t="s">
        <v>1570</v>
      </c>
      <c r="D2647" s="6" t="s">
        <v>1571</v>
      </c>
    </row>
    <row r="2648" ht="22" customHeight="1" spans="1:4">
      <c r="A2648" s="6" t="s">
        <v>4892</v>
      </c>
      <c r="B2648" s="6" t="s">
        <v>5022</v>
      </c>
      <c r="C2648" s="6" t="s">
        <v>1599</v>
      </c>
      <c r="D2648" s="6" t="s">
        <v>5023</v>
      </c>
    </row>
    <row r="2649" ht="22" customHeight="1" spans="1:4">
      <c r="A2649" s="6" t="s">
        <v>4892</v>
      </c>
      <c r="B2649" s="6" t="s">
        <v>5024</v>
      </c>
      <c r="C2649" s="6" t="s">
        <v>1599</v>
      </c>
      <c r="D2649" s="6" t="s">
        <v>4907</v>
      </c>
    </row>
    <row r="2650" ht="22" customHeight="1" spans="1:4">
      <c r="A2650" s="6" t="s">
        <v>4892</v>
      </c>
      <c r="B2650" s="6" t="s">
        <v>5025</v>
      </c>
      <c r="C2650" s="6" t="s">
        <v>1599</v>
      </c>
      <c r="D2650" s="6" t="s">
        <v>4862</v>
      </c>
    </row>
    <row r="2651" ht="22" customHeight="1" spans="1:4">
      <c r="A2651" s="6" t="s">
        <v>4892</v>
      </c>
      <c r="B2651" s="6" t="s">
        <v>5026</v>
      </c>
      <c r="C2651" s="6" t="s">
        <v>1599</v>
      </c>
      <c r="D2651" s="6" t="s">
        <v>4940</v>
      </c>
    </row>
    <row r="2652" ht="22" customHeight="1" spans="1:4">
      <c r="A2652" s="6" t="s">
        <v>4892</v>
      </c>
      <c r="B2652" s="6" t="s">
        <v>5027</v>
      </c>
      <c r="C2652" s="6" t="s">
        <v>1573</v>
      </c>
      <c r="D2652" s="6" t="s">
        <v>3586</v>
      </c>
    </row>
    <row r="2653" ht="22" customHeight="1" spans="1:4">
      <c r="A2653" s="6" t="s">
        <v>4892</v>
      </c>
      <c r="B2653" s="6" t="s">
        <v>5028</v>
      </c>
      <c r="C2653" s="6" t="s">
        <v>1714</v>
      </c>
      <c r="D2653" s="6" t="s">
        <v>3872</v>
      </c>
    </row>
    <row r="2654" ht="22" customHeight="1" spans="1:4">
      <c r="A2654" s="6" t="s">
        <v>4892</v>
      </c>
      <c r="B2654" s="6" t="s">
        <v>5029</v>
      </c>
      <c r="C2654" s="6" t="s">
        <v>1599</v>
      </c>
      <c r="D2654" s="6" t="s">
        <v>4864</v>
      </c>
    </row>
    <row r="2655" ht="22" customHeight="1" spans="1:4">
      <c r="A2655" s="6" t="s">
        <v>4892</v>
      </c>
      <c r="B2655" s="6" t="s">
        <v>5030</v>
      </c>
      <c r="C2655" s="6" t="s">
        <v>1599</v>
      </c>
      <c r="D2655" s="6" t="s">
        <v>4866</v>
      </c>
    </row>
    <row r="2656" ht="22" customHeight="1" spans="1:4">
      <c r="A2656" s="6" t="s">
        <v>4892</v>
      </c>
      <c r="B2656" s="6" t="s">
        <v>5031</v>
      </c>
      <c r="C2656" s="6" t="s">
        <v>1570</v>
      </c>
      <c r="D2656" s="6" t="s">
        <v>1571</v>
      </c>
    </row>
    <row r="2657" ht="22" customHeight="1" spans="1:4">
      <c r="A2657" s="6" t="s">
        <v>4892</v>
      </c>
      <c r="B2657" s="6" t="s">
        <v>5032</v>
      </c>
      <c r="C2657" s="6" t="s">
        <v>1599</v>
      </c>
      <c r="D2657" s="6" t="s">
        <v>5033</v>
      </c>
    </row>
    <row r="2658" ht="22" customHeight="1" spans="1:4">
      <c r="A2658" s="6" t="s">
        <v>4892</v>
      </c>
      <c r="B2658" s="6" t="s">
        <v>5034</v>
      </c>
      <c r="C2658" s="6" t="s">
        <v>1599</v>
      </c>
      <c r="D2658" s="6" t="s">
        <v>4907</v>
      </c>
    </row>
    <row r="2659" ht="22" customHeight="1" spans="1:4">
      <c r="A2659" s="6" t="s">
        <v>4892</v>
      </c>
      <c r="B2659" s="6" t="s">
        <v>5035</v>
      </c>
      <c r="C2659" s="6" t="s">
        <v>1599</v>
      </c>
      <c r="D2659" s="6" t="s">
        <v>4878</v>
      </c>
    </row>
    <row r="2660" ht="22" customHeight="1" spans="1:4">
      <c r="A2660" s="6" t="s">
        <v>4892</v>
      </c>
      <c r="B2660" s="6" t="s">
        <v>5036</v>
      </c>
      <c r="C2660" s="6" t="s">
        <v>1599</v>
      </c>
      <c r="D2660" s="6" t="s">
        <v>4940</v>
      </c>
    </row>
    <row r="2661" ht="22" customHeight="1" spans="1:4">
      <c r="A2661" s="6" t="s">
        <v>4892</v>
      </c>
      <c r="B2661" s="6" t="s">
        <v>5037</v>
      </c>
      <c r="C2661" s="6" t="s">
        <v>1573</v>
      </c>
      <c r="D2661" s="6" t="s">
        <v>3586</v>
      </c>
    </row>
    <row r="2662" ht="22" customHeight="1" spans="1:4">
      <c r="A2662" s="6" t="s">
        <v>4892</v>
      </c>
      <c r="B2662" s="6" t="s">
        <v>5038</v>
      </c>
      <c r="C2662" s="6" t="s">
        <v>1714</v>
      </c>
      <c r="D2662" s="6" t="s">
        <v>3872</v>
      </c>
    </row>
    <row r="2663" ht="22" customHeight="1" spans="1:4">
      <c r="A2663" s="6" t="s">
        <v>4892</v>
      </c>
      <c r="B2663" s="6" t="s">
        <v>5039</v>
      </c>
      <c r="C2663" s="6" t="s">
        <v>1599</v>
      </c>
      <c r="D2663" s="6" t="s">
        <v>4880</v>
      </c>
    </row>
    <row r="2664" ht="22" customHeight="1" spans="1:4">
      <c r="A2664" s="6" t="s">
        <v>4892</v>
      </c>
      <c r="B2664" s="6" t="s">
        <v>5040</v>
      </c>
      <c r="C2664" s="6" t="s">
        <v>1599</v>
      </c>
      <c r="D2664" s="6" t="s">
        <v>4882</v>
      </c>
    </row>
    <row r="2665" ht="22" customHeight="1" spans="1:4">
      <c r="A2665" s="6" t="s">
        <v>5041</v>
      </c>
      <c r="B2665" s="6" t="s">
        <v>1569</v>
      </c>
      <c r="C2665" s="6" t="s">
        <v>1570</v>
      </c>
      <c r="D2665" s="6" t="s">
        <v>1571</v>
      </c>
    </row>
    <row r="2666" ht="22" customHeight="1" spans="1:4">
      <c r="A2666" s="6" t="s">
        <v>5041</v>
      </c>
      <c r="B2666" s="6" t="s">
        <v>5042</v>
      </c>
      <c r="C2666" s="6" t="s">
        <v>1599</v>
      </c>
      <c r="D2666" s="6" t="s">
        <v>5043</v>
      </c>
    </row>
    <row r="2667" ht="22" customHeight="1" spans="1:4">
      <c r="A2667" s="6" t="s">
        <v>5041</v>
      </c>
      <c r="B2667" s="6" t="s">
        <v>4318</v>
      </c>
      <c r="C2667" s="6" t="s">
        <v>1570</v>
      </c>
      <c r="D2667" s="6" t="s">
        <v>1571</v>
      </c>
    </row>
    <row r="2668" ht="22" customHeight="1" spans="1:4">
      <c r="A2668" s="6" t="s">
        <v>5041</v>
      </c>
      <c r="B2668" s="6" t="s">
        <v>5044</v>
      </c>
      <c r="C2668" s="6" t="s">
        <v>1570</v>
      </c>
      <c r="D2668" s="6" t="s">
        <v>1571</v>
      </c>
    </row>
    <row r="2669" ht="22" customHeight="1" spans="1:4">
      <c r="A2669" s="6" t="s">
        <v>5041</v>
      </c>
      <c r="B2669" s="6" t="s">
        <v>5045</v>
      </c>
      <c r="C2669" s="6" t="s">
        <v>1599</v>
      </c>
      <c r="D2669" s="6" t="s">
        <v>4323</v>
      </c>
    </row>
    <row r="2670" ht="22" customHeight="1" spans="1:4">
      <c r="A2670" s="6" t="s">
        <v>5041</v>
      </c>
      <c r="B2670" s="6" t="s">
        <v>5046</v>
      </c>
      <c r="C2670" s="6" t="s">
        <v>1599</v>
      </c>
      <c r="D2670" s="6" t="s">
        <v>4327</v>
      </c>
    </row>
    <row r="2671" ht="22" customHeight="1" spans="1:4">
      <c r="A2671" s="6" t="s">
        <v>5041</v>
      </c>
      <c r="B2671" s="6" t="s">
        <v>5047</v>
      </c>
      <c r="C2671" s="6" t="s">
        <v>1599</v>
      </c>
      <c r="D2671" s="6" t="s">
        <v>5048</v>
      </c>
    </row>
    <row r="2672" ht="22" customHeight="1" spans="1:4">
      <c r="A2672" s="6" t="s">
        <v>5041</v>
      </c>
      <c r="B2672" s="6" t="s">
        <v>5049</v>
      </c>
      <c r="C2672" s="6" t="s">
        <v>1599</v>
      </c>
      <c r="D2672" s="6" t="s">
        <v>5050</v>
      </c>
    </row>
    <row r="2673" ht="22" customHeight="1" spans="1:4">
      <c r="A2673" s="6" t="s">
        <v>5041</v>
      </c>
      <c r="B2673" s="6" t="s">
        <v>5051</v>
      </c>
      <c r="C2673" s="6" t="s">
        <v>1599</v>
      </c>
      <c r="D2673" s="6" t="s">
        <v>5052</v>
      </c>
    </row>
    <row r="2674" ht="22" customHeight="1" spans="1:4">
      <c r="A2674" s="6" t="s">
        <v>5041</v>
      </c>
      <c r="B2674" s="6" t="s">
        <v>5053</v>
      </c>
      <c r="C2674" s="6" t="s">
        <v>1599</v>
      </c>
      <c r="D2674" s="6" t="s">
        <v>5054</v>
      </c>
    </row>
    <row r="2675" ht="22" customHeight="1" spans="1:4">
      <c r="A2675" s="6" t="s">
        <v>5041</v>
      </c>
      <c r="B2675" s="6" t="s">
        <v>5055</v>
      </c>
      <c r="C2675" s="6" t="s">
        <v>1570</v>
      </c>
      <c r="D2675" s="6" t="s">
        <v>1571</v>
      </c>
    </row>
    <row r="2676" ht="22" customHeight="1" spans="1:4">
      <c r="A2676" s="6" t="s">
        <v>5041</v>
      </c>
      <c r="B2676" s="6" t="s">
        <v>5056</v>
      </c>
      <c r="C2676" s="6" t="s">
        <v>1599</v>
      </c>
      <c r="D2676" s="6" t="s">
        <v>4332</v>
      </c>
    </row>
    <row r="2677" ht="22" customHeight="1" spans="1:4">
      <c r="A2677" s="6" t="s">
        <v>5041</v>
      </c>
      <c r="B2677" s="6" t="s">
        <v>5057</v>
      </c>
      <c r="C2677" s="6" t="s">
        <v>1599</v>
      </c>
      <c r="D2677" s="6" t="s">
        <v>4335</v>
      </c>
    </row>
    <row r="2678" ht="22" customHeight="1" spans="1:4">
      <c r="A2678" s="6" t="s">
        <v>5041</v>
      </c>
      <c r="B2678" s="6" t="s">
        <v>5058</v>
      </c>
      <c r="C2678" s="6" t="s">
        <v>1599</v>
      </c>
      <c r="D2678" s="6" t="s">
        <v>5059</v>
      </c>
    </row>
    <row r="2679" ht="22" customHeight="1" spans="1:4">
      <c r="A2679" s="6" t="s">
        <v>5041</v>
      </c>
      <c r="B2679" s="6" t="s">
        <v>5060</v>
      </c>
      <c r="C2679" s="6" t="s">
        <v>1599</v>
      </c>
      <c r="D2679" s="6" t="s">
        <v>5061</v>
      </c>
    </row>
    <row r="2680" ht="22" customHeight="1" spans="1:4">
      <c r="A2680" s="6" t="s">
        <v>5041</v>
      </c>
      <c r="B2680" s="6" t="s">
        <v>5062</v>
      </c>
      <c r="C2680" s="6" t="s">
        <v>1599</v>
      </c>
      <c r="D2680" s="6" t="s">
        <v>5052</v>
      </c>
    </row>
    <row r="2681" ht="22" customHeight="1" spans="1:4">
      <c r="A2681" s="6" t="s">
        <v>5041</v>
      </c>
      <c r="B2681" s="6" t="s">
        <v>5063</v>
      </c>
      <c r="C2681" s="6" t="s">
        <v>1599</v>
      </c>
      <c r="D2681" s="6" t="s">
        <v>5054</v>
      </c>
    </row>
    <row r="2682" ht="22" customHeight="1" spans="1:4">
      <c r="A2682" s="6" t="s">
        <v>5041</v>
      </c>
      <c r="B2682" s="6" t="s">
        <v>5064</v>
      </c>
      <c r="C2682" s="6" t="s">
        <v>1570</v>
      </c>
      <c r="D2682" s="6" t="s">
        <v>1571</v>
      </c>
    </row>
    <row r="2683" ht="22" customHeight="1" spans="1:4">
      <c r="A2683" s="6" t="s">
        <v>5041</v>
      </c>
      <c r="B2683" s="6" t="s">
        <v>5065</v>
      </c>
      <c r="C2683" s="6" t="s">
        <v>1599</v>
      </c>
      <c r="D2683" s="6" t="s">
        <v>4340</v>
      </c>
    </row>
    <row r="2684" ht="22" customHeight="1" spans="1:4">
      <c r="A2684" s="6" t="s">
        <v>5041</v>
      </c>
      <c r="B2684" s="6" t="s">
        <v>5066</v>
      </c>
      <c r="C2684" s="6" t="s">
        <v>1599</v>
      </c>
      <c r="D2684" s="6" t="s">
        <v>4343</v>
      </c>
    </row>
    <row r="2685" ht="22" customHeight="1" spans="1:4">
      <c r="A2685" s="6" t="s">
        <v>5041</v>
      </c>
      <c r="B2685" s="6" t="s">
        <v>5067</v>
      </c>
      <c r="C2685" s="6" t="s">
        <v>1599</v>
      </c>
      <c r="D2685" s="6" t="s">
        <v>5068</v>
      </c>
    </row>
    <row r="2686" ht="22" customHeight="1" spans="1:4">
      <c r="A2686" s="6" t="s">
        <v>5041</v>
      </c>
      <c r="B2686" s="6" t="s">
        <v>5069</v>
      </c>
      <c r="C2686" s="6" t="s">
        <v>1599</v>
      </c>
      <c r="D2686" s="6" t="s">
        <v>5070</v>
      </c>
    </row>
    <row r="2687" ht="22" customHeight="1" spans="1:4">
      <c r="A2687" s="6" t="s">
        <v>5041</v>
      </c>
      <c r="B2687" s="6" t="s">
        <v>5071</v>
      </c>
      <c r="C2687" s="6" t="s">
        <v>1599</v>
      </c>
      <c r="D2687" s="6" t="s">
        <v>5072</v>
      </c>
    </row>
    <row r="2688" ht="22" customHeight="1" spans="1:4">
      <c r="A2688" s="6" t="s">
        <v>5041</v>
      </c>
      <c r="B2688" s="6" t="s">
        <v>5073</v>
      </c>
      <c r="C2688" s="6" t="s">
        <v>1599</v>
      </c>
      <c r="D2688" s="6" t="s">
        <v>5074</v>
      </c>
    </row>
    <row r="2689" ht="22" customHeight="1" spans="1:4">
      <c r="A2689" s="6" t="s">
        <v>5041</v>
      </c>
      <c r="B2689" s="6" t="s">
        <v>5075</v>
      </c>
      <c r="C2689" s="6" t="s">
        <v>1570</v>
      </c>
      <c r="D2689" s="6" t="s">
        <v>1571</v>
      </c>
    </row>
    <row r="2690" ht="22" customHeight="1" spans="1:4">
      <c r="A2690" s="6" t="s">
        <v>5041</v>
      </c>
      <c r="B2690" s="6" t="s">
        <v>5076</v>
      </c>
      <c r="C2690" s="6" t="s">
        <v>1599</v>
      </c>
      <c r="D2690" s="6" t="s">
        <v>4348</v>
      </c>
    </row>
    <row r="2691" ht="22" customHeight="1" spans="1:4">
      <c r="A2691" s="6" t="s">
        <v>5041</v>
      </c>
      <c r="B2691" s="6" t="s">
        <v>5077</v>
      </c>
      <c r="C2691" s="6" t="s">
        <v>1599</v>
      </c>
      <c r="D2691" s="6" t="s">
        <v>4351</v>
      </c>
    </row>
    <row r="2692" ht="22" customHeight="1" spans="1:4">
      <c r="A2692" s="6" t="s">
        <v>5041</v>
      </c>
      <c r="B2692" s="6" t="s">
        <v>5078</v>
      </c>
      <c r="C2692" s="6" t="s">
        <v>1599</v>
      </c>
      <c r="D2692" s="6" t="s">
        <v>5079</v>
      </c>
    </row>
    <row r="2693" ht="22" customHeight="1" spans="1:4">
      <c r="A2693" s="6" t="s">
        <v>5041</v>
      </c>
      <c r="B2693" s="6" t="s">
        <v>5080</v>
      </c>
      <c r="C2693" s="6" t="s">
        <v>1599</v>
      </c>
      <c r="D2693" s="6" t="s">
        <v>5081</v>
      </c>
    </row>
    <row r="2694" ht="22" customHeight="1" spans="1:4">
      <c r="A2694" s="6" t="s">
        <v>5041</v>
      </c>
      <c r="B2694" s="6" t="s">
        <v>5082</v>
      </c>
      <c r="C2694" s="6" t="s">
        <v>1599</v>
      </c>
      <c r="D2694" s="6" t="s">
        <v>5083</v>
      </c>
    </row>
    <row r="2695" ht="22" customHeight="1" spans="1:4">
      <c r="A2695" s="6" t="s">
        <v>5041</v>
      </c>
      <c r="B2695" s="6" t="s">
        <v>5084</v>
      </c>
      <c r="C2695" s="6" t="s">
        <v>1599</v>
      </c>
      <c r="D2695" s="6" t="s">
        <v>5085</v>
      </c>
    </row>
    <row r="2696" ht="22" customHeight="1" spans="1:4">
      <c r="A2696" s="6" t="s">
        <v>5041</v>
      </c>
      <c r="B2696" s="6" t="s">
        <v>5086</v>
      </c>
      <c r="C2696" s="6" t="s">
        <v>1570</v>
      </c>
      <c r="D2696" s="6" t="s">
        <v>1571</v>
      </c>
    </row>
    <row r="2697" ht="22" customHeight="1" spans="1:4">
      <c r="A2697" s="6" t="s">
        <v>5041</v>
      </c>
      <c r="B2697" s="6" t="s">
        <v>5087</v>
      </c>
      <c r="C2697" s="6" t="s">
        <v>1599</v>
      </c>
      <c r="D2697" s="6" t="s">
        <v>4356</v>
      </c>
    </row>
    <row r="2698" ht="22" customHeight="1" spans="1:4">
      <c r="A2698" s="6" t="s">
        <v>5041</v>
      </c>
      <c r="B2698" s="6" t="s">
        <v>5088</v>
      </c>
      <c r="C2698" s="6" t="s">
        <v>1599</v>
      </c>
      <c r="D2698" s="6" t="s">
        <v>4359</v>
      </c>
    </row>
    <row r="2699" ht="22" customHeight="1" spans="1:4">
      <c r="A2699" s="6" t="s">
        <v>5041</v>
      </c>
      <c r="B2699" s="6" t="s">
        <v>5089</v>
      </c>
      <c r="C2699" s="6" t="s">
        <v>1599</v>
      </c>
      <c r="D2699" s="6" t="s">
        <v>5090</v>
      </c>
    </row>
    <row r="2700" ht="22" customHeight="1" spans="1:4">
      <c r="A2700" s="6" t="s">
        <v>5041</v>
      </c>
      <c r="B2700" s="6" t="s">
        <v>5091</v>
      </c>
      <c r="C2700" s="6" t="s">
        <v>1599</v>
      </c>
      <c r="D2700" s="6" t="s">
        <v>5092</v>
      </c>
    </row>
    <row r="2701" ht="22" customHeight="1" spans="1:4">
      <c r="A2701" s="6" t="s">
        <v>5041</v>
      </c>
      <c r="B2701" s="6" t="s">
        <v>5093</v>
      </c>
      <c r="C2701" s="6" t="s">
        <v>1599</v>
      </c>
      <c r="D2701" s="6" t="s">
        <v>5094</v>
      </c>
    </row>
    <row r="2702" ht="22" customHeight="1" spans="1:4">
      <c r="A2702" s="6" t="s">
        <v>5041</v>
      </c>
      <c r="B2702" s="6" t="s">
        <v>5095</v>
      </c>
      <c r="C2702" s="6" t="s">
        <v>1599</v>
      </c>
      <c r="D2702" s="6" t="s">
        <v>5096</v>
      </c>
    </row>
    <row r="2703" ht="22" customHeight="1" spans="1:4">
      <c r="A2703" s="6" t="s">
        <v>5041</v>
      </c>
      <c r="B2703" s="6" t="s">
        <v>5097</v>
      </c>
      <c r="C2703" s="6" t="s">
        <v>1570</v>
      </c>
      <c r="D2703" s="6" t="s">
        <v>1571</v>
      </c>
    </row>
    <row r="2704" ht="22" customHeight="1" spans="1:4">
      <c r="A2704" s="6" t="s">
        <v>5041</v>
      </c>
      <c r="B2704" s="6" t="s">
        <v>5098</v>
      </c>
      <c r="C2704" s="6" t="s">
        <v>1599</v>
      </c>
      <c r="D2704" s="6" t="s">
        <v>4364</v>
      </c>
    </row>
    <row r="2705" ht="22" customHeight="1" spans="1:4">
      <c r="A2705" s="6" t="s">
        <v>5041</v>
      </c>
      <c r="B2705" s="6" t="s">
        <v>5099</v>
      </c>
      <c r="C2705" s="6" t="s">
        <v>1599</v>
      </c>
      <c r="D2705" s="6" t="s">
        <v>4367</v>
      </c>
    </row>
    <row r="2706" ht="22" customHeight="1" spans="1:4">
      <c r="A2706" s="6" t="s">
        <v>5041</v>
      </c>
      <c r="B2706" s="6" t="s">
        <v>5100</v>
      </c>
      <c r="C2706" s="6" t="s">
        <v>1599</v>
      </c>
      <c r="D2706" s="6" t="s">
        <v>5101</v>
      </c>
    </row>
    <row r="2707" ht="22" customHeight="1" spans="1:4">
      <c r="A2707" s="6" t="s">
        <v>5041</v>
      </c>
      <c r="B2707" s="6" t="s">
        <v>5102</v>
      </c>
      <c r="C2707" s="6" t="s">
        <v>1599</v>
      </c>
      <c r="D2707" s="6" t="s">
        <v>5103</v>
      </c>
    </row>
    <row r="2708" ht="22" customHeight="1" spans="1:4">
      <c r="A2708" s="6" t="s">
        <v>5041</v>
      </c>
      <c r="B2708" s="6" t="s">
        <v>5104</v>
      </c>
      <c r="C2708" s="6" t="s">
        <v>1599</v>
      </c>
      <c r="D2708" s="6" t="s">
        <v>5052</v>
      </c>
    </row>
    <row r="2709" ht="22" customHeight="1" spans="1:4">
      <c r="A2709" s="6" t="s">
        <v>5041</v>
      </c>
      <c r="B2709" s="6" t="s">
        <v>5105</v>
      </c>
      <c r="C2709" s="6" t="s">
        <v>1599</v>
      </c>
      <c r="D2709" s="6" t="s">
        <v>5054</v>
      </c>
    </row>
    <row r="2710" ht="22" customHeight="1" spans="1:4">
      <c r="A2710" s="6" t="s">
        <v>5041</v>
      </c>
      <c r="B2710" s="6" t="s">
        <v>5106</v>
      </c>
      <c r="C2710" s="6" t="s">
        <v>1570</v>
      </c>
      <c r="D2710" s="6" t="s">
        <v>1571</v>
      </c>
    </row>
    <row r="2711" ht="22" customHeight="1" spans="1:4">
      <c r="A2711" s="6" t="s">
        <v>5041</v>
      </c>
      <c r="B2711" s="6" t="s">
        <v>5107</v>
      </c>
      <c r="C2711" s="6" t="s">
        <v>1599</v>
      </c>
      <c r="D2711" s="6" t="s">
        <v>4372</v>
      </c>
    </row>
    <row r="2712" ht="22" customHeight="1" spans="1:4">
      <c r="A2712" s="6" t="s">
        <v>5041</v>
      </c>
      <c r="B2712" s="6" t="s">
        <v>5108</v>
      </c>
      <c r="C2712" s="6" t="s">
        <v>1599</v>
      </c>
      <c r="D2712" s="6" t="s">
        <v>4377</v>
      </c>
    </row>
    <row r="2713" ht="22" customHeight="1" spans="1:4">
      <c r="A2713" s="6" t="s">
        <v>5041</v>
      </c>
      <c r="B2713" s="6" t="s">
        <v>5109</v>
      </c>
      <c r="C2713" s="6" t="s">
        <v>1599</v>
      </c>
      <c r="D2713" s="6" t="s">
        <v>5110</v>
      </c>
    </row>
    <row r="2714" ht="22" customHeight="1" spans="1:4">
      <c r="A2714" s="6" t="s">
        <v>5041</v>
      </c>
      <c r="B2714" s="6" t="s">
        <v>5111</v>
      </c>
      <c r="C2714" s="6" t="s">
        <v>1599</v>
      </c>
      <c r="D2714" s="6" t="s">
        <v>5112</v>
      </c>
    </row>
    <row r="2715" ht="22" customHeight="1" spans="1:4">
      <c r="A2715" s="6" t="s">
        <v>5041</v>
      </c>
      <c r="B2715" s="6" t="s">
        <v>5113</v>
      </c>
      <c r="C2715" s="6" t="s">
        <v>1599</v>
      </c>
      <c r="D2715" s="6" t="s">
        <v>5114</v>
      </c>
    </row>
    <row r="2716" ht="22" customHeight="1" spans="1:4">
      <c r="A2716" s="6" t="s">
        <v>5041</v>
      </c>
      <c r="B2716" s="6" t="s">
        <v>5115</v>
      </c>
      <c r="C2716" s="6" t="s">
        <v>1599</v>
      </c>
      <c r="D2716" s="6" t="s">
        <v>5116</v>
      </c>
    </row>
    <row r="2717" ht="22" customHeight="1" spans="1:4">
      <c r="A2717" s="6" t="s">
        <v>5041</v>
      </c>
      <c r="B2717" s="6" t="s">
        <v>5117</v>
      </c>
      <c r="C2717" s="6" t="s">
        <v>1570</v>
      </c>
      <c r="D2717" s="6" t="s">
        <v>1571</v>
      </c>
    </row>
    <row r="2718" ht="22" customHeight="1" spans="1:4">
      <c r="A2718" s="6" t="s">
        <v>5041</v>
      </c>
      <c r="B2718" s="6" t="s">
        <v>5118</v>
      </c>
      <c r="C2718" s="6" t="s">
        <v>1599</v>
      </c>
      <c r="D2718" s="6" t="s">
        <v>4382</v>
      </c>
    </row>
    <row r="2719" ht="22" customHeight="1" spans="1:4">
      <c r="A2719" s="6" t="s">
        <v>5041</v>
      </c>
      <c r="B2719" s="6" t="s">
        <v>5119</v>
      </c>
      <c r="C2719" s="6" t="s">
        <v>1599</v>
      </c>
      <c r="D2719" s="6" t="s">
        <v>4386</v>
      </c>
    </row>
    <row r="2720" ht="22" customHeight="1" spans="1:4">
      <c r="A2720" s="6" t="s">
        <v>5041</v>
      </c>
      <c r="B2720" s="6" t="s">
        <v>5120</v>
      </c>
      <c r="C2720" s="6" t="s">
        <v>1599</v>
      </c>
      <c r="D2720" s="6" t="s">
        <v>5121</v>
      </c>
    </row>
    <row r="2721" ht="22" customHeight="1" spans="1:4">
      <c r="A2721" s="6" t="s">
        <v>5041</v>
      </c>
      <c r="B2721" s="6" t="s">
        <v>5122</v>
      </c>
      <c r="C2721" s="6" t="s">
        <v>1599</v>
      </c>
      <c r="D2721" s="6" t="s">
        <v>5123</v>
      </c>
    </row>
    <row r="2722" ht="22" customHeight="1" spans="1:4">
      <c r="A2722" s="6" t="s">
        <v>5041</v>
      </c>
      <c r="B2722" s="6" t="s">
        <v>5124</v>
      </c>
      <c r="C2722" s="6" t="s">
        <v>1599</v>
      </c>
      <c r="D2722" s="6" t="s">
        <v>5114</v>
      </c>
    </row>
    <row r="2723" ht="22" customHeight="1" spans="1:4">
      <c r="A2723" s="6" t="s">
        <v>5041</v>
      </c>
      <c r="B2723" s="6" t="s">
        <v>5125</v>
      </c>
      <c r="C2723" s="6" t="s">
        <v>1599</v>
      </c>
      <c r="D2723" s="6" t="s">
        <v>5116</v>
      </c>
    </row>
    <row r="2724" ht="22" customHeight="1" spans="1:4">
      <c r="A2724" s="6" t="s">
        <v>5041</v>
      </c>
      <c r="B2724" s="6" t="s">
        <v>5126</v>
      </c>
      <c r="C2724" s="6" t="s">
        <v>1570</v>
      </c>
      <c r="D2724" s="6" t="s">
        <v>1571</v>
      </c>
    </row>
    <row r="2725" ht="22" customHeight="1" spans="1:4">
      <c r="A2725" s="6" t="s">
        <v>5041</v>
      </c>
      <c r="B2725" s="6" t="s">
        <v>5127</v>
      </c>
      <c r="C2725" s="6" t="s">
        <v>1599</v>
      </c>
      <c r="D2725" s="6" t="s">
        <v>4391</v>
      </c>
    </row>
    <row r="2726" ht="22" customHeight="1" spans="1:4">
      <c r="A2726" s="6" t="s">
        <v>5041</v>
      </c>
      <c r="B2726" s="6" t="s">
        <v>5128</v>
      </c>
      <c r="C2726" s="6" t="s">
        <v>1599</v>
      </c>
      <c r="D2726" s="6" t="s">
        <v>4395</v>
      </c>
    </row>
    <row r="2727" ht="22" customHeight="1" spans="1:4">
      <c r="A2727" s="6" t="s">
        <v>5041</v>
      </c>
      <c r="B2727" s="6" t="s">
        <v>5129</v>
      </c>
      <c r="C2727" s="6" t="s">
        <v>1599</v>
      </c>
      <c r="D2727" s="6" t="s">
        <v>5130</v>
      </c>
    </row>
    <row r="2728" ht="22" customHeight="1" spans="1:4">
      <c r="A2728" s="6" t="s">
        <v>5041</v>
      </c>
      <c r="B2728" s="6" t="s">
        <v>5131</v>
      </c>
      <c r="C2728" s="6" t="s">
        <v>1599</v>
      </c>
      <c r="D2728" s="6" t="s">
        <v>5132</v>
      </c>
    </row>
    <row r="2729" ht="22" customHeight="1" spans="1:4">
      <c r="A2729" s="6" t="s">
        <v>5041</v>
      </c>
      <c r="B2729" s="6" t="s">
        <v>5133</v>
      </c>
      <c r="C2729" s="6" t="s">
        <v>1599</v>
      </c>
      <c r="D2729" s="6" t="s">
        <v>5114</v>
      </c>
    </row>
    <row r="2730" ht="22" customHeight="1" spans="1:4">
      <c r="A2730" s="6" t="s">
        <v>5041</v>
      </c>
      <c r="B2730" s="6" t="s">
        <v>5134</v>
      </c>
      <c r="C2730" s="6" t="s">
        <v>1599</v>
      </c>
      <c r="D2730" s="6" t="s">
        <v>5116</v>
      </c>
    </row>
    <row r="2731" ht="22" customHeight="1" spans="1:4">
      <c r="A2731" s="6" t="s">
        <v>5041</v>
      </c>
      <c r="B2731" s="6" t="s">
        <v>5135</v>
      </c>
      <c r="C2731" s="6" t="s">
        <v>1570</v>
      </c>
      <c r="D2731" s="6" t="s">
        <v>1571</v>
      </c>
    </row>
    <row r="2732" ht="22" customHeight="1" spans="1:4">
      <c r="A2732" s="6" t="s">
        <v>5041</v>
      </c>
      <c r="B2732" s="6" t="s">
        <v>5136</v>
      </c>
      <c r="C2732" s="6" t="s">
        <v>1599</v>
      </c>
      <c r="D2732" s="6" t="s">
        <v>4400</v>
      </c>
    </row>
    <row r="2733" ht="22" customHeight="1" spans="1:4">
      <c r="A2733" s="6" t="s">
        <v>5041</v>
      </c>
      <c r="B2733" s="6" t="s">
        <v>5137</v>
      </c>
      <c r="C2733" s="6" t="s">
        <v>1599</v>
      </c>
      <c r="D2733" s="6" t="s">
        <v>4404</v>
      </c>
    </row>
    <row r="2734" ht="22" customHeight="1" spans="1:4">
      <c r="A2734" s="6" t="s">
        <v>5041</v>
      </c>
      <c r="B2734" s="6" t="s">
        <v>5138</v>
      </c>
      <c r="C2734" s="6" t="s">
        <v>1599</v>
      </c>
      <c r="D2734" s="6" t="s">
        <v>5139</v>
      </c>
    </row>
    <row r="2735" ht="22" customHeight="1" spans="1:4">
      <c r="A2735" s="6" t="s">
        <v>5041</v>
      </c>
      <c r="B2735" s="6" t="s">
        <v>5140</v>
      </c>
      <c r="C2735" s="6" t="s">
        <v>1599</v>
      </c>
      <c r="D2735" s="6" t="s">
        <v>5141</v>
      </c>
    </row>
    <row r="2736" ht="22" customHeight="1" spans="1:4">
      <c r="A2736" s="6" t="s">
        <v>5041</v>
      </c>
      <c r="B2736" s="6" t="s">
        <v>5142</v>
      </c>
      <c r="C2736" s="6" t="s">
        <v>1599</v>
      </c>
      <c r="D2736" s="6" t="s">
        <v>5143</v>
      </c>
    </row>
    <row r="2737" ht="22" customHeight="1" spans="1:4">
      <c r="A2737" s="6" t="s">
        <v>5041</v>
      </c>
      <c r="B2737" s="6" t="s">
        <v>5144</v>
      </c>
      <c r="C2737" s="6" t="s">
        <v>1599</v>
      </c>
      <c r="D2737" s="6" t="s">
        <v>5145</v>
      </c>
    </row>
    <row r="2738" ht="22" customHeight="1" spans="1:4">
      <c r="A2738" s="6" t="s">
        <v>5041</v>
      </c>
      <c r="B2738" s="6" t="s">
        <v>5146</v>
      </c>
      <c r="C2738" s="6" t="s">
        <v>1570</v>
      </c>
      <c r="D2738" s="6" t="s">
        <v>1571</v>
      </c>
    </row>
    <row r="2739" ht="22" customHeight="1" spans="1:4">
      <c r="A2739" s="6" t="s">
        <v>5041</v>
      </c>
      <c r="B2739" s="6" t="s">
        <v>5147</v>
      </c>
      <c r="C2739" s="6" t="s">
        <v>1599</v>
      </c>
      <c r="D2739" s="6" t="s">
        <v>4410</v>
      </c>
    </row>
    <row r="2740" ht="22" customHeight="1" spans="1:4">
      <c r="A2740" s="6" t="s">
        <v>5041</v>
      </c>
      <c r="B2740" s="6" t="s">
        <v>5148</v>
      </c>
      <c r="C2740" s="6" t="s">
        <v>1599</v>
      </c>
      <c r="D2740" s="6" t="s">
        <v>4417</v>
      </c>
    </row>
    <row r="2741" ht="22" customHeight="1" spans="1:4">
      <c r="A2741" s="6" t="s">
        <v>5041</v>
      </c>
      <c r="B2741" s="6" t="s">
        <v>5149</v>
      </c>
      <c r="C2741" s="6" t="s">
        <v>1599</v>
      </c>
      <c r="D2741" s="6" t="s">
        <v>5150</v>
      </c>
    </row>
    <row r="2742" ht="22" customHeight="1" spans="1:4">
      <c r="A2742" s="6" t="s">
        <v>5041</v>
      </c>
      <c r="B2742" s="6" t="s">
        <v>5151</v>
      </c>
      <c r="C2742" s="6" t="s">
        <v>1599</v>
      </c>
      <c r="D2742" s="6" t="s">
        <v>5152</v>
      </c>
    </row>
    <row r="2743" ht="22" customHeight="1" spans="1:4">
      <c r="A2743" s="6" t="s">
        <v>5041</v>
      </c>
      <c r="B2743" s="6" t="s">
        <v>5153</v>
      </c>
      <c r="C2743" s="6" t="s">
        <v>1599</v>
      </c>
      <c r="D2743" s="6" t="s">
        <v>5114</v>
      </c>
    </row>
    <row r="2744" ht="22" customHeight="1" spans="1:4">
      <c r="A2744" s="6" t="s">
        <v>5041</v>
      </c>
      <c r="B2744" s="6" t="s">
        <v>5154</v>
      </c>
      <c r="C2744" s="6" t="s">
        <v>1599</v>
      </c>
      <c r="D2744" s="6" t="s">
        <v>5116</v>
      </c>
    </row>
    <row r="2745" ht="22" customHeight="1" spans="1:4">
      <c r="A2745" s="6" t="s">
        <v>5041</v>
      </c>
      <c r="B2745" s="6" t="s">
        <v>5155</v>
      </c>
      <c r="C2745" s="6" t="s">
        <v>1570</v>
      </c>
      <c r="D2745" s="6" t="s">
        <v>1571</v>
      </c>
    </row>
    <row r="2746" ht="22" customHeight="1" spans="1:4">
      <c r="A2746" s="6" t="s">
        <v>5041</v>
      </c>
      <c r="B2746" s="6" t="s">
        <v>5156</v>
      </c>
      <c r="C2746" s="6" t="s">
        <v>1599</v>
      </c>
      <c r="D2746" s="6" t="s">
        <v>4422</v>
      </c>
    </row>
    <row r="2747" ht="22" customHeight="1" spans="1:4">
      <c r="A2747" s="6" t="s">
        <v>5041</v>
      </c>
      <c r="B2747" s="6" t="s">
        <v>5157</v>
      </c>
      <c r="C2747" s="6" t="s">
        <v>1599</v>
      </c>
      <c r="D2747" s="6" t="s">
        <v>4426</v>
      </c>
    </row>
    <row r="2748" ht="22" customHeight="1" spans="1:4">
      <c r="A2748" s="6" t="s">
        <v>5041</v>
      </c>
      <c r="B2748" s="6" t="s">
        <v>5158</v>
      </c>
      <c r="C2748" s="6" t="s">
        <v>1599</v>
      </c>
      <c r="D2748" s="6" t="s">
        <v>5159</v>
      </c>
    </row>
    <row r="2749" ht="22" customHeight="1" spans="1:4">
      <c r="A2749" s="6" t="s">
        <v>5041</v>
      </c>
      <c r="B2749" s="6" t="s">
        <v>5160</v>
      </c>
      <c r="C2749" s="6" t="s">
        <v>1599</v>
      </c>
      <c r="D2749" s="6" t="s">
        <v>5161</v>
      </c>
    </row>
    <row r="2750" ht="22" customHeight="1" spans="1:4">
      <c r="A2750" s="6" t="s">
        <v>5041</v>
      </c>
      <c r="B2750" s="6" t="s">
        <v>5162</v>
      </c>
      <c r="C2750" s="6" t="s">
        <v>1599</v>
      </c>
      <c r="D2750" s="6" t="s">
        <v>5052</v>
      </c>
    </row>
    <row r="2751" ht="22" customHeight="1" spans="1:4">
      <c r="A2751" s="6" t="s">
        <v>5041</v>
      </c>
      <c r="B2751" s="6" t="s">
        <v>5163</v>
      </c>
      <c r="C2751" s="6" t="s">
        <v>1599</v>
      </c>
      <c r="D2751" s="6" t="s">
        <v>5054</v>
      </c>
    </row>
    <row r="2752" ht="22" customHeight="1" spans="1:4">
      <c r="A2752" s="6" t="s">
        <v>5041</v>
      </c>
      <c r="B2752" s="6" t="s">
        <v>5164</v>
      </c>
      <c r="C2752" s="6" t="s">
        <v>1570</v>
      </c>
      <c r="D2752" s="6" t="s">
        <v>1571</v>
      </c>
    </row>
    <row r="2753" ht="22" customHeight="1" spans="1:4">
      <c r="A2753" s="6" t="s">
        <v>5041</v>
      </c>
      <c r="B2753" s="6" t="s">
        <v>5165</v>
      </c>
      <c r="C2753" s="6" t="s">
        <v>1599</v>
      </c>
      <c r="D2753" s="6" t="s">
        <v>4431</v>
      </c>
    </row>
    <row r="2754" ht="22" customHeight="1" spans="1:4">
      <c r="A2754" s="6" t="s">
        <v>5041</v>
      </c>
      <c r="B2754" s="6" t="s">
        <v>5166</v>
      </c>
      <c r="C2754" s="6" t="s">
        <v>1599</v>
      </c>
      <c r="D2754" s="6" t="s">
        <v>4434</v>
      </c>
    </row>
    <row r="2755" ht="22" customHeight="1" spans="1:4">
      <c r="A2755" s="6" t="s">
        <v>5041</v>
      </c>
      <c r="B2755" s="6" t="s">
        <v>5167</v>
      </c>
      <c r="C2755" s="6" t="s">
        <v>1599</v>
      </c>
      <c r="D2755" s="6" t="s">
        <v>5168</v>
      </c>
    </row>
    <row r="2756" ht="22" customHeight="1" spans="1:4">
      <c r="A2756" s="6" t="s">
        <v>5041</v>
      </c>
      <c r="B2756" s="6" t="s">
        <v>5169</v>
      </c>
      <c r="C2756" s="6" t="s">
        <v>1599</v>
      </c>
      <c r="D2756" s="6" t="s">
        <v>5170</v>
      </c>
    </row>
    <row r="2757" ht="22" customHeight="1" spans="1:4">
      <c r="A2757" s="6" t="s">
        <v>5041</v>
      </c>
      <c r="B2757" s="6" t="s">
        <v>5171</v>
      </c>
      <c r="C2757" s="6" t="s">
        <v>1599</v>
      </c>
      <c r="D2757" s="6" t="s">
        <v>5172</v>
      </c>
    </row>
    <row r="2758" ht="22" customHeight="1" spans="1:4">
      <c r="A2758" s="6" t="s">
        <v>5041</v>
      </c>
      <c r="B2758" s="6" t="s">
        <v>5173</v>
      </c>
      <c r="C2758" s="6" t="s">
        <v>1599</v>
      </c>
      <c r="D2758" s="6" t="s">
        <v>5174</v>
      </c>
    </row>
    <row r="2759" ht="22" customHeight="1" spans="1:4">
      <c r="A2759" s="6" t="s">
        <v>5041</v>
      </c>
      <c r="B2759" s="6" t="s">
        <v>5175</v>
      </c>
      <c r="C2759" s="6" t="s">
        <v>1570</v>
      </c>
      <c r="D2759" s="6" t="s">
        <v>1571</v>
      </c>
    </row>
    <row r="2760" ht="22" customHeight="1" spans="1:4">
      <c r="A2760" s="6" t="s">
        <v>5041</v>
      </c>
      <c r="B2760" s="6" t="s">
        <v>5176</v>
      </c>
      <c r="C2760" s="6" t="s">
        <v>1599</v>
      </c>
      <c r="D2760" s="6" t="s">
        <v>4439</v>
      </c>
    </row>
    <row r="2761" ht="22" customHeight="1" spans="1:4">
      <c r="A2761" s="6" t="s">
        <v>5041</v>
      </c>
      <c r="B2761" s="6" t="s">
        <v>5177</v>
      </c>
      <c r="C2761" s="6" t="s">
        <v>1599</v>
      </c>
      <c r="D2761" s="6" t="s">
        <v>4443</v>
      </c>
    </row>
    <row r="2762" ht="22" customHeight="1" spans="1:4">
      <c r="A2762" s="6" t="s">
        <v>5041</v>
      </c>
      <c r="B2762" s="6" t="s">
        <v>5178</v>
      </c>
      <c r="C2762" s="6" t="s">
        <v>1599</v>
      </c>
      <c r="D2762" s="6" t="s">
        <v>5179</v>
      </c>
    </row>
    <row r="2763" ht="22" customHeight="1" spans="1:4">
      <c r="A2763" s="6" t="s">
        <v>5041</v>
      </c>
      <c r="B2763" s="6" t="s">
        <v>5180</v>
      </c>
      <c r="C2763" s="6" t="s">
        <v>1599</v>
      </c>
      <c r="D2763" s="6" t="s">
        <v>5181</v>
      </c>
    </row>
    <row r="2764" ht="22" customHeight="1" spans="1:4">
      <c r="A2764" s="6" t="s">
        <v>5041</v>
      </c>
      <c r="B2764" s="6" t="s">
        <v>5182</v>
      </c>
      <c r="C2764" s="6" t="s">
        <v>1599</v>
      </c>
      <c r="D2764" s="6" t="s">
        <v>5052</v>
      </c>
    </row>
    <row r="2765" ht="22" customHeight="1" spans="1:4">
      <c r="A2765" s="6" t="s">
        <v>5041</v>
      </c>
      <c r="B2765" s="6" t="s">
        <v>5183</v>
      </c>
      <c r="C2765" s="6" t="s">
        <v>1599</v>
      </c>
      <c r="D2765" s="6" t="s">
        <v>5054</v>
      </c>
    </row>
    <row r="2766" ht="22" customHeight="1" spans="1:4">
      <c r="A2766" s="6" t="s">
        <v>5041</v>
      </c>
      <c r="B2766" s="6" t="s">
        <v>5184</v>
      </c>
      <c r="C2766" s="6" t="s">
        <v>1570</v>
      </c>
      <c r="D2766" s="6" t="s">
        <v>1571</v>
      </c>
    </row>
    <row r="2767" ht="22" customHeight="1" spans="1:4">
      <c r="A2767" s="6" t="s">
        <v>5041</v>
      </c>
      <c r="B2767" s="6" t="s">
        <v>5185</v>
      </c>
      <c r="C2767" s="6" t="s">
        <v>1599</v>
      </c>
      <c r="D2767" s="6" t="s">
        <v>4448</v>
      </c>
    </row>
    <row r="2768" ht="22" customHeight="1" spans="1:4">
      <c r="A2768" s="6" t="s">
        <v>5041</v>
      </c>
      <c r="B2768" s="6" t="s">
        <v>5186</v>
      </c>
      <c r="C2768" s="6" t="s">
        <v>1599</v>
      </c>
      <c r="D2768" s="6" t="s">
        <v>4453</v>
      </c>
    </row>
    <row r="2769" ht="22" customHeight="1" spans="1:4">
      <c r="A2769" s="6" t="s">
        <v>5041</v>
      </c>
      <c r="B2769" s="6" t="s">
        <v>5187</v>
      </c>
      <c r="C2769" s="6" t="s">
        <v>1599</v>
      </c>
      <c r="D2769" s="6" t="s">
        <v>5188</v>
      </c>
    </row>
    <row r="2770" ht="22" customHeight="1" spans="1:4">
      <c r="A2770" s="6" t="s">
        <v>5041</v>
      </c>
      <c r="B2770" s="6" t="s">
        <v>5189</v>
      </c>
      <c r="C2770" s="6" t="s">
        <v>1599</v>
      </c>
      <c r="D2770" s="6" t="s">
        <v>5190</v>
      </c>
    </row>
    <row r="2771" ht="22" customHeight="1" spans="1:4">
      <c r="A2771" s="6" t="s">
        <v>5041</v>
      </c>
      <c r="B2771" s="6" t="s">
        <v>5191</v>
      </c>
      <c r="C2771" s="6" t="s">
        <v>1599</v>
      </c>
      <c r="D2771" s="6" t="s">
        <v>5192</v>
      </c>
    </row>
    <row r="2772" ht="22" customHeight="1" spans="1:4">
      <c r="A2772" s="6" t="s">
        <v>5041</v>
      </c>
      <c r="B2772" s="6" t="s">
        <v>5193</v>
      </c>
      <c r="C2772" s="6" t="s">
        <v>1599</v>
      </c>
      <c r="D2772" s="6" t="s">
        <v>5194</v>
      </c>
    </row>
    <row r="2773" ht="22" customHeight="1" spans="1:4">
      <c r="A2773" s="6" t="s">
        <v>5041</v>
      </c>
      <c r="B2773" s="6" t="s">
        <v>5195</v>
      </c>
      <c r="C2773" s="6" t="s">
        <v>1570</v>
      </c>
      <c r="D2773" s="6" t="s">
        <v>1571</v>
      </c>
    </row>
    <row r="2774" ht="22" customHeight="1" spans="1:4">
      <c r="A2774" s="6" t="s">
        <v>5041</v>
      </c>
      <c r="B2774" s="6" t="s">
        <v>5196</v>
      </c>
      <c r="C2774" s="6" t="s">
        <v>1599</v>
      </c>
      <c r="D2774" s="6" t="s">
        <v>4458</v>
      </c>
    </row>
    <row r="2775" ht="22" customHeight="1" spans="1:4">
      <c r="A2775" s="6" t="s">
        <v>5041</v>
      </c>
      <c r="B2775" s="6" t="s">
        <v>5197</v>
      </c>
      <c r="C2775" s="6" t="s">
        <v>1599</v>
      </c>
      <c r="D2775" s="6" t="s">
        <v>4461</v>
      </c>
    </row>
    <row r="2776" ht="22" customHeight="1" spans="1:4">
      <c r="A2776" s="6" t="s">
        <v>5041</v>
      </c>
      <c r="B2776" s="6" t="s">
        <v>5198</v>
      </c>
      <c r="C2776" s="6" t="s">
        <v>1599</v>
      </c>
      <c r="D2776" s="6" t="s">
        <v>5199</v>
      </c>
    </row>
    <row r="2777" ht="22" customHeight="1" spans="1:4">
      <c r="A2777" s="6" t="s">
        <v>5041</v>
      </c>
      <c r="B2777" s="6" t="s">
        <v>5200</v>
      </c>
      <c r="C2777" s="6" t="s">
        <v>1599</v>
      </c>
      <c r="D2777" s="6" t="s">
        <v>5201</v>
      </c>
    </row>
    <row r="2778" ht="22" customHeight="1" spans="1:4">
      <c r="A2778" s="6" t="s">
        <v>5041</v>
      </c>
      <c r="B2778" s="6" t="s">
        <v>5202</v>
      </c>
      <c r="C2778" s="6" t="s">
        <v>1599</v>
      </c>
      <c r="D2778" s="6" t="s">
        <v>5203</v>
      </c>
    </row>
    <row r="2779" ht="22" customHeight="1" spans="1:4">
      <c r="A2779" s="6" t="s">
        <v>5041</v>
      </c>
      <c r="B2779" s="6" t="s">
        <v>5204</v>
      </c>
      <c r="C2779" s="6" t="s">
        <v>1599</v>
      </c>
      <c r="D2779" s="6" t="s">
        <v>5205</v>
      </c>
    </row>
    <row r="2780" ht="22" customHeight="1" spans="1:4">
      <c r="A2780" s="6" t="s">
        <v>5041</v>
      </c>
      <c r="B2780" s="6" t="s">
        <v>5206</v>
      </c>
      <c r="C2780" s="6" t="s">
        <v>1570</v>
      </c>
      <c r="D2780" s="6" t="s">
        <v>1571</v>
      </c>
    </row>
    <row r="2781" ht="22" customHeight="1" spans="1:4">
      <c r="A2781" s="6" t="s">
        <v>5041</v>
      </c>
      <c r="B2781" s="6" t="s">
        <v>5207</v>
      </c>
      <c r="C2781" s="6" t="s">
        <v>1599</v>
      </c>
      <c r="D2781" s="6" t="s">
        <v>4466</v>
      </c>
    </row>
    <row r="2782" ht="22" customHeight="1" spans="1:4">
      <c r="A2782" s="6" t="s">
        <v>5041</v>
      </c>
      <c r="B2782" s="6" t="s">
        <v>5208</v>
      </c>
      <c r="C2782" s="6" t="s">
        <v>1599</v>
      </c>
      <c r="D2782" s="6" t="s">
        <v>4470</v>
      </c>
    </row>
    <row r="2783" ht="22" customHeight="1" spans="1:4">
      <c r="A2783" s="6" t="s">
        <v>5041</v>
      </c>
      <c r="B2783" s="6" t="s">
        <v>5209</v>
      </c>
      <c r="C2783" s="6" t="s">
        <v>1599</v>
      </c>
      <c r="D2783" s="6" t="s">
        <v>5210</v>
      </c>
    </row>
    <row r="2784" ht="22" customHeight="1" spans="1:4">
      <c r="A2784" s="6" t="s">
        <v>5041</v>
      </c>
      <c r="B2784" s="6" t="s">
        <v>5211</v>
      </c>
      <c r="C2784" s="6" t="s">
        <v>1599</v>
      </c>
      <c r="D2784" s="6" t="s">
        <v>5212</v>
      </c>
    </row>
    <row r="2785" ht="22" customHeight="1" spans="1:4">
      <c r="A2785" s="6" t="s">
        <v>5041</v>
      </c>
      <c r="B2785" s="6" t="s">
        <v>5213</v>
      </c>
      <c r="C2785" s="6" t="s">
        <v>1599</v>
      </c>
      <c r="D2785" s="6" t="s">
        <v>5072</v>
      </c>
    </row>
    <row r="2786" ht="22" customHeight="1" spans="1:4">
      <c r="A2786" s="6" t="s">
        <v>5041</v>
      </c>
      <c r="B2786" s="6" t="s">
        <v>5214</v>
      </c>
      <c r="C2786" s="6" t="s">
        <v>1599</v>
      </c>
      <c r="D2786" s="6" t="s">
        <v>5074</v>
      </c>
    </row>
    <row r="2787" ht="22" customHeight="1" spans="1:4">
      <c r="A2787" s="6" t="s">
        <v>5041</v>
      </c>
      <c r="B2787" s="6" t="s">
        <v>5215</v>
      </c>
      <c r="C2787" s="6" t="s">
        <v>1570</v>
      </c>
      <c r="D2787" s="6" t="s">
        <v>1571</v>
      </c>
    </row>
    <row r="2788" ht="22" customHeight="1" spans="1:4">
      <c r="A2788" s="6" t="s">
        <v>5041</v>
      </c>
      <c r="B2788" s="6" t="s">
        <v>5216</v>
      </c>
      <c r="C2788" s="6" t="s">
        <v>1599</v>
      </c>
      <c r="D2788" s="6" t="s">
        <v>4475</v>
      </c>
    </row>
    <row r="2789" ht="22" customHeight="1" spans="1:4">
      <c r="A2789" s="6" t="s">
        <v>5041</v>
      </c>
      <c r="B2789" s="6" t="s">
        <v>5217</v>
      </c>
      <c r="C2789" s="6" t="s">
        <v>1599</v>
      </c>
      <c r="D2789" s="6" t="s">
        <v>4478</v>
      </c>
    </row>
    <row r="2790" ht="22" customHeight="1" spans="1:4">
      <c r="A2790" s="6" t="s">
        <v>5041</v>
      </c>
      <c r="B2790" s="6" t="s">
        <v>5218</v>
      </c>
      <c r="C2790" s="6" t="s">
        <v>1599</v>
      </c>
      <c r="D2790" s="6" t="s">
        <v>5219</v>
      </c>
    </row>
    <row r="2791" ht="22" customHeight="1" spans="1:4">
      <c r="A2791" s="6" t="s">
        <v>5041</v>
      </c>
      <c r="B2791" s="6" t="s">
        <v>5220</v>
      </c>
      <c r="C2791" s="6" t="s">
        <v>1599</v>
      </c>
      <c r="D2791" s="6" t="s">
        <v>5221</v>
      </c>
    </row>
    <row r="2792" ht="22" customHeight="1" spans="1:4">
      <c r="A2792" s="6" t="s">
        <v>5041</v>
      </c>
      <c r="B2792" s="6" t="s">
        <v>5222</v>
      </c>
      <c r="C2792" s="6" t="s">
        <v>1599</v>
      </c>
      <c r="D2792" s="6" t="s">
        <v>5223</v>
      </c>
    </row>
    <row r="2793" ht="22" customHeight="1" spans="1:4">
      <c r="A2793" s="6" t="s">
        <v>5041</v>
      </c>
      <c r="B2793" s="6" t="s">
        <v>5224</v>
      </c>
      <c r="C2793" s="6" t="s">
        <v>1599</v>
      </c>
      <c r="D2793" s="6" t="s">
        <v>5225</v>
      </c>
    </row>
    <row r="2794" ht="22" customHeight="1" spans="1:4">
      <c r="A2794" s="6" t="s">
        <v>5041</v>
      </c>
      <c r="B2794" s="6" t="s">
        <v>5226</v>
      </c>
      <c r="C2794" s="6" t="s">
        <v>1570</v>
      </c>
      <c r="D2794" s="6" t="s">
        <v>1571</v>
      </c>
    </row>
    <row r="2795" ht="22" customHeight="1" spans="1:4">
      <c r="A2795" s="6" t="s">
        <v>5041</v>
      </c>
      <c r="B2795" s="6" t="s">
        <v>5227</v>
      </c>
      <c r="C2795" s="6" t="s">
        <v>1599</v>
      </c>
      <c r="D2795" s="6" t="s">
        <v>4483</v>
      </c>
    </row>
    <row r="2796" ht="22" customHeight="1" spans="1:4">
      <c r="A2796" s="6" t="s">
        <v>5041</v>
      </c>
      <c r="B2796" s="6" t="s">
        <v>5228</v>
      </c>
      <c r="C2796" s="6" t="s">
        <v>1599</v>
      </c>
      <c r="D2796" s="6" t="s">
        <v>4486</v>
      </c>
    </row>
    <row r="2797" ht="22" customHeight="1" spans="1:4">
      <c r="A2797" s="6" t="s">
        <v>5041</v>
      </c>
      <c r="B2797" s="6" t="s">
        <v>5229</v>
      </c>
      <c r="C2797" s="6" t="s">
        <v>1599</v>
      </c>
      <c r="D2797" s="6" t="s">
        <v>5230</v>
      </c>
    </row>
    <row r="2798" ht="22" customHeight="1" spans="1:4">
      <c r="A2798" s="6" t="s">
        <v>5041</v>
      </c>
      <c r="B2798" s="6" t="s">
        <v>5231</v>
      </c>
      <c r="C2798" s="6" t="s">
        <v>1599</v>
      </c>
      <c r="D2798" s="6" t="s">
        <v>5232</v>
      </c>
    </row>
    <row r="2799" ht="22" customHeight="1" spans="1:4">
      <c r="A2799" s="6" t="s">
        <v>5041</v>
      </c>
      <c r="B2799" s="6" t="s">
        <v>5233</v>
      </c>
      <c r="C2799" s="6" t="s">
        <v>1599</v>
      </c>
      <c r="D2799" s="6" t="s">
        <v>5234</v>
      </c>
    </row>
    <row r="2800" ht="22" customHeight="1" spans="1:4">
      <c r="A2800" s="6" t="s">
        <v>5041</v>
      </c>
      <c r="B2800" s="6" t="s">
        <v>5235</v>
      </c>
      <c r="C2800" s="6" t="s">
        <v>1599</v>
      </c>
      <c r="D2800" s="6" t="s">
        <v>5236</v>
      </c>
    </row>
    <row r="2801" ht="22" customHeight="1" spans="1:4">
      <c r="A2801" s="6" t="s">
        <v>5041</v>
      </c>
      <c r="B2801" s="6" t="s">
        <v>5237</v>
      </c>
      <c r="C2801" s="6" t="s">
        <v>1570</v>
      </c>
      <c r="D2801" s="6" t="s">
        <v>1571</v>
      </c>
    </row>
    <row r="2802" ht="22" customHeight="1" spans="1:4">
      <c r="A2802" s="6" t="s">
        <v>5041</v>
      </c>
      <c r="B2802" s="6" t="s">
        <v>5238</v>
      </c>
      <c r="C2802" s="6" t="s">
        <v>1599</v>
      </c>
      <c r="D2802" s="6" t="s">
        <v>4491</v>
      </c>
    </row>
    <row r="2803" ht="22" customHeight="1" spans="1:4">
      <c r="A2803" s="6" t="s">
        <v>5041</v>
      </c>
      <c r="B2803" s="6" t="s">
        <v>5239</v>
      </c>
      <c r="C2803" s="6" t="s">
        <v>1599</v>
      </c>
      <c r="D2803" s="6" t="s">
        <v>4494</v>
      </c>
    </row>
    <row r="2804" ht="22" customHeight="1" spans="1:4">
      <c r="A2804" s="6" t="s">
        <v>5041</v>
      </c>
      <c r="B2804" s="6" t="s">
        <v>5240</v>
      </c>
      <c r="C2804" s="6" t="s">
        <v>1599</v>
      </c>
      <c r="D2804" s="6" t="s">
        <v>5241</v>
      </c>
    </row>
    <row r="2805" ht="22" customHeight="1" spans="1:4">
      <c r="A2805" s="6" t="s">
        <v>5041</v>
      </c>
      <c r="B2805" s="6" t="s">
        <v>5242</v>
      </c>
      <c r="C2805" s="6" t="s">
        <v>1599</v>
      </c>
      <c r="D2805" s="6" t="s">
        <v>5243</v>
      </c>
    </row>
    <row r="2806" ht="22" customHeight="1" spans="1:4">
      <c r="A2806" s="6" t="s">
        <v>5041</v>
      </c>
      <c r="B2806" s="6" t="s">
        <v>5244</v>
      </c>
      <c r="C2806" s="6" t="s">
        <v>1599</v>
      </c>
      <c r="D2806" s="6" t="s">
        <v>5223</v>
      </c>
    </row>
    <row r="2807" ht="22" customHeight="1" spans="1:4">
      <c r="A2807" s="6" t="s">
        <v>5041</v>
      </c>
      <c r="B2807" s="6" t="s">
        <v>5245</v>
      </c>
      <c r="C2807" s="6" t="s">
        <v>1599</v>
      </c>
      <c r="D2807" s="6" t="s">
        <v>5225</v>
      </c>
    </row>
    <row r="2808" ht="22" customHeight="1" spans="1:4">
      <c r="A2808" s="6" t="s">
        <v>5041</v>
      </c>
      <c r="B2808" s="6" t="s">
        <v>5246</v>
      </c>
      <c r="C2808" s="6" t="s">
        <v>1570</v>
      </c>
      <c r="D2808" s="6" t="s">
        <v>1571</v>
      </c>
    </row>
    <row r="2809" ht="22" customHeight="1" spans="1:4">
      <c r="A2809" s="6" t="s">
        <v>5041</v>
      </c>
      <c r="B2809" s="6" t="s">
        <v>5247</v>
      </c>
      <c r="C2809" s="6" t="s">
        <v>1599</v>
      </c>
      <c r="D2809" s="6" t="s">
        <v>4499</v>
      </c>
    </row>
    <row r="2810" ht="22" customHeight="1" spans="1:4">
      <c r="A2810" s="6" t="s">
        <v>5041</v>
      </c>
      <c r="B2810" s="6" t="s">
        <v>5248</v>
      </c>
      <c r="C2810" s="6" t="s">
        <v>1599</v>
      </c>
      <c r="D2810" s="6" t="s">
        <v>4502</v>
      </c>
    </row>
    <row r="2811" ht="22" customHeight="1" spans="1:4">
      <c r="A2811" s="6" t="s">
        <v>5041</v>
      </c>
      <c r="B2811" s="6" t="s">
        <v>5249</v>
      </c>
      <c r="C2811" s="6" t="s">
        <v>1599</v>
      </c>
      <c r="D2811" s="6" t="s">
        <v>5250</v>
      </c>
    </row>
    <row r="2812" ht="22" customHeight="1" spans="1:4">
      <c r="A2812" s="6" t="s">
        <v>5041</v>
      </c>
      <c r="B2812" s="6" t="s">
        <v>5251</v>
      </c>
      <c r="C2812" s="6" t="s">
        <v>1599</v>
      </c>
      <c r="D2812" s="6" t="s">
        <v>5252</v>
      </c>
    </row>
    <row r="2813" ht="22" customHeight="1" spans="1:4">
      <c r="A2813" s="6" t="s">
        <v>5041</v>
      </c>
      <c r="B2813" s="6" t="s">
        <v>5253</v>
      </c>
      <c r="C2813" s="6" t="s">
        <v>1599</v>
      </c>
      <c r="D2813" s="6" t="s">
        <v>5072</v>
      </c>
    </row>
    <row r="2814" ht="22" customHeight="1" spans="1:4">
      <c r="A2814" s="6" t="s">
        <v>5041</v>
      </c>
      <c r="B2814" s="6" t="s">
        <v>5254</v>
      </c>
      <c r="C2814" s="6" t="s">
        <v>1599</v>
      </c>
      <c r="D2814" s="6" t="s">
        <v>5074</v>
      </c>
    </row>
    <row r="2815" ht="22" customHeight="1" spans="1:4">
      <c r="A2815" s="6" t="s">
        <v>5041</v>
      </c>
      <c r="B2815" s="6" t="s">
        <v>5255</v>
      </c>
      <c r="C2815" s="6" t="s">
        <v>1570</v>
      </c>
      <c r="D2815" s="6" t="s">
        <v>1571</v>
      </c>
    </row>
    <row r="2816" ht="22" customHeight="1" spans="1:4">
      <c r="A2816" s="6" t="s">
        <v>5041</v>
      </c>
      <c r="B2816" s="6" t="s">
        <v>5256</v>
      </c>
      <c r="C2816" s="6" t="s">
        <v>1599</v>
      </c>
      <c r="D2816" s="6" t="s">
        <v>4507</v>
      </c>
    </row>
    <row r="2817" ht="22" customHeight="1" spans="1:4">
      <c r="A2817" s="6" t="s">
        <v>5041</v>
      </c>
      <c r="B2817" s="6" t="s">
        <v>5257</v>
      </c>
      <c r="C2817" s="6" t="s">
        <v>1599</v>
      </c>
      <c r="D2817" s="6" t="s">
        <v>4513</v>
      </c>
    </row>
    <row r="2818" ht="22" customHeight="1" spans="1:4">
      <c r="A2818" s="6" t="s">
        <v>5041</v>
      </c>
      <c r="B2818" s="6" t="s">
        <v>5258</v>
      </c>
      <c r="C2818" s="6" t="s">
        <v>1599</v>
      </c>
      <c r="D2818" s="6" t="s">
        <v>5259</v>
      </c>
    </row>
    <row r="2819" ht="22" customHeight="1" spans="1:4">
      <c r="A2819" s="6" t="s">
        <v>5041</v>
      </c>
      <c r="B2819" s="6" t="s">
        <v>5260</v>
      </c>
      <c r="C2819" s="6" t="s">
        <v>1599</v>
      </c>
      <c r="D2819" s="6" t="s">
        <v>5261</v>
      </c>
    </row>
    <row r="2820" ht="22" customHeight="1" spans="1:4">
      <c r="A2820" s="6" t="s">
        <v>5041</v>
      </c>
      <c r="B2820" s="6" t="s">
        <v>5262</v>
      </c>
      <c r="C2820" s="6" t="s">
        <v>1599</v>
      </c>
      <c r="D2820" s="6" t="s">
        <v>5114</v>
      </c>
    </row>
    <row r="2821" ht="22" customHeight="1" spans="1:4">
      <c r="A2821" s="6" t="s">
        <v>5041</v>
      </c>
      <c r="B2821" s="6" t="s">
        <v>5263</v>
      </c>
      <c r="C2821" s="6" t="s">
        <v>1599</v>
      </c>
      <c r="D2821" s="6" t="s">
        <v>5116</v>
      </c>
    </row>
    <row r="2822" ht="22" customHeight="1" spans="1:4">
      <c r="A2822" s="6" t="s">
        <v>5041</v>
      </c>
      <c r="B2822" s="6" t="s">
        <v>5264</v>
      </c>
      <c r="C2822" s="6" t="s">
        <v>1570</v>
      </c>
      <c r="D2822" s="6" t="s">
        <v>1571</v>
      </c>
    </row>
    <row r="2823" ht="22" customHeight="1" spans="1:4">
      <c r="A2823" s="6" t="s">
        <v>5041</v>
      </c>
      <c r="B2823" s="6" t="s">
        <v>5265</v>
      </c>
      <c r="C2823" s="6" t="s">
        <v>1599</v>
      </c>
      <c r="D2823" s="6" t="s">
        <v>4518</v>
      </c>
    </row>
    <row r="2824" ht="22" customHeight="1" spans="1:4">
      <c r="A2824" s="6" t="s">
        <v>5041</v>
      </c>
      <c r="B2824" s="6" t="s">
        <v>5266</v>
      </c>
      <c r="C2824" s="6" t="s">
        <v>1599</v>
      </c>
      <c r="D2824" s="6" t="s">
        <v>4525</v>
      </c>
    </row>
    <row r="2825" ht="22" customHeight="1" spans="1:4">
      <c r="A2825" s="6" t="s">
        <v>5041</v>
      </c>
      <c r="B2825" s="6" t="s">
        <v>5267</v>
      </c>
      <c r="C2825" s="6" t="s">
        <v>1599</v>
      </c>
      <c r="D2825" s="6" t="s">
        <v>5268</v>
      </c>
    </row>
    <row r="2826" ht="22" customHeight="1" spans="1:4">
      <c r="A2826" s="6" t="s">
        <v>5041</v>
      </c>
      <c r="B2826" s="6" t="s">
        <v>5269</v>
      </c>
      <c r="C2826" s="6" t="s">
        <v>1599</v>
      </c>
      <c r="D2826" s="6" t="s">
        <v>5270</v>
      </c>
    </row>
    <row r="2827" ht="22" customHeight="1" spans="1:4">
      <c r="A2827" s="6" t="s">
        <v>5041</v>
      </c>
      <c r="B2827" s="6" t="s">
        <v>5271</v>
      </c>
      <c r="C2827" s="6" t="s">
        <v>1599</v>
      </c>
      <c r="D2827" s="6" t="s">
        <v>5114</v>
      </c>
    </row>
    <row r="2828" ht="22" customHeight="1" spans="1:4">
      <c r="A2828" s="6" t="s">
        <v>5041</v>
      </c>
      <c r="B2828" s="6" t="s">
        <v>5272</v>
      </c>
      <c r="C2828" s="6" t="s">
        <v>1599</v>
      </c>
      <c r="D2828" s="6" t="s">
        <v>5116</v>
      </c>
    </row>
    <row r="2829" ht="22" customHeight="1" spans="1:4">
      <c r="A2829" s="6" t="s">
        <v>5041</v>
      </c>
      <c r="B2829" s="6" t="s">
        <v>5273</v>
      </c>
      <c r="C2829" s="6" t="s">
        <v>1570</v>
      </c>
      <c r="D2829" s="6" t="s">
        <v>1571</v>
      </c>
    </row>
    <row r="2830" ht="22" customHeight="1" spans="1:4">
      <c r="A2830" s="6" t="s">
        <v>5041</v>
      </c>
      <c r="B2830" s="6" t="s">
        <v>5274</v>
      </c>
      <c r="C2830" s="6" t="s">
        <v>1599</v>
      </c>
      <c r="D2830" s="6" t="s">
        <v>4530</v>
      </c>
    </row>
    <row r="2831" ht="22" customHeight="1" spans="1:4">
      <c r="A2831" s="6" t="s">
        <v>5041</v>
      </c>
      <c r="B2831" s="6" t="s">
        <v>5275</v>
      </c>
      <c r="C2831" s="6" t="s">
        <v>1599</v>
      </c>
      <c r="D2831" s="6" t="s">
        <v>4536</v>
      </c>
    </row>
    <row r="2832" ht="22" customHeight="1" spans="1:4">
      <c r="A2832" s="6" t="s">
        <v>5041</v>
      </c>
      <c r="B2832" s="6" t="s">
        <v>5276</v>
      </c>
      <c r="C2832" s="6" t="s">
        <v>1599</v>
      </c>
      <c r="D2832" s="6" t="s">
        <v>5277</v>
      </c>
    </row>
    <row r="2833" ht="22" customHeight="1" spans="1:4">
      <c r="A2833" s="6" t="s">
        <v>5041</v>
      </c>
      <c r="B2833" s="6" t="s">
        <v>5278</v>
      </c>
      <c r="C2833" s="6" t="s">
        <v>1599</v>
      </c>
      <c r="D2833" s="6" t="s">
        <v>5279</v>
      </c>
    </row>
    <row r="2834" ht="22" customHeight="1" spans="1:4">
      <c r="A2834" s="6" t="s">
        <v>5041</v>
      </c>
      <c r="B2834" s="6" t="s">
        <v>5280</v>
      </c>
      <c r="C2834" s="6" t="s">
        <v>1599</v>
      </c>
      <c r="D2834" s="6" t="s">
        <v>5114</v>
      </c>
    </row>
    <row r="2835" ht="22" customHeight="1" spans="1:4">
      <c r="A2835" s="6" t="s">
        <v>5041</v>
      </c>
      <c r="B2835" s="6" t="s">
        <v>5281</v>
      </c>
      <c r="C2835" s="6" t="s">
        <v>1599</v>
      </c>
      <c r="D2835" s="6" t="s">
        <v>5116</v>
      </c>
    </row>
    <row r="2836" ht="22" customHeight="1" spans="1:4">
      <c r="A2836" s="6" t="s">
        <v>5041</v>
      </c>
      <c r="B2836" s="6" t="s">
        <v>5282</v>
      </c>
      <c r="C2836" s="6" t="s">
        <v>1570</v>
      </c>
      <c r="D2836" s="6" t="s">
        <v>1571</v>
      </c>
    </row>
    <row r="2837" ht="22" customHeight="1" spans="1:4">
      <c r="A2837" s="6" t="s">
        <v>5041</v>
      </c>
      <c r="B2837" s="6" t="s">
        <v>5283</v>
      </c>
      <c r="C2837" s="6" t="s">
        <v>1599</v>
      </c>
      <c r="D2837" s="6" t="s">
        <v>4541</v>
      </c>
    </row>
    <row r="2838" ht="22" customHeight="1" spans="1:4">
      <c r="A2838" s="6" t="s">
        <v>5041</v>
      </c>
      <c r="B2838" s="6" t="s">
        <v>5284</v>
      </c>
      <c r="C2838" s="6" t="s">
        <v>1599</v>
      </c>
      <c r="D2838" s="6" t="s">
        <v>4545</v>
      </c>
    </row>
    <row r="2839" ht="22" customHeight="1" spans="1:4">
      <c r="A2839" s="6" t="s">
        <v>5041</v>
      </c>
      <c r="B2839" s="6" t="s">
        <v>5285</v>
      </c>
      <c r="C2839" s="6" t="s">
        <v>1599</v>
      </c>
      <c r="D2839" s="6" t="s">
        <v>5286</v>
      </c>
    </row>
    <row r="2840" ht="22" customHeight="1" spans="1:4">
      <c r="A2840" s="6" t="s">
        <v>5041</v>
      </c>
      <c r="B2840" s="6" t="s">
        <v>5287</v>
      </c>
      <c r="C2840" s="6" t="s">
        <v>1599</v>
      </c>
      <c r="D2840" s="6" t="s">
        <v>5288</v>
      </c>
    </row>
    <row r="2841" ht="22" customHeight="1" spans="1:4">
      <c r="A2841" s="6" t="s">
        <v>5041</v>
      </c>
      <c r="B2841" s="6" t="s">
        <v>5289</v>
      </c>
      <c r="C2841" s="6" t="s">
        <v>1599</v>
      </c>
      <c r="D2841" s="6" t="s">
        <v>5114</v>
      </c>
    </row>
    <row r="2842" ht="22" customHeight="1" spans="1:4">
      <c r="A2842" s="6" t="s">
        <v>5041</v>
      </c>
      <c r="B2842" s="6" t="s">
        <v>5290</v>
      </c>
      <c r="C2842" s="6" t="s">
        <v>1599</v>
      </c>
      <c r="D2842" s="6" t="s">
        <v>5116</v>
      </c>
    </row>
    <row r="2843" ht="22" customHeight="1" spans="1:4">
      <c r="A2843" s="6" t="s">
        <v>5041</v>
      </c>
      <c r="B2843" s="6" t="s">
        <v>4546</v>
      </c>
      <c r="C2843" s="6" t="s">
        <v>1570</v>
      </c>
      <c r="D2843" s="6" t="s">
        <v>1571</v>
      </c>
    </row>
    <row r="2844" ht="22" customHeight="1" spans="1:4">
      <c r="A2844" s="6" t="s">
        <v>5041</v>
      </c>
      <c r="B2844" s="6" t="s">
        <v>5291</v>
      </c>
      <c r="C2844" s="6" t="s">
        <v>1570</v>
      </c>
      <c r="D2844" s="6" t="s">
        <v>1571</v>
      </c>
    </row>
    <row r="2845" ht="22" customHeight="1" spans="1:4">
      <c r="A2845" s="6" t="s">
        <v>5041</v>
      </c>
      <c r="B2845" s="6" t="s">
        <v>5292</v>
      </c>
      <c r="C2845" s="6" t="s">
        <v>1599</v>
      </c>
      <c r="D2845" s="6" t="s">
        <v>5293</v>
      </c>
    </row>
    <row r="2846" ht="22" customHeight="1" spans="1:4">
      <c r="A2846" s="6" t="s">
        <v>5041</v>
      </c>
      <c r="B2846" s="6" t="s">
        <v>5294</v>
      </c>
      <c r="C2846" s="6" t="s">
        <v>1599</v>
      </c>
      <c r="D2846" s="6" t="s">
        <v>5295</v>
      </c>
    </row>
    <row r="2847" ht="22" customHeight="1" spans="1:4">
      <c r="A2847" s="6" t="s">
        <v>5041</v>
      </c>
      <c r="B2847" s="6" t="s">
        <v>5296</v>
      </c>
      <c r="C2847" s="6" t="s">
        <v>1599</v>
      </c>
      <c r="D2847" s="6" t="s">
        <v>5297</v>
      </c>
    </row>
    <row r="2848" ht="22" customHeight="1" spans="1:4">
      <c r="A2848" s="6" t="s">
        <v>5041</v>
      </c>
      <c r="B2848" s="6" t="s">
        <v>5298</v>
      </c>
      <c r="C2848" s="6" t="s">
        <v>1599</v>
      </c>
      <c r="D2848" s="6" t="s">
        <v>5299</v>
      </c>
    </row>
    <row r="2849" ht="22" customHeight="1" spans="1:4">
      <c r="A2849" s="6" t="s">
        <v>5041</v>
      </c>
      <c r="B2849" s="6" t="s">
        <v>5300</v>
      </c>
      <c r="C2849" s="6" t="s">
        <v>1599</v>
      </c>
      <c r="D2849" s="6" t="s">
        <v>5301</v>
      </c>
    </row>
    <row r="2850" ht="22" customHeight="1" spans="1:4">
      <c r="A2850" s="6" t="s">
        <v>5041</v>
      </c>
      <c r="B2850" s="6" t="s">
        <v>5302</v>
      </c>
      <c r="C2850" s="6" t="s">
        <v>1599</v>
      </c>
      <c r="D2850" s="6" t="s">
        <v>5303</v>
      </c>
    </row>
    <row r="2851" ht="22" customHeight="1" spans="1:4">
      <c r="A2851" s="6" t="s">
        <v>5041</v>
      </c>
      <c r="B2851" s="6" t="s">
        <v>5304</v>
      </c>
      <c r="C2851" s="6" t="s">
        <v>1570</v>
      </c>
      <c r="D2851" s="6" t="s">
        <v>1571</v>
      </c>
    </row>
    <row r="2852" ht="22" customHeight="1" spans="1:4">
      <c r="A2852" s="6" t="s">
        <v>5041</v>
      </c>
      <c r="B2852" s="6" t="s">
        <v>5305</v>
      </c>
      <c r="C2852" s="6" t="s">
        <v>1599</v>
      </c>
      <c r="D2852" s="6" t="s">
        <v>5306</v>
      </c>
    </row>
    <row r="2853" ht="22" customHeight="1" spans="1:4">
      <c r="A2853" s="6" t="s">
        <v>5041</v>
      </c>
      <c r="B2853" s="6" t="s">
        <v>5307</v>
      </c>
      <c r="C2853" s="6" t="s">
        <v>1599</v>
      </c>
      <c r="D2853" s="6" t="s">
        <v>5308</v>
      </c>
    </row>
    <row r="2854" ht="22" customHeight="1" spans="1:4">
      <c r="A2854" s="6" t="s">
        <v>5041</v>
      </c>
      <c r="B2854" s="6" t="s">
        <v>5309</v>
      </c>
      <c r="C2854" s="6" t="s">
        <v>1599</v>
      </c>
      <c r="D2854" s="6" t="s">
        <v>5310</v>
      </c>
    </row>
    <row r="2855" ht="22" customHeight="1" spans="1:4">
      <c r="A2855" s="6" t="s">
        <v>5041</v>
      </c>
      <c r="B2855" s="6" t="s">
        <v>5311</v>
      </c>
      <c r="C2855" s="6" t="s">
        <v>1599</v>
      </c>
      <c r="D2855" s="6" t="s">
        <v>5312</v>
      </c>
    </row>
    <row r="2856" ht="22" customHeight="1" spans="1:4">
      <c r="A2856" s="6" t="s">
        <v>5041</v>
      </c>
      <c r="B2856" s="6" t="s">
        <v>5313</v>
      </c>
      <c r="C2856" s="6" t="s">
        <v>1599</v>
      </c>
      <c r="D2856" s="6" t="s">
        <v>5314</v>
      </c>
    </row>
    <row r="2857" ht="22" customHeight="1" spans="1:4">
      <c r="A2857" s="6" t="s">
        <v>5041</v>
      </c>
      <c r="B2857" s="6" t="s">
        <v>5315</v>
      </c>
      <c r="C2857" s="6" t="s">
        <v>1599</v>
      </c>
      <c r="D2857" s="6" t="s">
        <v>5316</v>
      </c>
    </row>
    <row r="2858" ht="22" customHeight="1" spans="1:4">
      <c r="A2858" s="6" t="s">
        <v>5041</v>
      </c>
      <c r="B2858" s="6" t="s">
        <v>5317</v>
      </c>
      <c r="C2858" s="6" t="s">
        <v>1570</v>
      </c>
      <c r="D2858" s="6" t="s">
        <v>1571</v>
      </c>
    </row>
    <row r="2859" ht="22" customHeight="1" spans="1:4">
      <c r="A2859" s="6" t="s">
        <v>5041</v>
      </c>
      <c r="B2859" s="6" t="s">
        <v>5318</v>
      </c>
      <c r="C2859" s="6" t="s">
        <v>1599</v>
      </c>
      <c r="D2859" s="6" t="s">
        <v>5319</v>
      </c>
    </row>
    <row r="2860" ht="22" customHeight="1" spans="1:4">
      <c r="A2860" s="6" t="s">
        <v>5041</v>
      </c>
      <c r="B2860" s="6" t="s">
        <v>5320</v>
      </c>
      <c r="C2860" s="6" t="s">
        <v>1599</v>
      </c>
      <c r="D2860" s="6" t="s">
        <v>5321</v>
      </c>
    </row>
    <row r="2861" ht="22" customHeight="1" spans="1:4">
      <c r="A2861" s="6" t="s">
        <v>5041</v>
      </c>
      <c r="B2861" s="6" t="s">
        <v>5322</v>
      </c>
      <c r="C2861" s="6" t="s">
        <v>1599</v>
      </c>
      <c r="D2861" s="6" t="s">
        <v>5323</v>
      </c>
    </row>
    <row r="2862" ht="22" customHeight="1" spans="1:4">
      <c r="A2862" s="6" t="s">
        <v>5041</v>
      </c>
      <c r="B2862" s="6" t="s">
        <v>5324</v>
      </c>
      <c r="C2862" s="6" t="s">
        <v>1599</v>
      </c>
      <c r="D2862" s="6" t="s">
        <v>5325</v>
      </c>
    </row>
    <row r="2863" ht="22" customHeight="1" spans="1:4">
      <c r="A2863" s="6" t="s">
        <v>5041</v>
      </c>
      <c r="B2863" s="6" t="s">
        <v>5326</v>
      </c>
      <c r="C2863" s="6" t="s">
        <v>1599</v>
      </c>
      <c r="D2863" s="6" t="s">
        <v>5327</v>
      </c>
    </row>
    <row r="2864" ht="22" customHeight="1" spans="1:4">
      <c r="A2864" s="6" t="s">
        <v>5041</v>
      </c>
      <c r="B2864" s="6" t="s">
        <v>5328</v>
      </c>
      <c r="C2864" s="6" t="s">
        <v>1599</v>
      </c>
      <c r="D2864" s="6" t="s">
        <v>5329</v>
      </c>
    </row>
    <row r="2865" ht="22" customHeight="1" spans="1:4">
      <c r="A2865" s="6" t="s">
        <v>5041</v>
      </c>
      <c r="B2865" s="6" t="s">
        <v>5330</v>
      </c>
      <c r="C2865" s="6" t="s">
        <v>1570</v>
      </c>
      <c r="D2865" s="6" t="s">
        <v>1571</v>
      </c>
    </row>
    <row r="2866" ht="22" customHeight="1" spans="1:4">
      <c r="A2866" s="6" t="s">
        <v>5041</v>
      </c>
      <c r="B2866" s="6" t="s">
        <v>5331</v>
      </c>
      <c r="C2866" s="6" t="s">
        <v>1599</v>
      </c>
      <c r="D2866" s="6" t="s">
        <v>5332</v>
      </c>
    </row>
    <row r="2867" ht="22" customHeight="1" spans="1:4">
      <c r="A2867" s="6" t="s">
        <v>5041</v>
      </c>
      <c r="B2867" s="6" t="s">
        <v>5333</v>
      </c>
      <c r="C2867" s="6" t="s">
        <v>1599</v>
      </c>
      <c r="D2867" s="6" t="s">
        <v>5334</v>
      </c>
    </row>
    <row r="2868" ht="22" customHeight="1" spans="1:4">
      <c r="A2868" s="6" t="s">
        <v>5041</v>
      </c>
      <c r="B2868" s="6" t="s">
        <v>5335</v>
      </c>
      <c r="C2868" s="6" t="s">
        <v>1599</v>
      </c>
      <c r="D2868" s="6" t="s">
        <v>5336</v>
      </c>
    </row>
    <row r="2869" ht="22" customHeight="1" spans="1:4">
      <c r="A2869" s="6" t="s">
        <v>5041</v>
      </c>
      <c r="B2869" s="6" t="s">
        <v>5337</v>
      </c>
      <c r="C2869" s="6" t="s">
        <v>1599</v>
      </c>
      <c r="D2869" s="6" t="s">
        <v>5338</v>
      </c>
    </row>
    <row r="2870" ht="22" customHeight="1" spans="1:4">
      <c r="A2870" s="6" t="s">
        <v>5041</v>
      </c>
      <c r="B2870" s="6" t="s">
        <v>5339</v>
      </c>
      <c r="C2870" s="6" t="s">
        <v>1599</v>
      </c>
      <c r="D2870" s="6" t="s">
        <v>5340</v>
      </c>
    </row>
    <row r="2871" ht="22" customHeight="1" spans="1:4">
      <c r="A2871" s="6" t="s">
        <v>5041</v>
      </c>
      <c r="B2871" s="6" t="s">
        <v>5341</v>
      </c>
      <c r="C2871" s="6" t="s">
        <v>1599</v>
      </c>
      <c r="D2871" s="6" t="s">
        <v>5342</v>
      </c>
    </row>
    <row r="2872" ht="22" customHeight="1" spans="1:4">
      <c r="A2872" s="6" t="s">
        <v>5041</v>
      </c>
      <c r="B2872" s="6" t="s">
        <v>5343</v>
      </c>
      <c r="C2872" s="6" t="s">
        <v>1570</v>
      </c>
      <c r="D2872" s="6" t="s">
        <v>1571</v>
      </c>
    </row>
    <row r="2873" ht="22" customHeight="1" spans="1:4">
      <c r="A2873" s="6" t="s">
        <v>5041</v>
      </c>
      <c r="B2873" s="6" t="s">
        <v>5344</v>
      </c>
      <c r="C2873" s="6" t="s">
        <v>1599</v>
      </c>
      <c r="D2873" s="6" t="s">
        <v>5345</v>
      </c>
    </row>
    <row r="2874" ht="22" customHeight="1" spans="1:4">
      <c r="A2874" s="6" t="s">
        <v>5041</v>
      </c>
      <c r="B2874" s="6" t="s">
        <v>5346</v>
      </c>
      <c r="C2874" s="6" t="s">
        <v>1599</v>
      </c>
      <c r="D2874" s="6" t="s">
        <v>5347</v>
      </c>
    </row>
    <row r="2875" ht="22" customHeight="1" spans="1:4">
      <c r="A2875" s="6" t="s">
        <v>5041</v>
      </c>
      <c r="B2875" s="6" t="s">
        <v>5348</v>
      </c>
      <c r="C2875" s="6" t="s">
        <v>1599</v>
      </c>
      <c r="D2875" s="6" t="s">
        <v>5349</v>
      </c>
    </row>
    <row r="2876" ht="22" customHeight="1" spans="1:4">
      <c r="A2876" s="6" t="s">
        <v>5041</v>
      </c>
      <c r="B2876" s="6" t="s">
        <v>5350</v>
      </c>
      <c r="C2876" s="6" t="s">
        <v>1599</v>
      </c>
      <c r="D2876" s="6" t="s">
        <v>5351</v>
      </c>
    </row>
    <row r="2877" ht="22" customHeight="1" spans="1:4">
      <c r="A2877" s="6" t="s">
        <v>5041</v>
      </c>
      <c r="B2877" s="6" t="s">
        <v>5352</v>
      </c>
      <c r="C2877" s="6" t="s">
        <v>1599</v>
      </c>
      <c r="D2877" s="6" t="s">
        <v>5353</v>
      </c>
    </row>
    <row r="2878" ht="22" customHeight="1" spans="1:4">
      <c r="A2878" s="6" t="s">
        <v>5041</v>
      </c>
      <c r="B2878" s="6" t="s">
        <v>5354</v>
      </c>
      <c r="C2878" s="6" t="s">
        <v>1599</v>
      </c>
      <c r="D2878" s="6" t="s">
        <v>5355</v>
      </c>
    </row>
    <row r="2879" ht="22" customHeight="1" spans="1:4">
      <c r="A2879" s="6" t="s">
        <v>5041</v>
      </c>
      <c r="B2879" s="6" t="s">
        <v>5356</v>
      </c>
      <c r="C2879" s="6" t="s">
        <v>1570</v>
      </c>
      <c r="D2879" s="6" t="s">
        <v>1571</v>
      </c>
    </row>
    <row r="2880" ht="22" customHeight="1" spans="1:4">
      <c r="A2880" s="6" t="s">
        <v>5041</v>
      </c>
      <c r="B2880" s="6" t="s">
        <v>5357</v>
      </c>
      <c r="C2880" s="6" t="s">
        <v>1599</v>
      </c>
      <c r="D2880" s="6" t="s">
        <v>5358</v>
      </c>
    </row>
    <row r="2881" ht="22" customHeight="1" spans="1:4">
      <c r="A2881" s="6" t="s">
        <v>5041</v>
      </c>
      <c r="B2881" s="6" t="s">
        <v>5359</v>
      </c>
      <c r="C2881" s="6" t="s">
        <v>1599</v>
      </c>
      <c r="D2881" s="6" t="s">
        <v>5360</v>
      </c>
    </row>
    <row r="2882" ht="22" customHeight="1" spans="1:4">
      <c r="A2882" s="6" t="s">
        <v>5041</v>
      </c>
      <c r="B2882" s="6" t="s">
        <v>5361</v>
      </c>
      <c r="C2882" s="6" t="s">
        <v>1599</v>
      </c>
      <c r="D2882" s="6" t="s">
        <v>5362</v>
      </c>
    </row>
    <row r="2883" ht="22" customHeight="1" spans="1:4">
      <c r="A2883" s="6" t="s">
        <v>5041</v>
      </c>
      <c r="B2883" s="6" t="s">
        <v>5363</v>
      </c>
      <c r="C2883" s="6" t="s">
        <v>1599</v>
      </c>
      <c r="D2883" s="6" t="s">
        <v>5364</v>
      </c>
    </row>
    <row r="2884" ht="22" customHeight="1" spans="1:4">
      <c r="A2884" s="6" t="s">
        <v>5041</v>
      </c>
      <c r="B2884" s="6" t="s">
        <v>5365</v>
      </c>
      <c r="C2884" s="6" t="s">
        <v>1599</v>
      </c>
      <c r="D2884" s="6" t="s">
        <v>5366</v>
      </c>
    </row>
    <row r="2885" ht="22" customHeight="1" spans="1:4">
      <c r="A2885" s="6" t="s">
        <v>5041</v>
      </c>
      <c r="B2885" s="6" t="s">
        <v>5367</v>
      </c>
      <c r="C2885" s="6" t="s">
        <v>1599</v>
      </c>
      <c r="D2885" s="6" t="s">
        <v>5368</v>
      </c>
    </row>
    <row r="2886" ht="22" customHeight="1" spans="1:4">
      <c r="A2886" s="6" t="s">
        <v>5041</v>
      </c>
      <c r="B2886" s="6" t="s">
        <v>5369</v>
      </c>
      <c r="C2886" s="6" t="s">
        <v>1570</v>
      </c>
      <c r="D2886" s="6" t="s">
        <v>1571</v>
      </c>
    </row>
    <row r="2887" ht="22" customHeight="1" spans="1:4">
      <c r="A2887" s="6" t="s">
        <v>5041</v>
      </c>
      <c r="B2887" s="6" t="s">
        <v>5370</v>
      </c>
      <c r="C2887" s="6" t="s">
        <v>1599</v>
      </c>
      <c r="D2887" s="6" t="s">
        <v>5371</v>
      </c>
    </row>
    <row r="2888" ht="22" customHeight="1" spans="1:4">
      <c r="A2888" s="6" t="s">
        <v>5041</v>
      </c>
      <c r="B2888" s="6" t="s">
        <v>5372</v>
      </c>
      <c r="C2888" s="6" t="s">
        <v>1599</v>
      </c>
      <c r="D2888" s="6" t="s">
        <v>5373</v>
      </c>
    </row>
    <row r="2889" ht="22" customHeight="1" spans="1:4">
      <c r="A2889" s="6" t="s">
        <v>5041</v>
      </c>
      <c r="B2889" s="6" t="s">
        <v>5374</v>
      </c>
      <c r="C2889" s="6" t="s">
        <v>1599</v>
      </c>
      <c r="D2889" s="6" t="s">
        <v>5375</v>
      </c>
    </row>
    <row r="2890" ht="22" customHeight="1" spans="1:4">
      <c r="A2890" s="6" t="s">
        <v>5041</v>
      </c>
      <c r="B2890" s="6" t="s">
        <v>5376</v>
      </c>
      <c r="C2890" s="6" t="s">
        <v>1599</v>
      </c>
      <c r="D2890" s="6" t="s">
        <v>5377</v>
      </c>
    </row>
    <row r="2891" ht="22" customHeight="1" spans="1:4">
      <c r="A2891" s="6" t="s">
        <v>5041</v>
      </c>
      <c r="B2891" s="6" t="s">
        <v>5378</v>
      </c>
      <c r="C2891" s="6" t="s">
        <v>1599</v>
      </c>
      <c r="D2891" s="6" t="s">
        <v>5379</v>
      </c>
    </row>
    <row r="2892" ht="22" customHeight="1" spans="1:4">
      <c r="A2892" s="6" t="s">
        <v>5041</v>
      </c>
      <c r="B2892" s="6" t="s">
        <v>5380</v>
      </c>
      <c r="C2892" s="6" t="s">
        <v>1599</v>
      </c>
      <c r="D2892" s="6" t="s">
        <v>5381</v>
      </c>
    </row>
    <row r="2893" ht="22" customHeight="1" spans="1:4">
      <c r="A2893" s="6" t="s">
        <v>5041</v>
      </c>
      <c r="B2893" s="6" t="s">
        <v>5382</v>
      </c>
      <c r="C2893" s="6" t="s">
        <v>1570</v>
      </c>
      <c r="D2893" s="6" t="s">
        <v>1571</v>
      </c>
    </row>
    <row r="2894" ht="22" customHeight="1" spans="1:4">
      <c r="A2894" s="6" t="s">
        <v>5041</v>
      </c>
      <c r="B2894" s="6" t="s">
        <v>5383</v>
      </c>
      <c r="C2894" s="6" t="s">
        <v>1599</v>
      </c>
      <c r="D2894" s="6" t="s">
        <v>5384</v>
      </c>
    </row>
    <row r="2895" ht="22" customHeight="1" spans="1:4">
      <c r="A2895" s="6" t="s">
        <v>5041</v>
      </c>
      <c r="B2895" s="6" t="s">
        <v>5385</v>
      </c>
      <c r="C2895" s="6" t="s">
        <v>1599</v>
      </c>
      <c r="D2895" s="6" t="s">
        <v>5386</v>
      </c>
    </row>
    <row r="2896" ht="22" customHeight="1" spans="1:4">
      <c r="A2896" s="6" t="s">
        <v>5041</v>
      </c>
      <c r="B2896" s="6" t="s">
        <v>5387</v>
      </c>
      <c r="C2896" s="6" t="s">
        <v>1599</v>
      </c>
      <c r="D2896" s="6" t="s">
        <v>5388</v>
      </c>
    </row>
    <row r="2897" ht="22" customHeight="1" spans="1:4">
      <c r="A2897" s="6" t="s">
        <v>5041</v>
      </c>
      <c r="B2897" s="6" t="s">
        <v>5389</v>
      </c>
      <c r="C2897" s="6" t="s">
        <v>1599</v>
      </c>
      <c r="D2897" s="6" t="s">
        <v>5390</v>
      </c>
    </row>
    <row r="2898" ht="22" customHeight="1" spans="1:4">
      <c r="A2898" s="6" t="s">
        <v>5041</v>
      </c>
      <c r="B2898" s="6" t="s">
        <v>5391</v>
      </c>
      <c r="C2898" s="6" t="s">
        <v>1599</v>
      </c>
      <c r="D2898" s="6" t="s">
        <v>5392</v>
      </c>
    </row>
    <row r="2899" ht="22" customHeight="1" spans="1:4">
      <c r="A2899" s="6" t="s">
        <v>5041</v>
      </c>
      <c r="B2899" s="6" t="s">
        <v>5393</v>
      </c>
      <c r="C2899" s="6" t="s">
        <v>1599</v>
      </c>
      <c r="D2899" s="6" t="s">
        <v>5394</v>
      </c>
    </row>
    <row r="2900" ht="22" customHeight="1" spans="1:4">
      <c r="A2900" s="6" t="s">
        <v>5041</v>
      </c>
      <c r="B2900" s="6" t="s">
        <v>5395</v>
      </c>
      <c r="C2900" s="6" t="s">
        <v>1570</v>
      </c>
      <c r="D2900" s="6" t="s">
        <v>1571</v>
      </c>
    </row>
    <row r="2901" ht="22" customHeight="1" spans="1:4">
      <c r="A2901" s="6" t="s">
        <v>5041</v>
      </c>
      <c r="B2901" s="6" t="s">
        <v>5396</v>
      </c>
      <c r="C2901" s="6" t="s">
        <v>1599</v>
      </c>
      <c r="D2901" s="6" t="s">
        <v>5397</v>
      </c>
    </row>
    <row r="2902" ht="22" customHeight="1" spans="1:4">
      <c r="A2902" s="6" t="s">
        <v>5041</v>
      </c>
      <c r="B2902" s="6" t="s">
        <v>5398</v>
      </c>
      <c r="C2902" s="6" t="s">
        <v>1599</v>
      </c>
      <c r="D2902" s="6" t="s">
        <v>5399</v>
      </c>
    </row>
    <row r="2903" ht="22" customHeight="1" spans="1:4">
      <c r="A2903" s="6" t="s">
        <v>5041</v>
      </c>
      <c r="B2903" s="6" t="s">
        <v>5400</v>
      </c>
      <c r="C2903" s="6" t="s">
        <v>1599</v>
      </c>
      <c r="D2903" s="6" t="s">
        <v>5401</v>
      </c>
    </row>
    <row r="2904" ht="22" customHeight="1" spans="1:4">
      <c r="A2904" s="6" t="s">
        <v>5041</v>
      </c>
      <c r="B2904" s="6" t="s">
        <v>5402</v>
      </c>
      <c r="C2904" s="6" t="s">
        <v>1599</v>
      </c>
      <c r="D2904" s="6" t="s">
        <v>5403</v>
      </c>
    </row>
    <row r="2905" ht="22" customHeight="1" spans="1:4">
      <c r="A2905" s="6" t="s">
        <v>5041</v>
      </c>
      <c r="B2905" s="6" t="s">
        <v>5404</v>
      </c>
      <c r="C2905" s="6" t="s">
        <v>1599</v>
      </c>
      <c r="D2905" s="6" t="s">
        <v>5405</v>
      </c>
    </row>
    <row r="2906" ht="22" customHeight="1" spans="1:4">
      <c r="A2906" s="6" t="s">
        <v>5041</v>
      </c>
      <c r="B2906" s="6" t="s">
        <v>5406</v>
      </c>
      <c r="C2906" s="6" t="s">
        <v>1599</v>
      </c>
      <c r="D2906" s="6" t="s">
        <v>5407</v>
      </c>
    </row>
    <row r="2907" ht="22" customHeight="1" spans="1:4">
      <c r="A2907" s="6" t="s">
        <v>5041</v>
      </c>
      <c r="B2907" s="6" t="s">
        <v>5408</v>
      </c>
      <c r="C2907" s="6" t="s">
        <v>1570</v>
      </c>
      <c r="D2907" s="6" t="s">
        <v>1571</v>
      </c>
    </row>
    <row r="2908" ht="22" customHeight="1" spans="1:4">
      <c r="A2908" s="6" t="s">
        <v>5041</v>
      </c>
      <c r="B2908" s="6" t="s">
        <v>5409</v>
      </c>
      <c r="C2908" s="6" t="s">
        <v>1599</v>
      </c>
      <c r="D2908" s="6" t="s">
        <v>5410</v>
      </c>
    </row>
    <row r="2909" ht="22" customHeight="1" spans="1:4">
      <c r="A2909" s="6" t="s">
        <v>5041</v>
      </c>
      <c r="B2909" s="6" t="s">
        <v>5411</v>
      </c>
      <c r="C2909" s="6" t="s">
        <v>1599</v>
      </c>
      <c r="D2909" s="6" t="s">
        <v>5412</v>
      </c>
    </row>
    <row r="2910" ht="22" customHeight="1" spans="1:4">
      <c r="A2910" s="6" t="s">
        <v>5041</v>
      </c>
      <c r="B2910" s="6" t="s">
        <v>5413</v>
      </c>
      <c r="C2910" s="6" t="s">
        <v>1599</v>
      </c>
      <c r="D2910" s="6" t="s">
        <v>5414</v>
      </c>
    </row>
    <row r="2911" ht="22" customHeight="1" spans="1:4">
      <c r="A2911" s="6" t="s">
        <v>5041</v>
      </c>
      <c r="B2911" s="6" t="s">
        <v>5415</v>
      </c>
      <c r="C2911" s="6" t="s">
        <v>1599</v>
      </c>
      <c r="D2911" s="6" t="s">
        <v>5416</v>
      </c>
    </row>
    <row r="2912" ht="22" customHeight="1" spans="1:4">
      <c r="A2912" s="6" t="s">
        <v>5041</v>
      </c>
      <c r="B2912" s="6" t="s">
        <v>5417</v>
      </c>
      <c r="C2912" s="6" t="s">
        <v>1599</v>
      </c>
      <c r="D2912" s="6" t="s">
        <v>5418</v>
      </c>
    </row>
    <row r="2913" ht="22" customHeight="1" spans="1:4">
      <c r="A2913" s="6" t="s">
        <v>5041</v>
      </c>
      <c r="B2913" s="6" t="s">
        <v>5419</v>
      </c>
      <c r="C2913" s="6" t="s">
        <v>1599</v>
      </c>
      <c r="D2913" s="6" t="s">
        <v>5420</v>
      </c>
    </row>
    <row r="2914" ht="22" customHeight="1" spans="1:4">
      <c r="A2914" s="6" t="s">
        <v>5041</v>
      </c>
      <c r="B2914" s="6" t="s">
        <v>5421</v>
      </c>
      <c r="C2914" s="6" t="s">
        <v>1570</v>
      </c>
      <c r="D2914" s="6" t="s">
        <v>1571</v>
      </c>
    </row>
    <row r="2915" ht="22" customHeight="1" spans="1:4">
      <c r="A2915" s="6" t="s">
        <v>5041</v>
      </c>
      <c r="B2915" s="6" t="s">
        <v>5422</v>
      </c>
      <c r="C2915" s="6" t="s">
        <v>1599</v>
      </c>
      <c r="D2915" s="6" t="s">
        <v>5423</v>
      </c>
    </row>
    <row r="2916" ht="22" customHeight="1" spans="1:4">
      <c r="A2916" s="6" t="s">
        <v>5041</v>
      </c>
      <c r="B2916" s="6" t="s">
        <v>5424</v>
      </c>
      <c r="C2916" s="6" t="s">
        <v>1599</v>
      </c>
      <c r="D2916" s="6" t="s">
        <v>5425</v>
      </c>
    </row>
    <row r="2917" ht="22" customHeight="1" spans="1:4">
      <c r="A2917" s="6" t="s">
        <v>5041</v>
      </c>
      <c r="B2917" s="6" t="s">
        <v>5426</v>
      </c>
      <c r="C2917" s="6" t="s">
        <v>1599</v>
      </c>
      <c r="D2917" s="6" t="s">
        <v>5427</v>
      </c>
    </row>
    <row r="2918" ht="22" customHeight="1" spans="1:4">
      <c r="A2918" s="6" t="s">
        <v>5041</v>
      </c>
      <c r="B2918" s="6" t="s">
        <v>5428</v>
      </c>
      <c r="C2918" s="6" t="s">
        <v>1599</v>
      </c>
      <c r="D2918" s="6" t="s">
        <v>5429</v>
      </c>
    </row>
    <row r="2919" ht="22" customHeight="1" spans="1:4">
      <c r="A2919" s="6" t="s">
        <v>5041</v>
      </c>
      <c r="B2919" s="6" t="s">
        <v>5430</v>
      </c>
      <c r="C2919" s="6" t="s">
        <v>1599</v>
      </c>
      <c r="D2919" s="6" t="s">
        <v>5431</v>
      </c>
    </row>
    <row r="2920" ht="22" customHeight="1" spans="1:4">
      <c r="A2920" s="6" t="s">
        <v>5041</v>
      </c>
      <c r="B2920" s="6" t="s">
        <v>5432</v>
      </c>
      <c r="C2920" s="6" t="s">
        <v>1599</v>
      </c>
      <c r="D2920" s="6" t="s">
        <v>5433</v>
      </c>
    </row>
    <row r="2921" ht="22" customHeight="1" spans="1:4">
      <c r="A2921" s="6" t="s">
        <v>5041</v>
      </c>
      <c r="B2921" s="6" t="s">
        <v>4298</v>
      </c>
      <c r="C2921" s="6" t="s">
        <v>1570</v>
      </c>
      <c r="D2921" s="6" t="s">
        <v>1571</v>
      </c>
    </row>
    <row r="2922" ht="22" customHeight="1" spans="1:4">
      <c r="A2922" s="6" t="s">
        <v>5041</v>
      </c>
      <c r="B2922" s="6" t="s">
        <v>5434</v>
      </c>
      <c r="C2922" s="6" t="s">
        <v>1570</v>
      </c>
      <c r="D2922" s="6" t="s">
        <v>1571</v>
      </c>
    </row>
    <row r="2923" ht="22" customHeight="1" spans="1:4">
      <c r="A2923" s="6" t="s">
        <v>5041</v>
      </c>
      <c r="B2923" s="6" t="s">
        <v>5435</v>
      </c>
      <c r="C2923" s="6" t="s">
        <v>1599</v>
      </c>
      <c r="D2923" s="6" t="s">
        <v>5436</v>
      </c>
    </row>
    <row r="2924" ht="22" customHeight="1" spans="1:4">
      <c r="A2924" s="6" t="s">
        <v>5041</v>
      </c>
      <c r="B2924" s="6" t="s">
        <v>5437</v>
      </c>
      <c r="C2924" s="6" t="s">
        <v>1599</v>
      </c>
      <c r="D2924" s="6" t="s">
        <v>5438</v>
      </c>
    </row>
    <row r="2925" ht="22" customHeight="1" spans="1:4">
      <c r="A2925" s="6" t="s">
        <v>5041</v>
      </c>
      <c r="B2925" s="6" t="s">
        <v>5439</v>
      </c>
      <c r="C2925" s="6" t="s">
        <v>1599</v>
      </c>
      <c r="D2925" s="6" t="s">
        <v>5440</v>
      </c>
    </row>
    <row r="2926" ht="22" customHeight="1" spans="1:4">
      <c r="A2926" s="6" t="s">
        <v>5041</v>
      </c>
      <c r="B2926" s="6" t="s">
        <v>5441</v>
      </c>
      <c r="C2926" s="6" t="s">
        <v>1599</v>
      </c>
      <c r="D2926" s="6" t="s">
        <v>5442</v>
      </c>
    </row>
    <row r="2927" ht="22" customHeight="1" spans="1:4">
      <c r="A2927" s="6" t="s">
        <v>5041</v>
      </c>
      <c r="B2927" s="6" t="s">
        <v>5443</v>
      </c>
      <c r="C2927" s="6" t="s">
        <v>1599</v>
      </c>
      <c r="D2927" s="6" t="s">
        <v>5444</v>
      </c>
    </row>
    <row r="2928" ht="22" customHeight="1" spans="1:4">
      <c r="A2928" s="6" t="s">
        <v>5041</v>
      </c>
      <c r="B2928" s="6" t="s">
        <v>5445</v>
      </c>
      <c r="C2928" s="6" t="s">
        <v>1599</v>
      </c>
      <c r="D2928" s="6" t="s">
        <v>5446</v>
      </c>
    </row>
    <row r="2929" ht="22" customHeight="1" spans="1:4">
      <c r="A2929" s="6" t="s">
        <v>5041</v>
      </c>
      <c r="B2929" s="6" t="s">
        <v>5447</v>
      </c>
      <c r="C2929" s="6" t="s">
        <v>1570</v>
      </c>
      <c r="D2929" s="6" t="s">
        <v>1571</v>
      </c>
    </row>
    <row r="2930" ht="22" customHeight="1" spans="1:4">
      <c r="A2930" s="6" t="s">
        <v>5041</v>
      </c>
      <c r="B2930" s="6" t="s">
        <v>5448</v>
      </c>
      <c r="C2930" s="6" t="s">
        <v>1599</v>
      </c>
      <c r="D2930" s="6" t="s">
        <v>5449</v>
      </c>
    </row>
    <row r="2931" ht="22" customHeight="1" spans="1:4">
      <c r="A2931" s="6" t="s">
        <v>5041</v>
      </c>
      <c r="B2931" s="6" t="s">
        <v>5450</v>
      </c>
      <c r="C2931" s="6" t="s">
        <v>1599</v>
      </c>
      <c r="D2931" s="6" t="s">
        <v>5451</v>
      </c>
    </row>
    <row r="2932" ht="22" customHeight="1" spans="1:4">
      <c r="A2932" s="6" t="s">
        <v>5041</v>
      </c>
      <c r="B2932" s="6" t="s">
        <v>5452</v>
      </c>
      <c r="C2932" s="6" t="s">
        <v>1599</v>
      </c>
      <c r="D2932" s="6" t="s">
        <v>5453</v>
      </c>
    </row>
    <row r="2933" ht="22" customHeight="1" spans="1:4">
      <c r="A2933" s="6" t="s">
        <v>5041</v>
      </c>
      <c r="B2933" s="6" t="s">
        <v>5454</v>
      </c>
      <c r="C2933" s="6" t="s">
        <v>1599</v>
      </c>
      <c r="D2933" s="6" t="s">
        <v>5455</v>
      </c>
    </row>
    <row r="2934" ht="22" customHeight="1" spans="1:4">
      <c r="A2934" s="6" t="s">
        <v>5041</v>
      </c>
      <c r="B2934" s="6" t="s">
        <v>5456</v>
      </c>
      <c r="C2934" s="6" t="s">
        <v>1599</v>
      </c>
      <c r="D2934" s="6" t="s">
        <v>5457</v>
      </c>
    </row>
    <row r="2935" ht="22" customHeight="1" spans="1:4">
      <c r="A2935" s="6" t="s">
        <v>5041</v>
      </c>
      <c r="B2935" s="6" t="s">
        <v>5458</v>
      </c>
      <c r="C2935" s="6" t="s">
        <v>1599</v>
      </c>
      <c r="D2935" s="6" t="s">
        <v>5459</v>
      </c>
    </row>
    <row r="2936" ht="22" customHeight="1" spans="1:4">
      <c r="A2936" s="6" t="s">
        <v>5041</v>
      </c>
      <c r="B2936" s="6" t="s">
        <v>5460</v>
      </c>
      <c r="C2936" s="6" t="s">
        <v>1570</v>
      </c>
      <c r="D2936" s="6" t="s">
        <v>1571</v>
      </c>
    </row>
    <row r="2937" ht="22" customHeight="1" spans="1:4">
      <c r="A2937" s="6" t="s">
        <v>5041</v>
      </c>
      <c r="B2937" s="6" t="s">
        <v>5461</v>
      </c>
      <c r="C2937" s="6" t="s">
        <v>1599</v>
      </c>
      <c r="D2937" s="6" t="s">
        <v>5462</v>
      </c>
    </row>
    <row r="2938" ht="22" customHeight="1" spans="1:4">
      <c r="A2938" s="6" t="s">
        <v>5041</v>
      </c>
      <c r="B2938" s="6" t="s">
        <v>5463</v>
      </c>
      <c r="C2938" s="6" t="s">
        <v>1599</v>
      </c>
      <c r="D2938" s="6" t="s">
        <v>5464</v>
      </c>
    </row>
    <row r="2939" ht="22" customHeight="1" spans="1:4">
      <c r="A2939" s="6" t="s">
        <v>5041</v>
      </c>
      <c r="B2939" s="6" t="s">
        <v>5465</v>
      </c>
      <c r="C2939" s="6" t="s">
        <v>1599</v>
      </c>
      <c r="D2939" s="6" t="s">
        <v>5466</v>
      </c>
    </row>
    <row r="2940" ht="22" customHeight="1" spans="1:4">
      <c r="A2940" s="6" t="s">
        <v>5041</v>
      </c>
      <c r="B2940" s="6" t="s">
        <v>5467</v>
      </c>
      <c r="C2940" s="6" t="s">
        <v>1599</v>
      </c>
      <c r="D2940" s="6" t="s">
        <v>5468</v>
      </c>
    </row>
    <row r="2941" ht="22" customHeight="1" spans="1:4">
      <c r="A2941" s="6" t="s">
        <v>5041</v>
      </c>
      <c r="B2941" s="6" t="s">
        <v>5469</v>
      </c>
      <c r="C2941" s="6" t="s">
        <v>1599</v>
      </c>
      <c r="D2941" s="6" t="s">
        <v>5470</v>
      </c>
    </row>
    <row r="2942" ht="22" customHeight="1" spans="1:4">
      <c r="A2942" s="6" t="s">
        <v>5041</v>
      </c>
      <c r="B2942" s="6" t="s">
        <v>5471</v>
      </c>
      <c r="C2942" s="6" t="s">
        <v>1599</v>
      </c>
      <c r="D2942" s="6" t="s">
        <v>5472</v>
      </c>
    </row>
    <row r="2943" ht="22" customHeight="1" spans="1:4">
      <c r="A2943" s="6" t="s">
        <v>5041</v>
      </c>
      <c r="B2943" s="6" t="s">
        <v>5473</v>
      </c>
      <c r="C2943" s="6" t="s">
        <v>1570</v>
      </c>
      <c r="D2943" s="6" t="s">
        <v>1571</v>
      </c>
    </row>
    <row r="2944" ht="22" customHeight="1" spans="1:4">
      <c r="A2944" s="6" t="s">
        <v>5041</v>
      </c>
      <c r="B2944" s="6" t="s">
        <v>5474</v>
      </c>
      <c r="C2944" s="6" t="s">
        <v>1599</v>
      </c>
      <c r="D2944" s="6" t="s">
        <v>5475</v>
      </c>
    </row>
    <row r="2945" ht="22" customHeight="1" spans="1:4">
      <c r="A2945" s="6" t="s">
        <v>5041</v>
      </c>
      <c r="B2945" s="6" t="s">
        <v>5476</v>
      </c>
      <c r="C2945" s="6" t="s">
        <v>1599</v>
      </c>
      <c r="D2945" s="6" t="s">
        <v>5477</v>
      </c>
    </row>
    <row r="2946" ht="22" customHeight="1" spans="1:4">
      <c r="A2946" s="6" t="s">
        <v>5041</v>
      </c>
      <c r="B2946" s="6" t="s">
        <v>5478</v>
      </c>
      <c r="C2946" s="6" t="s">
        <v>1599</v>
      </c>
      <c r="D2946" s="6" t="s">
        <v>5479</v>
      </c>
    </row>
    <row r="2947" ht="22" customHeight="1" spans="1:4">
      <c r="A2947" s="6" t="s">
        <v>5041</v>
      </c>
      <c r="B2947" s="6" t="s">
        <v>5480</v>
      </c>
      <c r="C2947" s="6" t="s">
        <v>1599</v>
      </c>
      <c r="D2947" s="6" t="s">
        <v>5481</v>
      </c>
    </row>
    <row r="2948" ht="22" customHeight="1" spans="1:4">
      <c r="A2948" s="6" t="s">
        <v>5041</v>
      </c>
      <c r="B2948" s="6" t="s">
        <v>5482</v>
      </c>
      <c r="C2948" s="6" t="s">
        <v>1599</v>
      </c>
      <c r="D2948" s="6" t="s">
        <v>5483</v>
      </c>
    </row>
    <row r="2949" ht="22" customHeight="1" spans="1:4">
      <c r="A2949" s="6" t="s">
        <v>5041</v>
      </c>
      <c r="B2949" s="6" t="s">
        <v>5484</v>
      </c>
      <c r="C2949" s="6" t="s">
        <v>1599</v>
      </c>
      <c r="D2949" s="6" t="s">
        <v>5485</v>
      </c>
    </row>
    <row r="2950" ht="22" customHeight="1" spans="1:4">
      <c r="A2950" s="6" t="s">
        <v>5041</v>
      </c>
      <c r="B2950" s="6" t="s">
        <v>5486</v>
      </c>
      <c r="C2950" s="6" t="s">
        <v>1570</v>
      </c>
      <c r="D2950" s="6" t="s">
        <v>1571</v>
      </c>
    </row>
    <row r="2951" ht="22" customHeight="1" spans="1:4">
      <c r="A2951" s="6" t="s">
        <v>5041</v>
      </c>
      <c r="B2951" s="6" t="s">
        <v>5487</v>
      </c>
      <c r="C2951" s="6" t="s">
        <v>1599</v>
      </c>
      <c r="D2951" s="6" t="s">
        <v>5488</v>
      </c>
    </row>
    <row r="2952" ht="22" customHeight="1" spans="1:4">
      <c r="A2952" s="6" t="s">
        <v>5041</v>
      </c>
      <c r="B2952" s="6" t="s">
        <v>5489</v>
      </c>
      <c r="C2952" s="6" t="s">
        <v>1599</v>
      </c>
      <c r="D2952" s="6" t="s">
        <v>5490</v>
      </c>
    </row>
    <row r="2953" ht="22" customHeight="1" spans="1:4">
      <c r="A2953" s="6" t="s">
        <v>5041</v>
      </c>
      <c r="B2953" s="6" t="s">
        <v>5491</v>
      </c>
      <c r="C2953" s="6" t="s">
        <v>1599</v>
      </c>
      <c r="D2953" s="6" t="s">
        <v>5492</v>
      </c>
    </row>
    <row r="2954" ht="22" customHeight="1" spans="1:4">
      <c r="A2954" s="6" t="s">
        <v>5041</v>
      </c>
      <c r="B2954" s="6" t="s">
        <v>5493</v>
      </c>
      <c r="C2954" s="6" t="s">
        <v>1599</v>
      </c>
      <c r="D2954" s="6" t="s">
        <v>5494</v>
      </c>
    </row>
    <row r="2955" ht="22" customHeight="1" spans="1:4">
      <c r="A2955" s="6" t="s">
        <v>5041</v>
      </c>
      <c r="B2955" s="6" t="s">
        <v>5495</v>
      </c>
      <c r="C2955" s="6" t="s">
        <v>1599</v>
      </c>
      <c r="D2955" s="6" t="s">
        <v>5496</v>
      </c>
    </row>
    <row r="2956" ht="22" customHeight="1" spans="1:4">
      <c r="A2956" s="6" t="s">
        <v>5041</v>
      </c>
      <c r="B2956" s="6" t="s">
        <v>5497</v>
      </c>
      <c r="C2956" s="6" t="s">
        <v>1599</v>
      </c>
      <c r="D2956" s="6" t="s">
        <v>5498</v>
      </c>
    </row>
    <row r="2957" ht="22" customHeight="1" spans="1:4">
      <c r="A2957" s="6" t="s">
        <v>5499</v>
      </c>
      <c r="B2957" s="6" t="s">
        <v>1569</v>
      </c>
      <c r="C2957" s="6" t="s">
        <v>1570</v>
      </c>
      <c r="D2957" s="6" t="s">
        <v>1571</v>
      </c>
    </row>
    <row r="2958" ht="22" customHeight="1" spans="1:4">
      <c r="A2958" s="6" t="s">
        <v>5499</v>
      </c>
      <c r="B2958" s="6" t="s">
        <v>4893</v>
      </c>
      <c r="C2958" s="6" t="s">
        <v>1573</v>
      </c>
      <c r="D2958" s="6" t="s">
        <v>1623</v>
      </c>
    </row>
    <row r="2959" ht="22" customHeight="1" spans="1:4">
      <c r="A2959" s="6" t="s">
        <v>5499</v>
      </c>
      <c r="B2959" s="6" t="s">
        <v>5500</v>
      </c>
      <c r="C2959" s="6" t="s">
        <v>1599</v>
      </c>
      <c r="D2959" s="6" t="s">
        <v>5501</v>
      </c>
    </row>
    <row r="2960" ht="22" customHeight="1" spans="1:4">
      <c r="A2960" s="6" t="s">
        <v>5499</v>
      </c>
      <c r="B2960" s="6" t="s">
        <v>5502</v>
      </c>
      <c r="C2960" s="6" t="s">
        <v>1576</v>
      </c>
      <c r="D2960" s="6" t="s">
        <v>1571</v>
      </c>
    </row>
    <row r="2961" ht="22" customHeight="1" spans="1:4">
      <c r="A2961" s="6" t="s">
        <v>5499</v>
      </c>
      <c r="B2961" s="6" t="s">
        <v>5503</v>
      </c>
      <c r="C2961" s="6" t="s">
        <v>1570</v>
      </c>
      <c r="D2961" s="6" t="s">
        <v>1571</v>
      </c>
    </row>
    <row r="2962" ht="22" customHeight="1" spans="1:4">
      <c r="A2962" s="6" t="s">
        <v>5499</v>
      </c>
      <c r="B2962" s="6" t="s">
        <v>5504</v>
      </c>
      <c r="C2962" s="6" t="s">
        <v>1599</v>
      </c>
      <c r="D2962" s="6" t="s">
        <v>5505</v>
      </c>
    </row>
    <row r="2963" ht="22" customHeight="1" spans="1:4">
      <c r="A2963" s="6" t="s">
        <v>5499</v>
      </c>
      <c r="B2963" s="6" t="s">
        <v>5506</v>
      </c>
      <c r="C2963" s="6" t="s">
        <v>1573</v>
      </c>
      <c r="D2963" s="6" t="s">
        <v>1155</v>
      </c>
    </row>
    <row r="2964" ht="22" customHeight="1" spans="1:4">
      <c r="A2964" s="6" t="s">
        <v>5499</v>
      </c>
      <c r="B2964" s="6" t="s">
        <v>5507</v>
      </c>
      <c r="C2964" s="6" t="s">
        <v>1570</v>
      </c>
      <c r="D2964" s="6" t="s">
        <v>1571</v>
      </c>
    </row>
    <row r="2965" ht="22" customHeight="1" spans="1:4">
      <c r="A2965" s="6" t="s">
        <v>5499</v>
      </c>
      <c r="B2965" s="6" t="s">
        <v>5508</v>
      </c>
      <c r="C2965" s="6" t="s">
        <v>1599</v>
      </c>
      <c r="D2965" s="6" t="s">
        <v>5509</v>
      </c>
    </row>
    <row r="2966" ht="22" customHeight="1" spans="1:4">
      <c r="A2966" s="6" t="s">
        <v>5499</v>
      </c>
      <c r="B2966" s="6" t="s">
        <v>5510</v>
      </c>
      <c r="C2966" s="6" t="s">
        <v>1573</v>
      </c>
      <c r="D2966" s="6" t="s">
        <v>3628</v>
      </c>
    </row>
    <row r="2967" ht="22" customHeight="1" spans="1:4">
      <c r="A2967" s="6" t="s">
        <v>5499</v>
      </c>
      <c r="B2967" s="6" t="s">
        <v>5511</v>
      </c>
      <c r="C2967" s="6" t="s">
        <v>1570</v>
      </c>
      <c r="D2967" s="6" t="s">
        <v>1571</v>
      </c>
    </row>
    <row r="2968" ht="22" customHeight="1" spans="1:4">
      <c r="A2968" s="6" t="s">
        <v>5499</v>
      </c>
      <c r="B2968" s="6" t="s">
        <v>5512</v>
      </c>
      <c r="C2968" s="6" t="s">
        <v>1599</v>
      </c>
      <c r="D2968" s="6" t="s">
        <v>5513</v>
      </c>
    </row>
    <row r="2969" ht="22" customHeight="1" spans="1:4">
      <c r="A2969" s="6" t="s">
        <v>5499</v>
      </c>
      <c r="B2969" s="6" t="s">
        <v>5514</v>
      </c>
      <c r="C2969" s="6" t="s">
        <v>1573</v>
      </c>
      <c r="D2969" s="6" t="s">
        <v>4186</v>
      </c>
    </row>
    <row r="2970" ht="22" customHeight="1" spans="1:4">
      <c r="A2970" s="6" t="s">
        <v>5499</v>
      </c>
      <c r="B2970" s="6" t="s">
        <v>5515</v>
      </c>
      <c r="C2970" s="6" t="s">
        <v>1570</v>
      </c>
      <c r="D2970" s="6" t="s">
        <v>1571</v>
      </c>
    </row>
    <row r="2971" ht="22" customHeight="1" spans="1:4">
      <c r="A2971" s="6" t="s">
        <v>5499</v>
      </c>
      <c r="B2971" s="6" t="s">
        <v>5516</v>
      </c>
      <c r="C2971" s="6" t="s">
        <v>1599</v>
      </c>
      <c r="D2971" s="6" t="s">
        <v>5517</v>
      </c>
    </row>
    <row r="2972" ht="22" customHeight="1" spans="1:4">
      <c r="A2972" s="6" t="s">
        <v>5499</v>
      </c>
      <c r="B2972" s="6" t="s">
        <v>5518</v>
      </c>
      <c r="C2972" s="6" t="s">
        <v>1573</v>
      </c>
      <c r="D2972" s="6" t="s">
        <v>5519</v>
      </c>
    </row>
    <row r="2973" ht="22" customHeight="1" spans="1:4">
      <c r="A2973" s="6" t="s">
        <v>5499</v>
      </c>
      <c r="B2973" s="6" t="s">
        <v>5520</v>
      </c>
      <c r="C2973" s="6" t="s">
        <v>1570</v>
      </c>
      <c r="D2973" s="6" t="s">
        <v>1571</v>
      </c>
    </row>
    <row r="2974" ht="22" customHeight="1" spans="1:4">
      <c r="A2974" s="6" t="s">
        <v>5499</v>
      </c>
      <c r="B2974" s="6" t="s">
        <v>5521</v>
      </c>
      <c r="C2974" s="6" t="s">
        <v>1599</v>
      </c>
      <c r="D2974" s="6" t="s">
        <v>5522</v>
      </c>
    </row>
    <row r="2975" ht="22" customHeight="1" spans="1:4">
      <c r="A2975" s="6" t="s">
        <v>5499</v>
      </c>
      <c r="B2975" s="6" t="s">
        <v>5523</v>
      </c>
      <c r="C2975" s="6" t="s">
        <v>1573</v>
      </c>
      <c r="D2975" s="6" t="s">
        <v>5524</v>
      </c>
    </row>
    <row r="2976" ht="22" customHeight="1" spans="1:4">
      <c r="A2976" s="6" t="s">
        <v>5525</v>
      </c>
      <c r="B2976" s="6" t="s">
        <v>1569</v>
      </c>
      <c r="C2976" s="6" t="s">
        <v>1570</v>
      </c>
      <c r="D2976" s="6" t="s">
        <v>1571</v>
      </c>
    </row>
    <row r="2977" ht="22" customHeight="1" spans="1:4">
      <c r="A2977" s="6" t="s">
        <v>5525</v>
      </c>
      <c r="B2977" s="6" t="s">
        <v>4893</v>
      </c>
      <c r="C2977" s="6" t="s">
        <v>1573</v>
      </c>
      <c r="D2977" s="6" t="s">
        <v>1623</v>
      </c>
    </row>
    <row r="2978" ht="22" customHeight="1" spans="1:4">
      <c r="A2978" s="6" t="s">
        <v>5525</v>
      </c>
      <c r="B2978" s="6" t="s">
        <v>5526</v>
      </c>
      <c r="C2978" s="6" t="s">
        <v>1599</v>
      </c>
      <c r="D2978" s="6" t="s">
        <v>5527</v>
      </c>
    </row>
    <row r="2979" ht="22" customHeight="1" spans="1:4">
      <c r="A2979" s="6" t="s">
        <v>5525</v>
      </c>
      <c r="B2979" s="6" t="s">
        <v>5528</v>
      </c>
      <c r="C2979" s="6" t="s">
        <v>1576</v>
      </c>
      <c r="D2979" s="6" t="s">
        <v>1571</v>
      </c>
    </row>
    <row r="2980" ht="22" customHeight="1" spans="1:4">
      <c r="A2980" s="6" t="s">
        <v>5525</v>
      </c>
      <c r="B2980" s="6" t="s">
        <v>5529</v>
      </c>
      <c r="C2980" s="6" t="s">
        <v>1570</v>
      </c>
      <c r="D2980" s="6" t="s">
        <v>1571</v>
      </c>
    </row>
    <row r="2981" ht="22" customHeight="1" spans="1:4">
      <c r="A2981" s="6" t="s">
        <v>5525</v>
      </c>
      <c r="B2981" s="6" t="s">
        <v>5530</v>
      </c>
      <c r="C2981" s="6" t="s">
        <v>1573</v>
      </c>
      <c r="D2981" s="6" t="s">
        <v>1623</v>
      </c>
    </row>
    <row r="2982" ht="22" customHeight="1" spans="1:4">
      <c r="A2982" s="6" t="s">
        <v>5525</v>
      </c>
      <c r="B2982" s="6" t="s">
        <v>5531</v>
      </c>
      <c r="C2982" s="6" t="s">
        <v>1599</v>
      </c>
      <c r="D2982" s="6" t="s">
        <v>4940</v>
      </c>
    </row>
    <row r="2983" ht="22" customHeight="1" spans="1:4">
      <c r="A2983" s="6" t="s">
        <v>5525</v>
      </c>
      <c r="B2983" s="6" t="s">
        <v>5532</v>
      </c>
      <c r="C2983" s="6" t="s">
        <v>1573</v>
      </c>
      <c r="D2983" s="6" t="s">
        <v>1155</v>
      </c>
    </row>
    <row r="2984" ht="22" customHeight="1" spans="1:4">
      <c r="A2984" s="6" t="s">
        <v>5525</v>
      </c>
      <c r="B2984" s="6" t="s">
        <v>5533</v>
      </c>
      <c r="C2984" s="6" t="s">
        <v>1570</v>
      </c>
      <c r="D2984" s="6" t="s">
        <v>1571</v>
      </c>
    </row>
    <row r="2985" ht="22" customHeight="1" spans="1:4">
      <c r="A2985" s="6" t="s">
        <v>5525</v>
      </c>
      <c r="B2985" s="6" t="s">
        <v>5534</v>
      </c>
      <c r="C2985" s="6" t="s">
        <v>1573</v>
      </c>
      <c r="D2985" s="6" t="s">
        <v>1725</v>
      </c>
    </row>
    <row r="2986" ht="22" customHeight="1" spans="1:4">
      <c r="A2986" s="6" t="s">
        <v>5525</v>
      </c>
      <c r="B2986" s="6" t="s">
        <v>5535</v>
      </c>
      <c r="C2986" s="6" t="s">
        <v>1599</v>
      </c>
      <c r="D2986" s="6" t="s">
        <v>4940</v>
      </c>
    </row>
    <row r="2987" ht="22" customHeight="1" spans="1:4">
      <c r="A2987" s="6" t="s">
        <v>5525</v>
      </c>
      <c r="B2987" s="6" t="s">
        <v>5536</v>
      </c>
      <c r="C2987" s="6" t="s">
        <v>1573</v>
      </c>
      <c r="D2987" s="6" t="s">
        <v>1155</v>
      </c>
    </row>
    <row r="2988" ht="22" customHeight="1" spans="1:4">
      <c r="A2988" s="6" t="s">
        <v>5525</v>
      </c>
      <c r="B2988" s="6" t="s">
        <v>5537</v>
      </c>
      <c r="C2988" s="6" t="s">
        <v>1570</v>
      </c>
      <c r="D2988" s="6" t="s">
        <v>1571</v>
      </c>
    </row>
    <row r="2989" ht="22" customHeight="1" spans="1:4">
      <c r="A2989" s="6" t="s">
        <v>5525</v>
      </c>
      <c r="B2989" s="6" t="s">
        <v>5538</v>
      </c>
      <c r="C2989" s="6" t="s">
        <v>1573</v>
      </c>
      <c r="D2989" s="6" t="s">
        <v>921</v>
      </c>
    </row>
    <row r="2990" ht="22" customHeight="1" spans="1:4">
      <c r="A2990" s="6" t="s">
        <v>5525</v>
      </c>
      <c r="B2990" s="6" t="s">
        <v>5539</v>
      </c>
      <c r="C2990" s="6" t="s">
        <v>1599</v>
      </c>
      <c r="D2990" s="6" t="s">
        <v>4910</v>
      </c>
    </row>
    <row r="2991" ht="22" customHeight="1" spans="1:4">
      <c r="A2991" s="6" t="s">
        <v>5525</v>
      </c>
      <c r="B2991" s="6" t="s">
        <v>5540</v>
      </c>
      <c r="C2991" s="6" t="s">
        <v>1573</v>
      </c>
      <c r="D2991" s="6" t="s">
        <v>4186</v>
      </c>
    </row>
    <row r="2992" ht="22" customHeight="1" spans="1:4">
      <c r="A2992" s="6" t="s">
        <v>5525</v>
      </c>
      <c r="B2992" s="6" t="s">
        <v>5541</v>
      </c>
      <c r="C2992" s="6" t="s">
        <v>1570</v>
      </c>
      <c r="D2992" s="6" t="s">
        <v>1571</v>
      </c>
    </row>
    <row r="2993" ht="22" customHeight="1" spans="1:4">
      <c r="A2993" s="6" t="s">
        <v>5525</v>
      </c>
      <c r="B2993" s="6" t="s">
        <v>5542</v>
      </c>
      <c r="C2993" s="6" t="s">
        <v>1573</v>
      </c>
      <c r="D2993" s="6" t="s">
        <v>275</v>
      </c>
    </row>
    <row r="2994" ht="22" customHeight="1" spans="1:4">
      <c r="A2994" s="6" t="s">
        <v>5525</v>
      </c>
      <c r="B2994" s="6" t="s">
        <v>5543</v>
      </c>
      <c r="C2994" s="6" t="s">
        <v>1599</v>
      </c>
      <c r="D2994" s="6" t="s">
        <v>4940</v>
      </c>
    </row>
    <row r="2995" ht="22" customHeight="1" spans="1:4">
      <c r="A2995" s="6" t="s">
        <v>5525</v>
      </c>
      <c r="B2995" s="6" t="s">
        <v>5544</v>
      </c>
      <c r="C2995" s="6" t="s">
        <v>1573</v>
      </c>
      <c r="D2995" s="6" t="s">
        <v>1155</v>
      </c>
    </row>
    <row r="2996" ht="22" customHeight="1" spans="1:4">
      <c r="A2996" s="6" t="s">
        <v>5525</v>
      </c>
      <c r="B2996" s="6" t="s">
        <v>5545</v>
      </c>
      <c r="C2996" s="6" t="s">
        <v>1570</v>
      </c>
      <c r="D2996" s="6" t="s">
        <v>1571</v>
      </c>
    </row>
    <row r="2997" ht="22" customHeight="1" spans="1:4">
      <c r="A2997" s="6" t="s">
        <v>5525</v>
      </c>
      <c r="B2997" s="6" t="s">
        <v>5546</v>
      </c>
      <c r="C2997" s="6" t="s">
        <v>1573</v>
      </c>
      <c r="D2997" s="6" t="s">
        <v>463</v>
      </c>
    </row>
    <row r="2998" ht="22" customHeight="1" spans="1:4">
      <c r="A2998" s="6" t="s">
        <v>5525</v>
      </c>
      <c r="B2998" s="6" t="s">
        <v>5547</v>
      </c>
      <c r="C2998" s="6" t="s">
        <v>1599</v>
      </c>
      <c r="D2998" s="6" t="s">
        <v>4940</v>
      </c>
    </row>
    <row r="2999" ht="22" customHeight="1" spans="1:4">
      <c r="A2999" s="6" t="s">
        <v>5525</v>
      </c>
      <c r="B2999" s="6" t="s">
        <v>5548</v>
      </c>
      <c r="C2999" s="6" t="s">
        <v>1573</v>
      </c>
      <c r="D2999" s="6" t="s">
        <v>1155</v>
      </c>
    </row>
    <row r="3000" ht="22" customHeight="1" spans="1:4">
      <c r="A3000" s="6" t="s">
        <v>5525</v>
      </c>
      <c r="B3000" s="6" t="s">
        <v>5549</v>
      </c>
      <c r="C3000" s="6" t="s">
        <v>1570</v>
      </c>
      <c r="D3000" s="6" t="s">
        <v>1571</v>
      </c>
    </row>
    <row r="3001" ht="22" customHeight="1" spans="1:4">
      <c r="A3001" s="6" t="s">
        <v>5525</v>
      </c>
      <c r="B3001" s="6" t="s">
        <v>5550</v>
      </c>
      <c r="C3001" s="6" t="s">
        <v>1573</v>
      </c>
      <c r="D3001" s="6" t="s">
        <v>493</v>
      </c>
    </row>
    <row r="3002" ht="22" customHeight="1" spans="1:4">
      <c r="A3002" s="6" t="s">
        <v>5525</v>
      </c>
      <c r="B3002" s="6" t="s">
        <v>5551</v>
      </c>
      <c r="C3002" s="6" t="s">
        <v>1599</v>
      </c>
      <c r="D3002" s="6" t="s">
        <v>4951</v>
      </c>
    </row>
    <row r="3003" ht="22" customHeight="1" spans="1:4">
      <c r="A3003" s="6" t="s">
        <v>5525</v>
      </c>
      <c r="B3003" s="6" t="s">
        <v>5552</v>
      </c>
      <c r="C3003" s="6" t="s">
        <v>1573</v>
      </c>
      <c r="D3003" s="6" t="s">
        <v>1623</v>
      </c>
    </row>
    <row r="3004" ht="22" customHeight="1" spans="1:4">
      <c r="A3004" s="6" t="s">
        <v>5525</v>
      </c>
      <c r="B3004" s="6" t="s">
        <v>5553</v>
      </c>
      <c r="C3004" s="6" t="s">
        <v>1599</v>
      </c>
      <c r="D3004" s="6" t="s">
        <v>4953</v>
      </c>
    </row>
    <row r="3005" ht="22" customHeight="1" spans="1:4">
      <c r="A3005" s="6" t="s">
        <v>5525</v>
      </c>
      <c r="B3005" s="6" t="s">
        <v>5554</v>
      </c>
      <c r="C3005" s="6" t="s">
        <v>1570</v>
      </c>
      <c r="D3005" s="6" t="s">
        <v>1571</v>
      </c>
    </row>
    <row r="3006" ht="22" customHeight="1" spans="1:4">
      <c r="A3006" s="6" t="s">
        <v>5525</v>
      </c>
      <c r="B3006" s="6" t="s">
        <v>5555</v>
      </c>
      <c r="C3006" s="6" t="s">
        <v>1573</v>
      </c>
      <c r="D3006" s="6" t="s">
        <v>2053</v>
      </c>
    </row>
    <row r="3007" ht="22" customHeight="1" spans="1:4">
      <c r="A3007" s="6" t="s">
        <v>5525</v>
      </c>
      <c r="B3007" s="6" t="s">
        <v>5556</v>
      </c>
      <c r="C3007" s="6" t="s">
        <v>1599</v>
      </c>
      <c r="D3007" s="6" t="s">
        <v>4940</v>
      </c>
    </row>
    <row r="3008" ht="22" customHeight="1" spans="1:4">
      <c r="A3008" s="6" t="s">
        <v>5525</v>
      </c>
      <c r="B3008" s="6" t="s">
        <v>5557</v>
      </c>
      <c r="C3008" s="6" t="s">
        <v>1573</v>
      </c>
      <c r="D3008" s="6" t="s">
        <v>1155</v>
      </c>
    </row>
    <row r="3009" ht="22" customHeight="1" spans="1:4">
      <c r="A3009" s="6" t="s">
        <v>5525</v>
      </c>
      <c r="B3009" s="6" t="s">
        <v>5558</v>
      </c>
      <c r="C3009" s="6" t="s">
        <v>1599</v>
      </c>
      <c r="D3009" s="6" t="s">
        <v>4938</v>
      </c>
    </row>
    <row r="3010" ht="22" customHeight="1" spans="1:4">
      <c r="A3010" s="6" t="s">
        <v>5559</v>
      </c>
      <c r="B3010" s="6" t="s">
        <v>1569</v>
      </c>
      <c r="C3010" s="6" t="s">
        <v>1570</v>
      </c>
      <c r="D3010" s="6" t="s">
        <v>1571</v>
      </c>
    </row>
    <row r="3011" ht="22" customHeight="1" spans="1:4">
      <c r="A3011" s="6" t="s">
        <v>5559</v>
      </c>
      <c r="B3011" s="6" t="s">
        <v>4893</v>
      </c>
      <c r="C3011" s="6" t="s">
        <v>1573</v>
      </c>
      <c r="D3011" s="6" t="s">
        <v>1623</v>
      </c>
    </row>
    <row r="3012" ht="22" customHeight="1" spans="1:4">
      <c r="A3012" s="6" t="s">
        <v>5559</v>
      </c>
      <c r="B3012" s="6" t="s">
        <v>4894</v>
      </c>
      <c r="C3012" s="6" t="s">
        <v>1599</v>
      </c>
      <c r="D3012" s="6" t="s">
        <v>5560</v>
      </c>
    </row>
    <row r="3013" ht="22" customHeight="1" spans="1:4">
      <c r="A3013" s="6" t="s">
        <v>5559</v>
      </c>
      <c r="B3013" s="6" t="s">
        <v>5561</v>
      </c>
      <c r="C3013" s="6" t="s">
        <v>1599</v>
      </c>
      <c r="D3013" s="6" t="s">
        <v>5562</v>
      </c>
    </row>
    <row r="3014" ht="22" customHeight="1" spans="1:4">
      <c r="A3014" s="6" t="s">
        <v>5559</v>
      </c>
      <c r="B3014" s="6" t="s">
        <v>5563</v>
      </c>
      <c r="C3014" s="6" t="s">
        <v>1599</v>
      </c>
      <c r="D3014" s="6" t="s">
        <v>5564</v>
      </c>
    </row>
    <row r="3015" ht="22" customHeight="1" spans="1:4">
      <c r="A3015" s="6" t="s">
        <v>5559</v>
      </c>
      <c r="B3015" s="6" t="s">
        <v>5565</v>
      </c>
      <c r="C3015" s="6" t="s">
        <v>1599</v>
      </c>
      <c r="D3015" s="6" t="s">
        <v>5566</v>
      </c>
    </row>
    <row r="3016" ht="22" customHeight="1" spans="1:4">
      <c r="A3016" s="6" t="s">
        <v>5559</v>
      </c>
      <c r="B3016" s="6" t="s">
        <v>5567</v>
      </c>
      <c r="C3016" s="6" t="s">
        <v>1576</v>
      </c>
      <c r="D3016" s="6" t="s">
        <v>1571</v>
      </c>
    </row>
    <row r="3017" ht="22" customHeight="1" spans="1:4">
      <c r="A3017" s="6" t="s">
        <v>5559</v>
      </c>
      <c r="B3017" s="6" t="s">
        <v>5568</v>
      </c>
      <c r="C3017" s="6" t="s">
        <v>1570</v>
      </c>
      <c r="D3017" s="6" t="s">
        <v>1571</v>
      </c>
    </row>
    <row r="3018" ht="22" customHeight="1" spans="1:4">
      <c r="A3018" s="6" t="s">
        <v>5559</v>
      </c>
      <c r="B3018" s="6" t="s">
        <v>5569</v>
      </c>
      <c r="C3018" s="6" t="s">
        <v>1599</v>
      </c>
      <c r="D3018" s="6" t="s">
        <v>5570</v>
      </c>
    </row>
    <row r="3019" ht="22" customHeight="1" spans="1:4">
      <c r="A3019" s="6" t="s">
        <v>5559</v>
      </c>
      <c r="B3019" s="6" t="s">
        <v>5571</v>
      </c>
      <c r="C3019" s="6" t="s">
        <v>1599</v>
      </c>
      <c r="D3019" s="6" t="s">
        <v>5572</v>
      </c>
    </row>
    <row r="3020" ht="22" customHeight="1" spans="1:4">
      <c r="A3020" s="6" t="s">
        <v>5559</v>
      </c>
      <c r="B3020" s="6" t="s">
        <v>5573</v>
      </c>
      <c r="C3020" s="6" t="s">
        <v>1599</v>
      </c>
      <c r="D3020" s="6" t="s">
        <v>5574</v>
      </c>
    </row>
    <row r="3021" ht="22" customHeight="1" spans="1:4">
      <c r="A3021" s="6" t="s">
        <v>5559</v>
      </c>
      <c r="B3021" s="6" t="s">
        <v>5575</v>
      </c>
      <c r="C3021" s="6" t="s">
        <v>1570</v>
      </c>
      <c r="D3021" s="6" t="s">
        <v>1571</v>
      </c>
    </row>
    <row r="3022" ht="22" customHeight="1" spans="1:4">
      <c r="A3022" s="6" t="s">
        <v>5559</v>
      </c>
      <c r="B3022" s="6" t="s">
        <v>5576</v>
      </c>
      <c r="C3022" s="6" t="s">
        <v>1599</v>
      </c>
      <c r="D3022" s="6" t="s">
        <v>4938</v>
      </c>
    </row>
    <row r="3023" ht="22" customHeight="1" spans="1:4">
      <c r="A3023" s="6" t="s">
        <v>5559</v>
      </c>
      <c r="B3023" s="6" t="s">
        <v>5577</v>
      </c>
      <c r="C3023" s="6" t="s">
        <v>1599</v>
      </c>
      <c r="D3023" s="6" t="s">
        <v>5578</v>
      </c>
    </row>
    <row r="3024" ht="22" customHeight="1" spans="1:4">
      <c r="A3024" s="6" t="s">
        <v>5559</v>
      </c>
      <c r="B3024" s="6" t="s">
        <v>5579</v>
      </c>
      <c r="C3024" s="6" t="s">
        <v>1599</v>
      </c>
      <c r="D3024" s="6" t="s">
        <v>5580</v>
      </c>
    </row>
    <row r="3025" ht="22" customHeight="1" spans="1:4">
      <c r="A3025" s="6" t="s">
        <v>5559</v>
      </c>
      <c r="B3025" s="6" t="s">
        <v>5581</v>
      </c>
      <c r="C3025" s="6" t="s">
        <v>1576</v>
      </c>
      <c r="D3025" s="6" t="s">
        <v>1571</v>
      </c>
    </row>
    <row r="3026" ht="22" customHeight="1" spans="1:4">
      <c r="A3026" s="6" t="s">
        <v>5559</v>
      </c>
      <c r="B3026" s="6" t="s">
        <v>5582</v>
      </c>
      <c r="C3026" s="6" t="s">
        <v>1605</v>
      </c>
      <c r="D3026" s="6" t="s">
        <v>3038</v>
      </c>
    </row>
    <row r="3027" ht="22" customHeight="1" spans="1:4">
      <c r="A3027" s="6" t="s">
        <v>5559</v>
      </c>
      <c r="B3027" s="6" t="s">
        <v>5583</v>
      </c>
      <c r="C3027" s="6" t="s">
        <v>1605</v>
      </c>
      <c r="D3027" s="6" t="s">
        <v>1631</v>
      </c>
    </row>
    <row r="3028" ht="22" customHeight="1" spans="1:4">
      <c r="A3028" s="6" t="s">
        <v>5559</v>
      </c>
      <c r="B3028" s="6" t="s">
        <v>5584</v>
      </c>
      <c r="C3028" s="6" t="s">
        <v>1605</v>
      </c>
      <c r="D3028" s="6" t="s">
        <v>1649</v>
      </c>
    </row>
    <row r="3029" ht="22" customHeight="1" spans="1:4">
      <c r="A3029" s="6" t="s">
        <v>5559</v>
      </c>
      <c r="B3029" s="6" t="s">
        <v>5585</v>
      </c>
      <c r="C3029" s="6" t="s">
        <v>1714</v>
      </c>
      <c r="D3029" s="6" t="s">
        <v>3872</v>
      </c>
    </row>
    <row r="3030" spans="1:4">
      <c r="A3030" s="6" t="s">
        <v>4892</v>
      </c>
      <c r="B3030" s="6" t="s">
        <v>5586</v>
      </c>
      <c r="C3030" s="6" t="s">
        <v>1570</v>
      </c>
      <c r="D3030" s="6"/>
    </row>
    <row r="3031" spans="1:4">
      <c r="A3031" s="6" t="s">
        <v>4892</v>
      </c>
      <c r="B3031" s="6" t="s">
        <v>5587</v>
      </c>
      <c r="C3031" s="6" t="s">
        <v>1599</v>
      </c>
      <c r="D3031" s="6" t="s">
        <v>5588</v>
      </c>
    </row>
    <row r="3032" spans="1:4">
      <c r="A3032" s="6" t="s">
        <v>4892</v>
      </c>
      <c r="B3032" s="6" t="s">
        <v>5589</v>
      </c>
      <c r="C3032" s="6" t="s">
        <v>1599</v>
      </c>
      <c r="D3032" s="6" t="s">
        <v>4951</v>
      </c>
    </row>
    <row r="3033" spans="1:4">
      <c r="A3033" s="6" t="s">
        <v>4892</v>
      </c>
      <c r="B3033" s="6" t="s">
        <v>5590</v>
      </c>
      <c r="C3033" s="6" t="s">
        <v>1599</v>
      </c>
      <c r="D3033" s="6" t="s">
        <v>5591</v>
      </c>
    </row>
    <row r="3034" spans="1:4">
      <c r="A3034" s="6" t="s">
        <v>4892</v>
      </c>
      <c r="B3034" s="6" t="s">
        <v>5592</v>
      </c>
      <c r="C3034" s="6" t="s">
        <v>1599</v>
      </c>
      <c r="D3034" s="6" t="s">
        <v>4910</v>
      </c>
    </row>
    <row r="3035" spans="1:4">
      <c r="A3035" s="6" t="s">
        <v>4892</v>
      </c>
      <c r="B3035" s="6" t="s">
        <v>5593</v>
      </c>
      <c r="C3035" s="6" t="s">
        <v>1573</v>
      </c>
      <c r="D3035" s="6" t="s">
        <v>1683</v>
      </c>
    </row>
    <row r="3036" spans="1:4">
      <c r="A3036" s="6" t="s">
        <v>4892</v>
      </c>
      <c r="B3036" s="6" t="s">
        <v>5594</v>
      </c>
      <c r="C3036" s="6" t="s">
        <v>1599</v>
      </c>
      <c r="D3036" s="6" t="s">
        <v>5595</v>
      </c>
    </row>
    <row r="3037" spans="1:4">
      <c r="A3037" s="6" t="s">
        <v>4892</v>
      </c>
      <c r="B3037" s="6" t="s">
        <v>5596</v>
      </c>
      <c r="C3037" s="6" t="s">
        <v>1599</v>
      </c>
      <c r="D3037" s="6" t="s">
        <v>5597</v>
      </c>
    </row>
    <row r="3038" ht="22" customHeight="1" spans="1:4">
      <c r="A3038" s="6" t="s">
        <v>5598</v>
      </c>
      <c r="B3038" s="6" t="s">
        <v>1569</v>
      </c>
      <c r="C3038" s="6" t="s">
        <v>1570</v>
      </c>
      <c r="D3038" s="6" t="s">
        <v>1571</v>
      </c>
    </row>
    <row r="3039" ht="22" customHeight="1" spans="1:4">
      <c r="A3039" s="6" t="s">
        <v>5598</v>
      </c>
      <c r="B3039" s="6" t="s">
        <v>4893</v>
      </c>
      <c r="C3039" s="6" t="s">
        <v>1573</v>
      </c>
      <c r="D3039" s="6" t="s">
        <v>1623</v>
      </c>
    </row>
    <row r="3040" ht="22" customHeight="1" spans="1:4">
      <c r="A3040" s="6" t="s">
        <v>5598</v>
      </c>
      <c r="B3040" s="6" t="s">
        <v>4894</v>
      </c>
      <c r="C3040" s="6" t="s">
        <v>1599</v>
      </c>
      <c r="D3040" s="6" t="s">
        <v>5599</v>
      </c>
    </row>
    <row r="3041" ht="22" customHeight="1" spans="1:4">
      <c r="A3041" s="6" t="s">
        <v>5598</v>
      </c>
      <c r="B3041" s="6" t="s">
        <v>5600</v>
      </c>
      <c r="C3041" s="6" t="s">
        <v>1599</v>
      </c>
      <c r="D3041" s="6" t="s">
        <v>5601</v>
      </c>
    </row>
    <row r="3042" ht="22" customHeight="1" spans="1:4">
      <c r="A3042" s="6" t="s">
        <v>5598</v>
      </c>
      <c r="B3042" s="6" t="s">
        <v>5602</v>
      </c>
      <c r="C3042" s="6" t="s">
        <v>1599</v>
      </c>
      <c r="D3042" s="6" t="s">
        <v>5603</v>
      </c>
    </row>
    <row r="3043" ht="22" customHeight="1" spans="1:4">
      <c r="A3043" s="6" t="s">
        <v>5598</v>
      </c>
      <c r="B3043" s="6" t="s">
        <v>5604</v>
      </c>
      <c r="C3043" s="6" t="s">
        <v>1573</v>
      </c>
      <c r="D3043" s="6" t="s">
        <v>5605</v>
      </c>
    </row>
    <row r="3044" ht="22" customHeight="1" spans="1:4">
      <c r="A3044" s="6" t="s">
        <v>5598</v>
      </c>
      <c r="B3044" s="6" t="s">
        <v>5606</v>
      </c>
      <c r="C3044" s="6" t="s">
        <v>1599</v>
      </c>
      <c r="D3044" s="6" t="s">
        <v>5607</v>
      </c>
    </row>
    <row r="3045" ht="22" customHeight="1" spans="1:4">
      <c r="A3045" s="6" t="s">
        <v>5598</v>
      </c>
      <c r="B3045" s="6" t="s">
        <v>5608</v>
      </c>
      <c r="C3045" s="6" t="s">
        <v>1599</v>
      </c>
      <c r="D3045" s="6" t="s">
        <v>5609</v>
      </c>
    </row>
    <row r="3046" ht="22" customHeight="1" spans="1:4">
      <c r="A3046" s="6" t="s">
        <v>5598</v>
      </c>
      <c r="B3046" s="6" t="s">
        <v>5610</v>
      </c>
      <c r="C3046" s="6" t="s">
        <v>1576</v>
      </c>
      <c r="D3046" s="6" t="s">
        <v>1571</v>
      </c>
    </row>
    <row r="3047" ht="22" customHeight="1" spans="1:4">
      <c r="A3047" s="6" t="s">
        <v>5598</v>
      </c>
      <c r="B3047" s="6" t="s">
        <v>5611</v>
      </c>
      <c r="C3047" s="6" t="s">
        <v>1570</v>
      </c>
      <c r="D3047" s="6" t="s">
        <v>1571</v>
      </c>
    </row>
    <row r="3048" ht="22" customHeight="1" spans="1:4">
      <c r="A3048" s="6" t="s">
        <v>5598</v>
      </c>
      <c r="B3048" s="6" t="s">
        <v>5612</v>
      </c>
      <c r="C3048" s="6" t="s">
        <v>1599</v>
      </c>
      <c r="D3048" s="6" t="s">
        <v>5603</v>
      </c>
    </row>
    <row r="3049" ht="22" customHeight="1" spans="1:4">
      <c r="A3049" s="6" t="s">
        <v>5598</v>
      </c>
      <c r="B3049" s="6" t="s">
        <v>5613</v>
      </c>
      <c r="C3049" s="6" t="s">
        <v>1599</v>
      </c>
      <c r="D3049" s="6" t="s">
        <v>5614</v>
      </c>
    </row>
    <row r="3050" ht="22" customHeight="1" spans="1:4">
      <c r="A3050" s="6" t="s">
        <v>5598</v>
      </c>
      <c r="B3050" s="6" t="s">
        <v>5615</v>
      </c>
      <c r="C3050" s="6" t="s">
        <v>1599</v>
      </c>
      <c r="D3050" s="6" t="s">
        <v>5616</v>
      </c>
    </row>
    <row r="3051" ht="22" customHeight="1" spans="1:4">
      <c r="A3051" s="6" t="s">
        <v>5598</v>
      </c>
      <c r="B3051" s="6" t="s">
        <v>5617</v>
      </c>
      <c r="C3051" s="6" t="s">
        <v>1599</v>
      </c>
      <c r="D3051" s="6" t="s">
        <v>5618</v>
      </c>
    </row>
    <row r="3052" ht="22" customHeight="1" spans="1:4">
      <c r="A3052" s="6" t="s">
        <v>5598</v>
      </c>
      <c r="B3052" s="6" t="s">
        <v>5619</v>
      </c>
      <c r="C3052" s="6" t="s">
        <v>1570</v>
      </c>
      <c r="D3052" s="6" t="s">
        <v>1571</v>
      </c>
    </row>
    <row r="3053" ht="22" customHeight="1" spans="1:4">
      <c r="A3053" s="6" t="s">
        <v>5598</v>
      </c>
      <c r="B3053" s="6" t="s">
        <v>5620</v>
      </c>
      <c r="C3053" s="6" t="s">
        <v>1599</v>
      </c>
      <c r="D3053" s="6" t="s">
        <v>5621</v>
      </c>
    </row>
    <row r="3054" ht="22" customHeight="1" spans="1:4">
      <c r="A3054" s="6" t="s">
        <v>5598</v>
      </c>
      <c r="B3054" s="6" t="s">
        <v>5622</v>
      </c>
      <c r="C3054" s="6" t="s">
        <v>1599</v>
      </c>
      <c r="D3054" s="6" t="s">
        <v>5623</v>
      </c>
    </row>
    <row r="3055" ht="22" customHeight="1" spans="1:4">
      <c r="A3055" s="6" t="s">
        <v>5598</v>
      </c>
      <c r="B3055" s="6" t="s">
        <v>5624</v>
      </c>
      <c r="C3055" s="6" t="s">
        <v>1599</v>
      </c>
      <c r="D3055" s="6" t="s">
        <v>5625</v>
      </c>
    </row>
    <row r="3056" ht="22" customHeight="1" spans="1:4">
      <c r="A3056" s="6" t="s">
        <v>5598</v>
      </c>
      <c r="B3056" s="6" t="s">
        <v>5626</v>
      </c>
      <c r="C3056" s="6" t="s">
        <v>1599</v>
      </c>
      <c r="D3056" s="6" t="s">
        <v>5627</v>
      </c>
    </row>
    <row r="3057" ht="22" customHeight="1" spans="1:4">
      <c r="A3057" s="6" t="s">
        <v>5598</v>
      </c>
      <c r="B3057" s="6" t="s">
        <v>5628</v>
      </c>
      <c r="C3057" s="6" t="s">
        <v>1570</v>
      </c>
      <c r="D3057" s="6" t="s">
        <v>1571</v>
      </c>
    </row>
    <row r="3058" ht="22" customHeight="1" spans="1:4">
      <c r="A3058" s="6" t="s">
        <v>5598</v>
      </c>
      <c r="B3058" s="6" t="s">
        <v>5629</v>
      </c>
      <c r="C3058" s="6" t="s">
        <v>1599</v>
      </c>
      <c r="D3058" s="6" t="s">
        <v>5630</v>
      </c>
    </row>
    <row r="3059" ht="22" customHeight="1" spans="1:4">
      <c r="A3059" s="6" t="s">
        <v>5598</v>
      </c>
      <c r="B3059" s="6" t="s">
        <v>5631</v>
      </c>
      <c r="C3059" s="6" t="s">
        <v>1599</v>
      </c>
      <c r="D3059" s="6" t="s">
        <v>4970</v>
      </c>
    </row>
    <row r="3060" ht="22" customHeight="1" spans="1:4">
      <c r="A3060" s="6" t="s">
        <v>5598</v>
      </c>
      <c r="B3060" s="6" t="s">
        <v>5632</v>
      </c>
      <c r="C3060" s="6" t="s">
        <v>1599</v>
      </c>
      <c r="D3060" s="6" t="s">
        <v>4972</v>
      </c>
    </row>
    <row r="3061" ht="22" customHeight="1" spans="1:4">
      <c r="A3061" s="6" t="s">
        <v>5598</v>
      </c>
      <c r="B3061" s="6" t="s">
        <v>5633</v>
      </c>
      <c r="C3061" s="6" t="s">
        <v>1599</v>
      </c>
      <c r="D3061" s="6" t="s">
        <v>5634</v>
      </c>
    </row>
    <row r="3062" ht="22" customHeight="1" spans="1:4">
      <c r="A3062" s="6" t="s">
        <v>5598</v>
      </c>
      <c r="B3062" s="6" t="s">
        <v>5635</v>
      </c>
      <c r="C3062" s="6" t="s">
        <v>1570</v>
      </c>
      <c r="D3062" s="6" t="s">
        <v>1571</v>
      </c>
    </row>
    <row r="3063" ht="22" customHeight="1" spans="1:4">
      <c r="A3063" s="6" t="s">
        <v>5598</v>
      </c>
      <c r="B3063" s="6" t="s">
        <v>5636</v>
      </c>
      <c r="C3063" s="6" t="s">
        <v>1599</v>
      </c>
      <c r="D3063" s="6" t="s">
        <v>5637</v>
      </c>
    </row>
    <row r="3064" ht="22" customHeight="1" spans="1:4">
      <c r="A3064" s="6" t="s">
        <v>5598</v>
      </c>
      <c r="B3064" s="6" t="s">
        <v>5638</v>
      </c>
      <c r="C3064" s="6" t="s">
        <v>1599</v>
      </c>
      <c r="D3064" s="6" t="s">
        <v>4982</v>
      </c>
    </row>
    <row r="3065" ht="22" customHeight="1" spans="1:4">
      <c r="A3065" s="6" t="s">
        <v>5598</v>
      </c>
      <c r="B3065" s="6" t="s">
        <v>5639</v>
      </c>
      <c r="C3065" s="6" t="s">
        <v>1599</v>
      </c>
      <c r="D3065" s="6" t="s">
        <v>4984</v>
      </c>
    </row>
    <row r="3066" ht="22" customHeight="1" spans="1:4">
      <c r="A3066" s="6" t="s">
        <v>5598</v>
      </c>
      <c r="B3066" s="6" t="s">
        <v>5640</v>
      </c>
      <c r="C3066" s="6" t="s">
        <v>1599</v>
      </c>
      <c r="D3066" s="6" t="s">
        <v>5641</v>
      </c>
    </row>
    <row r="3067" ht="22" customHeight="1" spans="1:4">
      <c r="A3067" s="6" t="s">
        <v>5598</v>
      </c>
      <c r="B3067" s="6" t="s">
        <v>5642</v>
      </c>
      <c r="C3067" s="6" t="s">
        <v>1570</v>
      </c>
      <c r="D3067" s="6" t="s">
        <v>1571</v>
      </c>
    </row>
    <row r="3068" ht="22" customHeight="1" spans="1:4">
      <c r="A3068" s="6" t="s">
        <v>5598</v>
      </c>
      <c r="B3068" s="6" t="s">
        <v>5643</v>
      </c>
      <c r="C3068" s="6" t="s">
        <v>1599</v>
      </c>
      <c r="D3068" s="6" t="s">
        <v>5644</v>
      </c>
    </row>
    <row r="3069" ht="22" customHeight="1" spans="1:4">
      <c r="A3069" s="6" t="s">
        <v>5598</v>
      </c>
      <c r="B3069" s="6" t="s">
        <v>5645</v>
      </c>
      <c r="C3069" s="6" t="s">
        <v>1599</v>
      </c>
      <c r="D3069" s="6" t="s">
        <v>4994</v>
      </c>
    </row>
    <row r="3070" ht="22" customHeight="1" spans="1:4">
      <c r="A3070" s="6" t="s">
        <v>5598</v>
      </c>
      <c r="B3070" s="6" t="s">
        <v>5646</v>
      </c>
      <c r="C3070" s="6" t="s">
        <v>1599</v>
      </c>
      <c r="D3070" s="6" t="s">
        <v>4996</v>
      </c>
    </row>
    <row r="3071" ht="22" customHeight="1" spans="1:4">
      <c r="A3071" s="6" t="s">
        <v>5598</v>
      </c>
      <c r="B3071" s="6" t="s">
        <v>5647</v>
      </c>
      <c r="C3071" s="6" t="s">
        <v>1599</v>
      </c>
      <c r="D3071" s="6" t="s">
        <v>5648</v>
      </c>
    </row>
    <row r="3072" ht="22" customHeight="1" spans="1:4">
      <c r="A3072" s="6" t="s">
        <v>5598</v>
      </c>
      <c r="B3072" s="6" t="s">
        <v>5649</v>
      </c>
      <c r="C3072" s="6" t="s">
        <v>1570</v>
      </c>
      <c r="D3072" s="6" t="s">
        <v>1571</v>
      </c>
    </row>
    <row r="3073" ht="22" customHeight="1" spans="1:4">
      <c r="A3073" s="6" t="s">
        <v>5598</v>
      </c>
      <c r="B3073" s="6" t="s">
        <v>5650</v>
      </c>
      <c r="C3073" s="6" t="s">
        <v>1599</v>
      </c>
      <c r="D3073" s="6" t="s">
        <v>5651</v>
      </c>
    </row>
    <row r="3074" ht="22" customHeight="1" spans="1:4">
      <c r="A3074" s="6" t="s">
        <v>5598</v>
      </c>
      <c r="B3074" s="6" t="s">
        <v>5652</v>
      </c>
      <c r="C3074" s="6" t="s">
        <v>1599</v>
      </c>
      <c r="D3074" s="6" t="s">
        <v>5006</v>
      </c>
    </row>
    <row r="3075" ht="22" customHeight="1" spans="1:4">
      <c r="A3075" s="6" t="s">
        <v>5598</v>
      </c>
      <c r="B3075" s="6" t="s">
        <v>5653</v>
      </c>
      <c r="C3075" s="6" t="s">
        <v>1599</v>
      </c>
      <c r="D3075" s="6" t="s">
        <v>5008</v>
      </c>
    </row>
    <row r="3076" ht="22" customHeight="1" spans="1:4">
      <c r="A3076" s="6" t="s">
        <v>5598</v>
      </c>
      <c r="B3076" s="6" t="s">
        <v>5654</v>
      </c>
      <c r="C3076" s="6" t="s">
        <v>1599</v>
      </c>
      <c r="D3076" s="6" t="s">
        <v>5655</v>
      </c>
    </row>
    <row r="3077" ht="22" customHeight="1" spans="1:4">
      <c r="A3077" s="6" t="s">
        <v>5598</v>
      </c>
      <c r="B3077" s="6" t="s">
        <v>5656</v>
      </c>
      <c r="C3077" s="6" t="s">
        <v>1570</v>
      </c>
      <c r="D3077" s="6" t="s">
        <v>1571</v>
      </c>
    </row>
    <row r="3078" ht="22" customHeight="1" spans="1:4">
      <c r="A3078" s="6" t="s">
        <v>5598</v>
      </c>
      <c r="B3078" s="6" t="s">
        <v>5657</v>
      </c>
      <c r="C3078" s="6" t="s">
        <v>1599</v>
      </c>
      <c r="D3078" s="6" t="s">
        <v>5658</v>
      </c>
    </row>
    <row r="3079" ht="22" customHeight="1" spans="1:4">
      <c r="A3079" s="6" t="s">
        <v>5598</v>
      </c>
      <c r="B3079" s="6" t="s">
        <v>5659</v>
      </c>
      <c r="C3079" s="6" t="s">
        <v>1599</v>
      </c>
      <c r="D3079" s="6" t="s">
        <v>5018</v>
      </c>
    </row>
    <row r="3080" ht="22" customHeight="1" spans="1:4">
      <c r="A3080" s="6" t="s">
        <v>5598</v>
      </c>
      <c r="B3080" s="6" t="s">
        <v>5660</v>
      </c>
      <c r="C3080" s="6" t="s">
        <v>1599</v>
      </c>
      <c r="D3080" s="6" t="s">
        <v>5020</v>
      </c>
    </row>
    <row r="3081" ht="22" customHeight="1" spans="1:4">
      <c r="A3081" s="6" t="s">
        <v>5598</v>
      </c>
      <c r="B3081" s="6" t="s">
        <v>5661</v>
      </c>
      <c r="C3081" s="6" t="s">
        <v>1599</v>
      </c>
      <c r="D3081" s="6" t="s">
        <v>5662</v>
      </c>
    </row>
    <row r="3082" ht="22" customHeight="1" spans="1:4">
      <c r="A3082" s="6" t="s">
        <v>5598</v>
      </c>
      <c r="B3082" s="6" t="s">
        <v>5663</v>
      </c>
      <c r="C3082" s="6" t="s">
        <v>1570</v>
      </c>
      <c r="D3082" s="6" t="s">
        <v>1571</v>
      </c>
    </row>
    <row r="3083" ht="22" customHeight="1" spans="1:4">
      <c r="A3083" s="6" t="s">
        <v>5598</v>
      </c>
      <c r="B3083" s="6" t="s">
        <v>5664</v>
      </c>
      <c r="C3083" s="6" t="s">
        <v>1599</v>
      </c>
      <c r="D3083" s="6" t="s">
        <v>5665</v>
      </c>
    </row>
    <row r="3084" ht="22" customHeight="1" spans="1:4">
      <c r="A3084" s="6" t="s">
        <v>5598</v>
      </c>
      <c r="B3084" s="6" t="s">
        <v>5666</v>
      </c>
      <c r="C3084" s="6" t="s">
        <v>1599</v>
      </c>
      <c r="D3084" s="6" t="s">
        <v>5595</v>
      </c>
    </row>
    <row r="3085" ht="22" customHeight="1" spans="1:4">
      <c r="A3085" s="6" t="s">
        <v>5598</v>
      </c>
      <c r="B3085" s="6" t="s">
        <v>5667</v>
      </c>
      <c r="C3085" s="6" t="s">
        <v>1599</v>
      </c>
      <c r="D3085" s="6" t="s">
        <v>5597</v>
      </c>
    </row>
    <row r="3086" ht="22" customHeight="1" spans="1:4">
      <c r="A3086" s="6" t="s">
        <v>5598</v>
      </c>
      <c r="B3086" s="6" t="s">
        <v>5668</v>
      </c>
      <c r="C3086" s="6" t="s">
        <v>1599</v>
      </c>
      <c r="D3086" s="6" t="s">
        <v>5669</v>
      </c>
    </row>
    <row r="3087" ht="22" customHeight="1" spans="1:4">
      <c r="A3087" s="6" t="s">
        <v>5598</v>
      </c>
      <c r="B3087" s="6" t="s">
        <v>5670</v>
      </c>
      <c r="C3087" s="6" t="s">
        <v>1576</v>
      </c>
      <c r="D3087" s="6" t="s">
        <v>1571</v>
      </c>
    </row>
    <row r="3088" ht="22" customHeight="1" spans="1:4">
      <c r="A3088" s="6" t="s">
        <v>5598</v>
      </c>
      <c r="B3088" s="6" t="s">
        <v>5671</v>
      </c>
      <c r="C3088" s="6" t="s">
        <v>1570</v>
      </c>
      <c r="D3088" s="6" t="s">
        <v>1571</v>
      </c>
    </row>
    <row r="3089" ht="22" customHeight="1" spans="1:4">
      <c r="A3089" s="6" t="s">
        <v>5598</v>
      </c>
      <c r="B3089" s="6" t="s">
        <v>5672</v>
      </c>
      <c r="C3089" s="6" t="s">
        <v>1599</v>
      </c>
      <c r="D3089" s="6" t="s">
        <v>5601</v>
      </c>
    </row>
    <row r="3090" ht="22" customHeight="1" spans="1:4">
      <c r="A3090" s="6" t="s">
        <v>5598</v>
      </c>
      <c r="B3090" s="6" t="s">
        <v>5673</v>
      </c>
      <c r="C3090" s="6" t="s">
        <v>1599</v>
      </c>
      <c r="D3090" s="6" t="s">
        <v>5674</v>
      </c>
    </row>
    <row r="3091" ht="22" customHeight="1" spans="1:4">
      <c r="A3091" s="6" t="s">
        <v>5598</v>
      </c>
      <c r="B3091" s="6" t="s">
        <v>5675</v>
      </c>
      <c r="C3091" s="6" t="s">
        <v>1599</v>
      </c>
      <c r="D3091" s="6" t="s">
        <v>2808</v>
      </c>
    </row>
    <row r="3092" ht="22" customHeight="1" spans="1:4">
      <c r="A3092" s="6" t="s">
        <v>5598</v>
      </c>
      <c r="B3092" s="6" t="s">
        <v>5676</v>
      </c>
      <c r="C3092" s="6" t="s">
        <v>1599</v>
      </c>
      <c r="D3092" s="6" t="s">
        <v>5677</v>
      </c>
    </row>
    <row r="3093" ht="22" customHeight="1" spans="1:4">
      <c r="A3093" s="6" t="s">
        <v>5598</v>
      </c>
      <c r="B3093" s="6" t="s">
        <v>5678</v>
      </c>
      <c r="C3093" s="6" t="s">
        <v>1599</v>
      </c>
      <c r="D3093" s="6" t="s">
        <v>2546</v>
      </c>
    </row>
    <row r="3094" ht="22" customHeight="1" spans="1:4">
      <c r="A3094" s="6" t="s">
        <v>5598</v>
      </c>
      <c r="B3094" s="6" t="s">
        <v>5679</v>
      </c>
      <c r="C3094" s="6" t="s">
        <v>1570</v>
      </c>
      <c r="D3094" s="6" t="s">
        <v>1571</v>
      </c>
    </row>
    <row r="3095" ht="22" customHeight="1" spans="1:4">
      <c r="A3095" s="6" t="s">
        <v>5598</v>
      </c>
      <c r="B3095" s="6" t="s">
        <v>5680</v>
      </c>
      <c r="C3095" s="6" t="s">
        <v>1599</v>
      </c>
      <c r="D3095" s="6" t="s">
        <v>5681</v>
      </c>
    </row>
    <row r="3096" ht="22" customHeight="1" spans="1:4">
      <c r="A3096" s="6" t="s">
        <v>5598</v>
      </c>
      <c r="B3096" s="6" t="s">
        <v>5682</v>
      </c>
      <c r="C3096" s="6" t="s">
        <v>1599</v>
      </c>
      <c r="D3096" s="6" t="s">
        <v>5683</v>
      </c>
    </row>
    <row r="3097" ht="22" customHeight="1" spans="1:4">
      <c r="A3097" s="6" t="s">
        <v>5598</v>
      </c>
      <c r="B3097" s="6" t="s">
        <v>5684</v>
      </c>
      <c r="C3097" s="6" t="s">
        <v>1599</v>
      </c>
      <c r="D3097" s="6" t="s">
        <v>2671</v>
      </c>
    </row>
    <row r="3098" ht="22" customHeight="1" spans="1:4">
      <c r="A3098" s="6" t="s">
        <v>5598</v>
      </c>
      <c r="B3098" s="6" t="s">
        <v>5685</v>
      </c>
      <c r="C3098" s="6" t="s">
        <v>1599</v>
      </c>
      <c r="D3098" s="6" t="s">
        <v>5686</v>
      </c>
    </row>
    <row r="3099" ht="22" customHeight="1" spans="1:4">
      <c r="A3099" s="6" t="s">
        <v>5598</v>
      </c>
      <c r="B3099" s="6" t="s">
        <v>5687</v>
      </c>
      <c r="C3099" s="6" t="s">
        <v>1599</v>
      </c>
      <c r="D3099" s="6" t="s">
        <v>2546</v>
      </c>
    </row>
    <row r="3100" ht="22" customHeight="1" spans="1:4">
      <c r="A3100" s="6" t="s">
        <v>5598</v>
      </c>
      <c r="B3100" s="6" t="s">
        <v>5688</v>
      </c>
      <c r="C3100" s="6" t="s">
        <v>1570</v>
      </c>
      <c r="D3100" s="6" t="s">
        <v>1571</v>
      </c>
    </row>
    <row r="3101" ht="22" customHeight="1" spans="1:4">
      <c r="A3101" s="6" t="s">
        <v>5598</v>
      </c>
      <c r="B3101" s="6" t="s">
        <v>5689</v>
      </c>
      <c r="C3101" s="6" t="s">
        <v>1599</v>
      </c>
      <c r="D3101" s="6" t="s">
        <v>5690</v>
      </c>
    </row>
    <row r="3102" ht="22" customHeight="1" spans="1:4">
      <c r="A3102" s="6" t="s">
        <v>5598</v>
      </c>
      <c r="B3102" s="6" t="s">
        <v>5691</v>
      </c>
      <c r="C3102" s="6" t="s">
        <v>1599</v>
      </c>
      <c r="D3102" s="6" t="s">
        <v>5692</v>
      </c>
    </row>
    <row r="3103" ht="22" customHeight="1" spans="1:4">
      <c r="A3103" s="6" t="s">
        <v>5598</v>
      </c>
      <c r="B3103" s="6" t="s">
        <v>5693</v>
      </c>
      <c r="C3103" s="6" t="s">
        <v>1599</v>
      </c>
      <c r="D3103" s="6" t="s">
        <v>2638</v>
      </c>
    </row>
    <row r="3104" ht="22" customHeight="1" spans="1:4">
      <c r="A3104" s="6" t="s">
        <v>5598</v>
      </c>
      <c r="B3104" s="6" t="s">
        <v>5694</v>
      </c>
      <c r="C3104" s="6" t="s">
        <v>1599</v>
      </c>
      <c r="D3104" s="6" t="s">
        <v>5695</v>
      </c>
    </row>
    <row r="3105" ht="22" customHeight="1" spans="1:4">
      <c r="A3105" s="6" t="s">
        <v>5598</v>
      </c>
      <c r="B3105" s="6" t="s">
        <v>5696</v>
      </c>
      <c r="C3105" s="6" t="s">
        <v>1599</v>
      </c>
      <c r="D3105" s="6" t="s">
        <v>2546</v>
      </c>
    </row>
    <row r="3106" ht="22" customHeight="1" spans="1:4">
      <c r="A3106" s="6" t="s">
        <v>5598</v>
      </c>
      <c r="B3106" s="6" t="s">
        <v>5697</v>
      </c>
      <c r="C3106" s="6" t="s">
        <v>1570</v>
      </c>
      <c r="D3106" s="6" t="s">
        <v>1571</v>
      </c>
    </row>
    <row r="3107" ht="22" customHeight="1" spans="1:4">
      <c r="A3107" s="6" t="s">
        <v>5598</v>
      </c>
      <c r="B3107" s="6" t="s">
        <v>5698</v>
      </c>
      <c r="C3107" s="6" t="s">
        <v>1599</v>
      </c>
      <c r="D3107" s="6" t="s">
        <v>5699</v>
      </c>
    </row>
    <row r="3108" ht="22" customHeight="1" spans="1:4">
      <c r="A3108" s="6" t="s">
        <v>5598</v>
      </c>
      <c r="B3108" s="6" t="s">
        <v>5700</v>
      </c>
      <c r="C3108" s="6" t="s">
        <v>1599</v>
      </c>
      <c r="D3108" s="6" t="s">
        <v>5701</v>
      </c>
    </row>
    <row r="3109" ht="22" customHeight="1" spans="1:4">
      <c r="A3109" s="6" t="s">
        <v>5598</v>
      </c>
      <c r="B3109" s="6" t="s">
        <v>5702</v>
      </c>
      <c r="C3109" s="6" t="s">
        <v>1599</v>
      </c>
      <c r="D3109" s="6" t="s">
        <v>2704</v>
      </c>
    </row>
    <row r="3110" ht="22" customHeight="1" spans="1:4">
      <c r="A3110" s="6" t="s">
        <v>5598</v>
      </c>
      <c r="B3110" s="6" t="s">
        <v>5703</v>
      </c>
      <c r="C3110" s="6" t="s">
        <v>1599</v>
      </c>
      <c r="D3110" s="6" t="s">
        <v>5704</v>
      </c>
    </row>
    <row r="3111" ht="22" customHeight="1" spans="1:4">
      <c r="A3111" s="6" t="s">
        <v>5598</v>
      </c>
      <c r="B3111" s="6" t="s">
        <v>5705</v>
      </c>
      <c r="C3111" s="6" t="s">
        <v>1599</v>
      </c>
      <c r="D3111" s="6" t="s">
        <v>2546</v>
      </c>
    </row>
    <row r="3112" ht="22" customHeight="1" spans="1:4">
      <c r="A3112" s="6" t="s">
        <v>5598</v>
      </c>
      <c r="B3112" s="6" t="s">
        <v>5706</v>
      </c>
      <c r="C3112" s="6" t="s">
        <v>1570</v>
      </c>
      <c r="D3112" s="6" t="s">
        <v>1571</v>
      </c>
    </row>
    <row r="3113" ht="22" customHeight="1" spans="1:4">
      <c r="A3113" s="6" t="s">
        <v>5598</v>
      </c>
      <c r="B3113" s="6" t="s">
        <v>5707</v>
      </c>
      <c r="C3113" s="6" t="s">
        <v>1599</v>
      </c>
      <c r="D3113" s="6" t="s">
        <v>5708</v>
      </c>
    </row>
    <row r="3114" ht="22" customHeight="1" spans="1:4">
      <c r="A3114" s="6" t="s">
        <v>5598</v>
      </c>
      <c r="B3114" s="6" t="s">
        <v>5709</v>
      </c>
      <c r="C3114" s="6" t="s">
        <v>1599</v>
      </c>
      <c r="D3114" s="6" t="s">
        <v>5710</v>
      </c>
    </row>
    <row r="3115" ht="22" customHeight="1" spans="1:4">
      <c r="A3115" s="6" t="s">
        <v>5598</v>
      </c>
      <c r="B3115" s="6" t="s">
        <v>5711</v>
      </c>
      <c r="C3115" s="6" t="s">
        <v>1599</v>
      </c>
      <c r="D3115" s="6" t="s">
        <v>5712</v>
      </c>
    </row>
    <row r="3116" ht="22" customHeight="1" spans="1:4">
      <c r="A3116" s="6" t="s">
        <v>5598</v>
      </c>
      <c r="B3116" s="6" t="s">
        <v>5713</v>
      </c>
      <c r="C3116" s="6" t="s">
        <v>1599</v>
      </c>
      <c r="D3116" s="6" t="s">
        <v>5714</v>
      </c>
    </row>
    <row r="3117" ht="22" customHeight="1" spans="1:4">
      <c r="A3117" s="6" t="s">
        <v>5598</v>
      </c>
      <c r="B3117" s="6" t="s">
        <v>5715</v>
      </c>
      <c r="C3117" s="6" t="s">
        <v>1599</v>
      </c>
      <c r="D3117" s="6" t="s">
        <v>1963</v>
      </c>
    </row>
    <row r="3118" ht="22" customHeight="1" spans="1:4">
      <c r="A3118" s="6" t="s">
        <v>5598</v>
      </c>
      <c r="B3118" s="6" t="s">
        <v>5716</v>
      </c>
      <c r="C3118" s="6" t="s">
        <v>1570</v>
      </c>
      <c r="D3118" s="6" t="s">
        <v>1571</v>
      </c>
    </row>
    <row r="3119" ht="22" customHeight="1" spans="1:4">
      <c r="A3119" s="6" t="s">
        <v>5598</v>
      </c>
      <c r="B3119" s="6" t="s">
        <v>5717</v>
      </c>
      <c r="C3119" s="6" t="s">
        <v>1599</v>
      </c>
      <c r="D3119" s="6" t="s">
        <v>5718</v>
      </c>
    </row>
    <row r="3120" ht="22" customHeight="1" spans="1:4">
      <c r="A3120" s="6" t="s">
        <v>5598</v>
      </c>
      <c r="B3120" s="6" t="s">
        <v>5719</v>
      </c>
      <c r="C3120" s="6" t="s">
        <v>1599</v>
      </c>
      <c r="D3120" s="6" t="s">
        <v>5720</v>
      </c>
    </row>
    <row r="3121" ht="22" customHeight="1" spans="1:4">
      <c r="A3121" s="6" t="s">
        <v>5598</v>
      </c>
      <c r="B3121" s="6" t="s">
        <v>5721</v>
      </c>
      <c r="C3121" s="6" t="s">
        <v>1599</v>
      </c>
      <c r="D3121" s="6" t="s">
        <v>5722</v>
      </c>
    </row>
    <row r="3122" ht="22" customHeight="1" spans="1:4">
      <c r="A3122" s="6" t="s">
        <v>5598</v>
      </c>
      <c r="B3122" s="6" t="s">
        <v>5723</v>
      </c>
      <c r="C3122" s="6" t="s">
        <v>1599</v>
      </c>
      <c r="D3122" s="6" t="s">
        <v>5724</v>
      </c>
    </row>
    <row r="3123" ht="22" customHeight="1" spans="1:4">
      <c r="A3123" s="6" t="s">
        <v>5598</v>
      </c>
      <c r="B3123" s="6" t="s">
        <v>5725</v>
      </c>
      <c r="C3123" s="6" t="s">
        <v>1599</v>
      </c>
      <c r="D3123" s="6" t="s">
        <v>1963</v>
      </c>
    </row>
    <row r="3124" ht="22" customHeight="1" spans="1:4">
      <c r="A3124" s="6" t="s">
        <v>5598</v>
      </c>
      <c r="B3124" s="6" t="s">
        <v>5726</v>
      </c>
      <c r="C3124" s="6" t="s">
        <v>1570</v>
      </c>
      <c r="D3124" s="6" t="s">
        <v>1571</v>
      </c>
    </row>
    <row r="3125" ht="22" customHeight="1" spans="1:4">
      <c r="A3125" s="6" t="s">
        <v>5598</v>
      </c>
      <c r="B3125" s="6" t="s">
        <v>5727</v>
      </c>
      <c r="C3125" s="6" t="s">
        <v>1599</v>
      </c>
      <c r="D3125" s="6" t="s">
        <v>5728</v>
      </c>
    </row>
    <row r="3126" ht="22" customHeight="1" spans="1:4">
      <c r="A3126" s="6" t="s">
        <v>5598</v>
      </c>
      <c r="B3126" s="6" t="s">
        <v>5729</v>
      </c>
      <c r="C3126" s="6" t="s">
        <v>1599</v>
      </c>
      <c r="D3126" s="6" t="s">
        <v>5730</v>
      </c>
    </row>
    <row r="3127" ht="22" customHeight="1" spans="1:4">
      <c r="A3127" s="6" t="s">
        <v>5598</v>
      </c>
      <c r="B3127" s="6" t="s">
        <v>5731</v>
      </c>
      <c r="C3127" s="6" t="s">
        <v>1599</v>
      </c>
      <c r="D3127" s="6" t="s">
        <v>5732</v>
      </c>
    </row>
    <row r="3128" ht="22" customHeight="1" spans="1:4">
      <c r="A3128" s="6" t="s">
        <v>5598</v>
      </c>
      <c r="B3128" s="6" t="s">
        <v>5733</v>
      </c>
      <c r="C3128" s="6" t="s">
        <v>1599</v>
      </c>
      <c r="D3128" s="6" t="s">
        <v>5734</v>
      </c>
    </row>
    <row r="3129" ht="22" customHeight="1" spans="1:4">
      <c r="A3129" s="6" t="s">
        <v>5598</v>
      </c>
      <c r="B3129" s="6" t="s">
        <v>5735</v>
      </c>
      <c r="C3129" s="6" t="s">
        <v>1599</v>
      </c>
      <c r="D3129" s="6" t="s">
        <v>1963</v>
      </c>
    </row>
    <row r="3130" ht="22" customHeight="1" spans="1:4">
      <c r="A3130" s="6" t="s">
        <v>5598</v>
      </c>
      <c r="B3130" s="6" t="s">
        <v>5736</v>
      </c>
      <c r="C3130" s="6" t="s">
        <v>1570</v>
      </c>
      <c r="D3130" s="6" t="s">
        <v>1571</v>
      </c>
    </row>
    <row r="3131" ht="22" customHeight="1" spans="1:4">
      <c r="A3131" s="6" t="s">
        <v>5598</v>
      </c>
      <c r="B3131" s="6" t="s">
        <v>5737</v>
      </c>
      <c r="C3131" s="6" t="s">
        <v>1599</v>
      </c>
      <c r="D3131" s="6" t="s">
        <v>5738</v>
      </c>
    </row>
    <row r="3132" ht="22" customHeight="1" spans="1:4">
      <c r="A3132" s="6" t="s">
        <v>5598</v>
      </c>
      <c r="B3132" s="6" t="s">
        <v>5739</v>
      </c>
      <c r="C3132" s="6" t="s">
        <v>1599</v>
      </c>
      <c r="D3132" s="6" t="s">
        <v>5740</v>
      </c>
    </row>
    <row r="3133" ht="22" customHeight="1" spans="1:4">
      <c r="A3133" s="6" t="s">
        <v>5598</v>
      </c>
      <c r="B3133" s="6" t="s">
        <v>5741</v>
      </c>
      <c r="C3133" s="6" t="s">
        <v>1599</v>
      </c>
      <c r="D3133" s="6" t="s">
        <v>5742</v>
      </c>
    </row>
    <row r="3134" ht="22" customHeight="1" spans="1:4">
      <c r="A3134" s="6" t="s">
        <v>5598</v>
      </c>
      <c r="B3134" s="6" t="s">
        <v>5743</v>
      </c>
      <c r="C3134" s="6" t="s">
        <v>1599</v>
      </c>
      <c r="D3134" s="6" t="s">
        <v>5744</v>
      </c>
    </row>
    <row r="3135" ht="22" customHeight="1" spans="1:4">
      <c r="A3135" s="6" t="s">
        <v>5598</v>
      </c>
      <c r="B3135" s="6" t="s">
        <v>5745</v>
      </c>
      <c r="C3135" s="6" t="s">
        <v>1599</v>
      </c>
      <c r="D3135" s="6" t="s">
        <v>1963</v>
      </c>
    </row>
    <row r="3136" ht="22" customHeight="1" spans="1:4">
      <c r="A3136" s="6" t="s">
        <v>5598</v>
      </c>
      <c r="B3136" s="6" t="s">
        <v>5746</v>
      </c>
      <c r="C3136" s="6" t="s">
        <v>1570</v>
      </c>
      <c r="D3136" s="6" t="s">
        <v>1571</v>
      </c>
    </row>
    <row r="3137" ht="22" customHeight="1" spans="1:4">
      <c r="A3137" s="6" t="s">
        <v>5598</v>
      </c>
      <c r="B3137" s="6" t="s">
        <v>5747</v>
      </c>
      <c r="C3137" s="6" t="s">
        <v>1599</v>
      </c>
      <c r="D3137" s="6" t="s">
        <v>5748</v>
      </c>
    </row>
    <row r="3138" ht="22" customHeight="1" spans="1:4">
      <c r="A3138" s="6" t="s">
        <v>5598</v>
      </c>
      <c r="B3138" s="6" t="s">
        <v>5749</v>
      </c>
      <c r="C3138" s="6" t="s">
        <v>1599</v>
      </c>
      <c r="D3138" s="6" t="s">
        <v>5750</v>
      </c>
    </row>
    <row r="3139" ht="22" customHeight="1" spans="1:4">
      <c r="A3139" s="6" t="s">
        <v>5598</v>
      </c>
      <c r="B3139" s="6" t="s">
        <v>5751</v>
      </c>
      <c r="C3139" s="6" t="s">
        <v>1599</v>
      </c>
      <c r="D3139" s="6" t="s">
        <v>1953</v>
      </c>
    </row>
    <row r="3140" ht="22" customHeight="1" spans="1:4">
      <c r="A3140" s="6" t="s">
        <v>5598</v>
      </c>
      <c r="B3140" s="6" t="s">
        <v>5752</v>
      </c>
      <c r="C3140" s="6" t="s">
        <v>1599</v>
      </c>
      <c r="D3140" s="6" t="s">
        <v>5753</v>
      </c>
    </row>
    <row r="3141" ht="22" customHeight="1" spans="1:4">
      <c r="A3141" s="6" t="s">
        <v>5598</v>
      </c>
      <c r="B3141" s="6" t="s">
        <v>5754</v>
      </c>
      <c r="C3141" s="6" t="s">
        <v>1599</v>
      </c>
      <c r="D3141" s="6" t="s">
        <v>1619</v>
      </c>
    </row>
    <row r="3142" ht="22" customHeight="1" spans="1:4">
      <c r="A3142" s="6" t="s">
        <v>5598</v>
      </c>
      <c r="B3142" s="6" t="s">
        <v>5755</v>
      </c>
      <c r="C3142" s="6" t="s">
        <v>1570</v>
      </c>
      <c r="D3142" s="6" t="s">
        <v>1571</v>
      </c>
    </row>
    <row r="3143" ht="22" customHeight="1" spans="1:4">
      <c r="A3143" s="6" t="s">
        <v>5598</v>
      </c>
      <c r="B3143" s="6" t="s">
        <v>5756</v>
      </c>
      <c r="C3143" s="6" t="s">
        <v>1599</v>
      </c>
      <c r="D3143" s="6" t="s">
        <v>5757</v>
      </c>
    </row>
    <row r="3144" ht="22" customHeight="1" spans="1:4">
      <c r="A3144" s="6" t="s">
        <v>5598</v>
      </c>
      <c r="B3144" s="6" t="s">
        <v>5758</v>
      </c>
      <c r="C3144" s="6" t="s">
        <v>1599</v>
      </c>
      <c r="D3144" s="6" t="s">
        <v>1883</v>
      </c>
    </row>
    <row r="3145" ht="22" customHeight="1" spans="1:4">
      <c r="A3145" s="6" t="s">
        <v>5598</v>
      </c>
      <c r="B3145" s="6" t="s">
        <v>5759</v>
      </c>
      <c r="C3145" s="6" t="s">
        <v>1599</v>
      </c>
      <c r="D3145" s="6" t="s">
        <v>1912</v>
      </c>
    </row>
    <row r="3146" ht="22" customHeight="1" spans="1:4">
      <c r="A3146" s="6" t="s">
        <v>5598</v>
      </c>
      <c r="B3146" s="6" t="s">
        <v>5760</v>
      </c>
      <c r="C3146" s="6" t="s">
        <v>1599</v>
      </c>
      <c r="D3146" s="6" t="s">
        <v>5761</v>
      </c>
    </row>
    <row r="3147" ht="22" customHeight="1" spans="1:4">
      <c r="A3147" s="6" t="s">
        <v>5598</v>
      </c>
      <c r="B3147" s="6" t="s">
        <v>5762</v>
      </c>
      <c r="C3147" s="6" t="s">
        <v>1599</v>
      </c>
      <c r="D3147" s="6" t="s">
        <v>1619</v>
      </c>
    </row>
    <row r="3148" ht="22" customHeight="1" spans="1:4">
      <c r="A3148" s="6" t="s">
        <v>5598</v>
      </c>
      <c r="B3148" s="6" t="s">
        <v>5763</v>
      </c>
      <c r="C3148" s="6" t="s">
        <v>1570</v>
      </c>
      <c r="D3148" s="6" t="s">
        <v>1571</v>
      </c>
    </row>
    <row r="3149" ht="22" customHeight="1" spans="1:4">
      <c r="A3149" s="6" t="s">
        <v>5598</v>
      </c>
      <c r="B3149" s="6" t="s">
        <v>5764</v>
      </c>
      <c r="C3149" s="6" t="s">
        <v>1599</v>
      </c>
      <c r="D3149" s="6" t="s">
        <v>5765</v>
      </c>
    </row>
    <row r="3150" ht="22" customHeight="1" spans="1:4">
      <c r="A3150" s="6" t="s">
        <v>5598</v>
      </c>
      <c r="B3150" s="6" t="s">
        <v>5766</v>
      </c>
      <c r="C3150" s="6" t="s">
        <v>1599</v>
      </c>
      <c r="D3150" s="6" t="s">
        <v>5767</v>
      </c>
    </row>
    <row r="3151" ht="22" customHeight="1" spans="1:4">
      <c r="A3151" s="6" t="s">
        <v>5598</v>
      </c>
      <c r="B3151" s="6" t="s">
        <v>5768</v>
      </c>
      <c r="C3151" s="6" t="s">
        <v>1599</v>
      </c>
      <c r="D3151" s="6" t="s">
        <v>1792</v>
      </c>
    </row>
    <row r="3152" ht="22" customHeight="1" spans="1:4">
      <c r="A3152" s="6" t="s">
        <v>5598</v>
      </c>
      <c r="B3152" s="6" t="s">
        <v>5769</v>
      </c>
      <c r="C3152" s="6" t="s">
        <v>1599</v>
      </c>
      <c r="D3152" s="6" t="s">
        <v>5770</v>
      </c>
    </row>
    <row r="3153" ht="22" customHeight="1" spans="1:4">
      <c r="A3153" s="6" t="s">
        <v>5598</v>
      </c>
      <c r="B3153" s="6" t="s">
        <v>5771</v>
      </c>
      <c r="C3153" s="6" t="s">
        <v>1599</v>
      </c>
      <c r="D3153" s="6" t="s">
        <v>1619</v>
      </c>
    </row>
    <row r="3154" ht="22" customHeight="1" spans="1:4">
      <c r="A3154" s="6" t="s">
        <v>5598</v>
      </c>
      <c r="B3154" s="6" t="s">
        <v>5772</v>
      </c>
      <c r="C3154" s="6" t="s">
        <v>1570</v>
      </c>
      <c r="D3154" s="6" t="s">
        <v>1571</v>
      </c>
    </row>
    <row r="3155" ht="22" customHeight="1" spans="1:4">
      <c r="A3155" s="6" t="s">
        <v>5598</v>
      </c>
      <c r="B3155" s="6" t="s">
        <v>5773</v>
      </c>
      <c r="C3155" s="6" t="s">
        <v>1599</v>
      </c>
      <c r="D3155" s="6" t="s">
        <v>5774</v>
      </c>
    </row>
    <row r="3156" ht="22" customHeight="1" spans="1:4">
      <c r="A3156" s="6" t="s">
        <v>5598</v>
      </c>
      <c r="B3156" s="6" t="s">
        <v>5775</v>
      </c>
      <c r="C3156" s="6" t="s">
        <v>1599</v>
      </c>
      <c r="D3156" s="6" t="s">
        <v>5776</v>
      </c>
    </row>
    <row r="3157" ht="22" customHeight="1" spans="1:4">
      <c r="A3157" s="6" t="s">
        <v>5598</v>
      </c>
      <c r="B3157" s="6" t="s">
        <v>5777</v>
      </c>
      <c r="C3157" s="6" t="s">
        <v>1599</v>
      </c>
      <c r="D3157" s="6" t="s">
        <v>1708</v>
      </c>
    </row>
    <row r="3158" ht="22" customHeight="1" spans="1:4">
      <c r="A3158" s="6" t="s">
        <v>5598</v>
      </c>
      <c r="B3158" s="6" t="s">
        <v>5778</v>
      </c>
      <c r="C3158" s="6" t="s">
        <v>1599</v>
      </c>
      <c r="D3158" s="6" t="s">
        <v>5779</v>
      </c>
    </row>
    <row r="3159" ht="22" customHeight="1" spans="1:4">
      <c r="A3159" s="6" t="s">
        <v>5598</v>
      </c>
      <c r="B3159" s="6" t="s">
        <v>5780</v>
      </c>
      <c r="C3159" s="6" t="s">
        <v>1599</v>
      </c>
      <c r="D3159" s="6" t="s">
        <v>1619</v>
      </c>
    </row>
    <row r="3160" ht="22" customHeight="1" spans="1:4">
      <c r="A3160" s="6" t="s">
        <v>5598</v>
      </c>
      <c r="B3160" s="6" t="s">
        <v>5781</v>
      </c>
      <c r="C3160" s="6" t="s">
        <v>1570</v>
      </c>
      <c r="D3160" s="6" t="s">
        <v>1571</v>
      </c>
    </row>
    <row r="3161" ht="22" customHeight="1" spans="1:4">
      <c r="A3161" s="6" t="s">
        <v>5598</v>
      </c>
      <c r="B3161" s="6" t="s">
        <v>5782</v>
      </c>
      <c r="C3161" s="6" t="s">
        <v>1599</v>
      </c>
      <c r="D3161" s="6" t="s">
        <v>5783</v>
      </c>
    </row>
    <row r="3162" ht="22" customHeight="1" spans="1:4">
      <c r="A3162" s="6" t="s">
        <v>5598</v>
      </c>
      <c r="B3162" s="6" t="s">
        <v>5784</v>
      </c>
      <c r="C3162" s="6" t="s">
        <v>1599</v>
      </c>
      <c r="D3162" s="6" t="s">
        <v>5785</v>
      </c>
    </row>
    <row r="3163" ht="22" customHeight="1" spans="1:4">
      <c r="A3163" s="6" t="s">
        <v>5598</v>
      </c>
      <c r="B3163" s="6" t="s">
        <v>5786</v>
      </c>
      <c r="C3163" s="6" t="s">
        <v>1599</v>
      </c>
      <c r="D3163" s="6" t="s">
        <v>5787</v>
      </c>
    </row>
    <row r="3164" ht="22" customHeight="1" spans="1:4">
      <c r="A3164" s="6" t="s">
        <v>5598</v>
      </c>
      <c r="B3164" s="6" t="s">
        <v>5788</v>
      </c>
      <c r="C3164" s="6" t="s">
        <v>1599</v>
      </c>
      <c r="D3164" s="6" t="s">
        <v>5789</v>
      </c>
    </row>
    <row r="3165" ht="22" customHeight="1" spans="1:4">
      <c r="A3165" s="6" t="s">
        <v>5598</v>
      </c>
      <c r="B3165" s="6" t="s">
        <v>5790</v>
      </c>
      <c r="C3165" s="6" t="s">
        <v>1599</v>
      </c>
      <c r="D3165" s="6" t="s">
        <v>2263</v>
      </c>
    </row>
    <row r="3166" ht="22" customHeight="1" spans="1:4">
      <c r="A3166" s="6" t="s">
        <v>5598</v>
      </c>
      <c r="B3166" s="6" t="s">
        <v>5791</v>
      </c>
      <c r="C3166" s="6" t="s">
        <v>1570</v>
      </c>
      <c r="D3166" s="6" t="s">
        <v>1571</v>
      </c>
    </row>
    <row r="3167" ht="22" customHeight="1" spans="1:4">
      <c r="A3167" s="6" t="s">
        <v>5598</v>
      </c>
      <c r="B3167" s="6" t="s">
        <v>5792</v>
      </c>
      <c r="C3167" s="6" t="s">
        <v>1599</v>
      </c>
      <c r="D3167" s="6" t="s">
        <v>5793</v>
      </c>
    </row>
    <row r="3168" ht="22" customHeight="1" spans="1:4">
      <c r="A3168" s="6" t="s">
        <v>5598</v>
      </c>
      <c r="B3168" s="6" t="s">
        <v>5794</v>
      </c>
      <c r="C3168" s="6" t="s">
        <v>1599</v>
      </c>
      <c r="D3168" s="6" t="s">
        <v>5795</v>
      </c>
    </row>
    <row r="3169" ht="22" customHeight="1" spans="1:4">
      <c r="A3169" s="6" t="s">
        <v>5598</v>
      </c>
      <c r="B3169" s="6" t="s">
        <v>5796</v>
      </c>
      <c r="C3169" s="6" t="s">
        <v>1599</v>
      </c>
      <c r="D3169" s="6" t="s">
        <v>5797</v>
      </c>
    </row>
    <row r="3170" ht="22" customHeight="1" spans="1:4">
      <c r="A3170" s="6" t="s">
        <v>5598</v>
      </c>
      <c r="B3170" s="6" t="s">
        <v>5798</v>
      </c>
      <c r="C3170" s="6" t="s">
        <v>1599</v>
      </c>
      <c r="D3170" s="6" t="s">
        <v>5799</v>
      </c>
    </row>
    <row r="3171" ht="22" customHeight="1" spans="1:4">
      <c r="A3171" s="6" t="s">
        <v>5598</v>
      </c>
      <c r="B3171" s="6" t="s">
        <v>5800</v>
      </c>
      <c r="C3171" s="6" t="s">
        <v>1599</v>
      </c>
      <c r="D3171" s="6" t="s">
        <v>2263</v>
      </c>
    </row>
    <row r="3172" ht="22" customHeight="1" spans="1:4">
      <c r="A3172" s="6" t="s">
        <v>5598</v>
      </c>
      <c r="B3172" s="6" t="s">
        <v>5801</v>
      </c>
      <c r="C3172" s="6" t="s">
        <v>1570</v>
      </c>
      <c r="D3172" s="6" t="s">
        <v>1571</v>
      </c>
    </row>
    <row r="3173" ht="22" customHeight="1" spans="1:4">
      <c r="A3173" s="6" t="s">
        <v>5598</v>
      </c>
      <c r="B3173" s="6" t="s">
        <v>5802</v>
      </c>
      <c r="C3173" s="6" t="s">
        <v>1599</v>
      </c>
      <c r="D3173" s="6" t="s">
        <v>5803</v>
      </c>
    </row>
    <row r="3174" ht="22" customHeight="1" spans="1:4">
      <c r="A3174" s="6" t="s">
        <v>5598</v>
      </c>
      <c r="B3174" s="6" t="s">
        <v>5804</v>
      </c>
      <c r="C3174" s="6" t="s">
        <v>1599</v>
      </c>
      <c r="D3174" s="6" t="s">
        <v>5805</v>
      </c>
    </row>
    <row r="3175" ht="22" customHeight="1" spans="1:4">
      <c r="A3175" s="6" t="s">
        <v>5598</v>
      </c>
      <c r="B3175" s="6" t="s">
        <v>5806</v>
      </c>
      <c r="C3175" s="6" t="s">
        <v>1599</v>
      </c>
      <c r="D3175" s="6" t="s">
        <v>5807</v>
      </c>
    </row>
    <row r="3176" ht="22" customHeight="1" spans="1:4">
      <c r="A3176" s="6" t="s">
        <v>5598</v>
      </c>
      <c r="B3176" s="6" t="s">
        <v>5808</v>
      </c>
      <c r="C3176" s="6" t="s">
        <v>1599</v>
      </c>
      <c r="D3176" s="6" t="s">
        <v>5809</v>
      </c>
    </row>
    <row r="3177" ht="22" customHeight="1" spans="1:4">
      <c r="A3177" s="6" t="s">
        <v>5598</v>
      </c>
      <c r="B3177" s="6" t="s">
        <v>5810</v>
      </c>
      <c r="C3177" s="6" t="s">
        <v>1599</v>
      </c>
      <c r="D3177" s="6" t="s">
        <v>2263</v>
      </c>
    </row>
    <row r="3178" ht="22" customHeight="1" spans="1:4">
      <c r="A3178" s="6" t="s">
        <v>5598</v>
      </c>
      <c r="B3178" s="6" t="s">
        <v>5811</v>
      </c>
      <c r="C3178" s="6" t="s">
        <v>1570</v>
      </c>
      <c r="D3178" s="6" t="s">
        <v>1571</v>
      </c>
    </row>
    <row r="3179" ht="22" customHeight="1" spans="1:4">
      <c r="A3179" s="6" t="s">
        <v>5598</v>
      </c>
      <c r="B3179" s="6" t="s">
        <v>5812</v>
      </c>
      <c r="C3179" s="6" t="s">
        <v>1599</v>
      </c>
      <c r="D3179" s="6" t="s">
        <v>5813</v>
      </c>
    </row>
    <row r="3180" ht="22" customHeight="1" spans="1:4">
      <c r="A3180" s="6" t="s">
        <v>5598</v>
      </c>
      <c r="B3180" s="6" t="s">
        <v>5814</v>
      </c>
      <c r="C3180" s="6" t="s">
        <v>1599</v>
      </c>
      <c r="D3180" s="6" t="s">
        <v>5815</v>
      </c>
    </row>
    <row r="3181" ht="22" customHeight="1" spans="1:4">
      <c r="A3181" s="6" t="s">
        <v>5598</v>
      </c>
      <c r="B3181" s="6" t="s">
        <v>5816</v>
      </c>
      <c r="C3181" s="6" t="s">
        <v>1599</v>
      </c>
      <c r="D3181" s="6" t="s">
        <v>5817</v>
      </c>
    </row>
    <row r="3182" ht="22" customHeight="1" spans="1:4">
      <c r="A3182" s="6" t="s">
        <v>5598</v>
      </c>
      <c r="B3182" s="6" t="s">
        <v>5818</v>
      </c>
      <c r="C3182" s="6" t="s">
        <v>1599</v>
      </c>
      <c r="D3182" s="6" t="s">
        <v>5819</v>
      </c>
    </row>
    <row r="3183" ht="22" customHeight="1" spans="1:4">
      <c r="A3183" s="6" t="s">
        <v>5598</v>
      </c>
      <c r="B3183" s="6" t="s">
        <v>5820</v>
      </c>
      <c r="C3183" s="6" t="s">
        <v>1599</v>
      </c>
      <c r="D3183" s="6" t="s">
        <v>2263</v>
      </c>
    </row>
    <row r="3184" ht="22" customHeight="1" spans="1:4">
      <c r="A3184" s="6" t="s">
        <v>5598</v>
      </c>
      <c r="B3184" s="6" t="s">
        <v>5821</v>
      </c>
      <c r="C3184" s="6" t="s">
        <v>1570</v>
      </c>
      <c r="D3184" s="6" t="s">
        <v>1571</v>
      </c>
    </row>
    <row r="3185" ht="22" customHeight="1" spans="1:4">
      <c r="A3185" s="6" t="s">
        <v>5598</v>
      </c>
      <c r="B3185" s="6" t="s">
        <v>5822</v>
      </c>
      <c r="C3185" s="6" t="s">
        <v>1599</v>
      </c>
      <c r="D3185" s="6" t="s">
        <v>5823</v>
      </c>
    </row>
    <row r="3186" ht="22" customHeight="1" spans="1:4">
      <c r="A3186" s="6" t="s">
        <v>5598</v>
      </c>
      <c r="B3186" s="6" t="s">
        <v>5824</v>
      </c>
      <c r="C3186" s="6" t="s">
        <v>1599</v>
      </c>
      <c r="D3186" s="6" t="s">
        <v>5825</v>
      </c>
    </row>
    <row r="3187" ht="22" customHeight="1" spans="1:4">
      <c r="A3187" s="6" t="s">
        <v>5598</v>
      </c>
      <c r="B3187" s="6" t="s">
        <v>5826</v>
      </c>
      <c r="C3187" s="6" t="s">
        <v>1599</v>
      </c>
      <c r="D3187" s="6" t="s">
        <v>5827</v>
      </c>
    </row>
    <row r="3188" ht="22" customHeight="1" spans="1:4">
      <c r="A3188" s="6" t="s">
        <v>5598</v>
      </c>
      <c r="B3188" s="6" t="s">
        <v>5828</v>
      </c>
      <c r="C3188" s="6" t="s">
        <v>1599</v>
      </c>
      <c r="D3188" s="6" t="s">
        <v>5829</v>
      </c>
    </row>
    <row r="3189" ht="22" customHeight="1" spans="1:4">
      <c r="A3189" s="6" t="s">
        <v>5598</v>
      </c>
      <c r="B3189" s="6" t="s">
        <v>5830</v>
      </c>
      <c r="C3189" s="6" t="s">
        <v>1599</v>
      </c>
      <c r="D3189" s="6" t="s">
        <v>5831</v>
      </c>
    </row>
    <row r="3190" ht="22" customHeight="1" spans="1:4">
      <c r="A3190" s="6" t="s">
        <v>5598</v>
      </c>
      <c r="B3190" s="6" t="s">
        <v>5832</v>
      </c>
      <c r="C3190" s="6" t="s">
        <v>1570</v>
      </c>
      <c r="D3190" s="6" t="s">
        <v>1571</v>
      </c>
    </row>
    <row r="3191" ht="22" customHeight="1" spans="1:4">
      <c r="A3191" s="6" t="s">
        <v>5598</v>
      </c>
      <c r="B3191" s="6" t="s">
        <v>5833</v>
      </c>
      <c r="C3191" s="6" t="s">
        <v>1599</v>
      </c>
      <c r="D3191" s="6" t="s">
        <v>5834</v>
      </c>
    </row>
    <row r="3192" ht="22" customHeight="1" spans="1:4">
      <c r="A3192" s="6" t="s">
        <v>5598</v>
      </c>
      <c r="B3192" s="6" t="s">
        <v>5835</v>
      </c>
      <c r="C3192" s="6" t="s">
        <v>1599</v>
      </c>
      <c r="D3192" s="6" t="s">
        <v>5836</v>
      </c>
    </row>
    <row r="3193" ht="22" customHeight="1" spans="1:4">
      <c r="A3193" s="6" t="s">
        <v>5598</v>
      </c>
      <c r="B3193" s="6" t="s">
        <v>5837</v>
      </c>
      <c r="C3193" s="6" t="s">
        <v>1599</v>
      </c>
      <c r="D3193" s="6" t="s">
        <v>5838</v>
      </c>
    </row>
    <row r="3194" ht="22" customHeight="1" spans="1:4">
      <c r="A3194" s="6" t="s">
        <v>5598</v>
      </c>
      <c r="B3194" s="6" t="s">
        <v>5839</v>
      </c>
      <c r="C3194" s="6" t="s">
        <v>1599</v>
      </c>
      <c r="D3194" s="6" t="s">
        <v>5840</v>
      </c>
    </row>
    <row r="3195" ht="22" customHeight="1" spans="1:4">
      <c r="A3195" s="6" t="s">
        <v>5598</v>
      </c>
      <c r="B3195" s="6" t="s">
        <v>5841</v>
      </c>
      <c r="C3195" s="6" t="s">
        <v>1599</v>
      </c>
      <c r="D3195" s="6" t="s">
        <v>5831</v>
      </c>
    </row>
    <row r="3196" ht="22" customHeight="1" spans="1:4">
      <c r="A3196" s="6" t="s">
        <v>5598</v>
      </c>
      <c r="B3196" s="6" t="s">
        <v>5842</v>
      </c>
      <c r="C3196" s="6" t="s">
        <v>1570</v>
      </c>
      <c r="D3196" s="6" t="s">
        <v>1571</v>
      </c>
    </row>
    <row r="3197" ht="22" customHeight="1" spans="1:4">
      <c r="A3197" s="6" t="s">
        <v>5598</v>
      </c>
      <c r="B3197" s="6" t="s">
        <v>5843</v>
      </c>
      <c r="C3197" s="6" t="s">
        <v>1599</v>
      </c>
      <c r="D3197" s="6" t="s">
        <v>5844</v>
      </c>
    </row>
    <row r="3198" ht="22" customHeight="1" spans="1:4">
      <c r="A3198" s="6" t="s">
        <v>5598</v>
      </c>
      <c r="B3198" s="6" t="s">
        <v>5845</v>
      </c>
      <c r="C3198" s="6" t="s">
        <v>1599</v>
      </c>
      <c r="D3198" s="6" t="s">
        <v>5846</v>
      </c>
    </row>
    <row r="3199" ht="22" customHeight="1" spans="1:4">
      <c r="A3199" s="6" t="s">
        <v>5598</v>
      </c>
      <c r="B3199" s="6" t="s">
        <v>5847</v>
      </c>
      <c r="C3199" s="6" t="s">
        <v>1599</v>
      </c>
      <c r="D3199" s="6" t="s">
        <v>5848</v>
      </c>
    </row>
    <row r="3200" ht="22" customHeight="1" spans="1:4">
      <c r="A3200" s="6" t="s">
        <v>5598</v>
      </c>
      <c r="B3200" s="6" t="s">
        <v>5849</v>
      </c>
      <c r="C3200" s="6" t="s">
        <v>1599</v>
      </c>
      <c r="D3200" s="6" t="s">
        <v>5850</v>
      </c>
    </row>
    <row r="3201" ht="22" customHeight="1" spans="1:4">
      <c r="A3201" s="6" t="s">
        <v>5598</v>
      </c>
      <c r="B3201" s="6" t="s">
        <v>5851</v>
      </c>
      <c r="C3201" s="6" t="s">
        <v>1599</v>
      </c>
      <c r="D3201" s="6" t="s">
        <v>5831</v>
      </c>
    </row>
    <row r="3202" ht="22" customHeight="1" spans="1:4">
      <c r="A3202" s="6" t="s">
        <v>5598</v>
      </c>
      <c r="B3202" s="6" t="s">
        <v>5852</v>
      </c>
      <c r="C3202" s="6" t="s">
        <v>1570</v>
      </c>
      <c r="D3202" s="6" t="s">
        <v>1571</v>
      </c>
    </row>
    <row r="3203" ht="22" customHeight="1" spans="1:4">
      <c r="A3203" s="6" t="s">
        <v>5598</v>
      </c>
      <c r="B3203" s="6" t="s">
        <v>5853</v>
      </c>
      <c r="C3203" s="6" t="s">
        <v>1599</v>
      </c>
      <c r="D3203" s="6" t="s">
        <v>5854</v>
      </c>
    </row>
    <row r="3204" ht="22" customHeight="1" spans="1:4">
      <c r="A3204" s="6" t="s">
        <v>5598</v>
      </c>
      <c r="B3204" s="6" t="s">
        <v>5855</v>
      </c>
      <c r="C3204" s="6" t="s">
        <v>1599</v>
      </c>
      <c r="D3204" s="6" t="s">
        <v>5856</v>
      </c>
    </row>
    <row r="3205" ht="22" customHeight="1" spans="1:4">
      <c r="A3205" s="6" t="s">
        <v>5598</v>
      </c>
      <c r="B3205" s="6" t="s">
        <v>5857</v>
      </c>
      <c r="C3205" s="6" t="s">
        <v>1599</v>
      </c>
      <c r="D3205" s="6" t="s">
        <v>5858</v>
      </c>
    </row>
    <row r="3206" ht="22" customHeight="1" spans="1:4">
      <c r="A3206" s="6" t="s">
        <v>5598</v>
      </c>
      <c r="B3206" s="6" t="s">
        <v>5859</v>
      </c>
      <c r="C3206" s="6" t="s">
        <v>1599</v>
      </c>
      <c r="D3206" s="6" t="s">
        <v>5860</v>
      </c>
    </row>
    <row r="3207" ht="22" customHeight="1" spans="1:4">
      <c r="A3207" s="6" t="s">
        <v>5598</v>
      </c>
      <c r="B3207" s="6" t="s">
        <v>5861</v>
      </c>
      <c r="C3207" s="6" t="s">
        <v>1599</v>
      </c>
      <c r="D3207" s="6" t="s">
        <v>5831</v>
      </c>
    </row>
    <row r="3208" ht="22" customHeight="1" spans="1:4">
      <c r="A3208" s="6" t="s">
        <v>5598</v>
      </c>
      <c r="B3208" s="6" t="s">
        <v>5862</v>
      </c>
      <c r="C3208" s="6" t="s">
        <v>1570</v>
      </c>
      <c r="D3208" s="6" t="s">
        <v>1571</v>
      </c>
    </row>
    <row r="3209" ht="22" customHeight="1" spans="1:4">
      <c r="A3209" s="6" t="s">
        <v>5598</v>
      </c>
      <c r="B3209" s="6" t="s">
        <v>5863</v>
      </c>
      <c r="C3209" s="6" t="s">
        <v>1599</v>
      </c>
      <c r="D3209" s="6" t="s">
        <v>5864</v>
      </c>
    </row>
    <row r="3210" ht="22" customHeight="1" spans="1:4">
      <c r="A3210" s="6" t="s">
        <v>5598</v>
      </c>
      <c r="B3210" s="6" t="s">
        <v>5865</v>
      </c>
      <c r="C3210" s="6" t="s">
        <v>1599</v>
      </c>
      <c r="D3210" s="6" t="s">
        <v>1617</v>
      </c>
    </row>
    <row r="3211" ht="22" customHeight="1" spans="1:4">
      <c r="A3211" s="6" t="s">
        <v>5598</v>
      </c>
      <c r="B3211" s="6" t="s">
        <v>5866</v>
      </c>
      <c r="C3211" s="6" t="s">
        <v>1599</v>
      </c>
      <c r="D3211" s="6" t="s">
        <v>1663</v>
      </c>
    </row>
    <row r="3212" ht="22" customHeight="1" spans="1:4">
      <c r="A3212" s="6" t="s">
        <v>5598</v>
      </c>
      <c r="B3212" s="6" t="s">
        <v>5867</v>
      </c>
      <c r="C3212" s="6" t="s">
        <v>1599</v>
      </c>
      <c r="D3212" s="6" t="s">
        <v>5868</v>
      </c>
    </row>
    <row r="3213" ht="22" customHeight="1" spans="1:4">
      <c r="A3213" s="6" t="s">
        <v>5598</v>
      </c>
      <c r="B3213" s="6" t="s">
        <v>5869</v>
      </c>
      <c r="C3213" s="6" t="s">
        <v>1599</v>
      </c>
      <c r="D3213" s="6" t="s">
        <v>1619</v>
      </c>
    </row>
    <row r="3214" ht="22" customHeight="1" spans="1:4">
      <c r="A3214" s="6" t="s">
        <v>5598</v>
      </c>
      <c r="B3214" s="6" t="s">
        <v>5870</v>
      </c>
      <c r="C3214" s="6" t="s">
        <v>1570</v>
      </c>
      <c r="D3214" s="6" t="s">
        <v>1571</v>
      </c>
    </row>
    <row r="3215" ht="22" customHeight="1" spans="1:4">
      <c r="A3215" s="6" t="s">
        <v>5598</v>
      </c>
      <c r="B3215" s="6" t="s">
        <v>5871</v>
      </c>
      <c r="C3215" s="6" t="s">
        <v>1599</v>
      </c>
      <c r="D3215" s="6" t="s">
        <v>5872</v>
      </c>
    </row>
    <row r="3216" ht="22" customHeight="1" spans="1:4">
      <c r="A3216" s="6" t="s">
        <v>5598</v>
      </c>
      <c r="B3216" s="6" t="s">
        <v>5873</v>
      </c>
      <c r="C3216" s="6" t="s">
        <v>1599</v>
      </c>
      <c r="D3216" s="6" t="s">
        <v>1720</v>
      </c>
    </row>
    <row r="3217" ht="22" customHeight="1" spans="1:4">
      <c r="A3217" s="6" t="s">
        <v>5598</v>
      </c>
      <c r="B3217" s="6" t="s">
        <v>5874</v>
      </c>
      <c r="C3217" s="6" t="s">
        <v>1599</v>
      </c>
      <c r="D3217" s="6" t="s">
        <v>1756</v>
      </c>
    </row>
    <row r="3218" ht="22" customHeight="1" spans="1:4">
      <c r="A3218" s="6" t="s">
        <v>5598</v>
      </c>
      <c r="B3218" s="6" t="s">
        <v>5875</v>
      </c>
      <c r="C3218" s="6" t="s">
        <v>1599</v>
      </c>
      <c r="D3218" s="6" t="s">
        <v>5876</v>
      </c>
    </row>
    <row r="3219" ht="22" customHeight="1" spans="1:4">
      <c r="A3219" s="6" t="s">
        <v>5598</v>
      </c>
      <c r="B3219" s="6" t="s">
        <v>5877</v>
      </c>
      <c r="C3219" s="6" t="s">
        <v>1599</v>
      </c>
      <c r="D3219" s="6" t="s">
        <v>1619</v>
      </c>
    </row>
    <row r="3220" ht="22" customHeight="1" spans="1:4">
      <c r="A3220" s="6" t="s">
        <v>5598</v>
      </c>
      <c r="B3220" s="6" t="s">
        <v>5878</v>
      </c>
      <c r="C3220" s="6" t="s">
        <v>1570</v>
      </c>
      <c r="D3220" s="6" t="s">
        <v>1571</v>
      </c>
    </row>
    <row r="3221" ht="22" customHeight="1" spans="1:4">
      <c r="A3221" s="6" t="s">
        <v>5598</v>
      </c>
      <c r="B3221" s="6" t="s">
        <v>5879</v>
      </c>
      <c r="C3221" s="6" t="s">
        <v>1599</v>
      </c>
      <c r="D3221" s="6" t="s">
        <v>5880</v>
      </c>
    </row>
    <row r="3222" ht="22" customHeight="1" spans="1:4">
      <c r="A3222" s="6" t="s">
        <v>5598</v>
      </c>
      <c r="B3222" s="6" t="s">
        <v>5881</v>
      </c>
      <c r="C3222" s="6" t="s">
        <v>1599</v>
      </c>
      <c r="D3222" s="6" t="s">
        <v>1803</v>
      </c>
    </row>
    <row r="3223" ht="22" customHeight="1" spans="1:4">
      <c r="A3223" s="6" t="s">
        <v>5598</v>
      </c>
      <c r="B3223" s="6" t="s">
        <v>5882</v>
      </c>
      <c r="C3223" s="6" t="s">
        <v>1599</v>
      </c>
      <c r="D3223" s="6" t="s">
        <v>1832</v>
      </c>
    </row>
    <row r="3224" ht="22" customHeight="1" spans="1:4">
      <c r="A3224" s="6" t="s">
        <v>5598</v>
      </c>
      <c r="B3224" s="6" t="s">
        <v>5883</v>
      </c>
      <c r="C3224" s="6" t="s">
        <v>1599</v>
      </c>
      <c r="D3224" s="6" t="s">
        <v>5884</v>
      </c>
    </row>
    <row r="3225" ht="22" customHeight="1" spans="1:4">
      <c r="A3225" s="6" t="s">
        <v>5598</v>
      </c>
      <c r="B3225" s="6" t="s">
        <v>5885</v>
      </c>
      <c r="C3225" s="6" t="s">
        <v>1599</v>
      </c>
      <c r="D3225" s="6" t="s">
        <v>1619</v>
      </c>
    </row>
    <row r="3226" ht="22" customHeight="1" spans="1:4">
      <c r="A3226" s="6" t="s">
        <v>5598</v>
      </c>
      <c r="B3226" s="6" t="s">
        <v>5886</v>
      </c>
      <c r="C3226" s="6" t="s">
        <v>1570</v>
      </c>
      <c r="D3226" s="6" t="s">
        <v>1571</v>
      </c>
    </row>
    <row r="3227" ht="22" customHeight="1" spans="1:4">
      <c r="A3227" s="6" t="s">
        <v>5598</v>
      </c>
      <c r="B3227" s="6" t="s">
        <v>5887</v>
      </c>
      <c r="C3227" s="6" t="s">
        <v>1599</v>
      </c>
      <c r="D3227" s="6" t="s">
        <v>5888</v>
      </c>
    </row>
    <row r="3228" ht="22" customHeight="1" spans="1:4">
      <c r="A3228" s="6" t="s">
        <v>5598</v>
      </c>
      <c r="B3228" s="6" t="s">
        <v>5889</v>
      </c>
      <c r="C3228" s="6" t="s">
        <v>1599</v>
      </c>
      <c r="D3228" s="6" t="s">
        <v>1844</v>
      </c>
    </row>
    <row r="3229" ht="22" customHeight="1" spans="1:4">
      <c r="A3229" s="6" t="s">
        <v>5598</v>
      </c>
      <c r="B3229" s="6" t="s">
        <v>5890</v>
      </c>
      <c r="C3229" s="6" t="s">
        <v>1599</v>
      </c>
      <c r="D3229" s="6" t="s">
        <v>1873</v>
      </c>
    </row>
    <row r="3230" ht="22" customHeight="1" spans="1:4">
      <c r="A3230" s="6" t="s">
        <v>5598</v>
      </c>
      <c r="B3230" s="6" t="s">
        <v>5891</v>
      </c>
      <c r="C3230" s="6" t="s">
        <v>1599</v>
      </c>
      <c r="D3230" s="6" t="s">
        <v>5892</v>
      </c>
    </row>
    <row r="3231" ht="22" customHeight="1" spans="1:4">
      <c r="A3231" s="6" t="s">
        <v>5598</v>
      </c>
      <c r="B3231" s="6" t="s">
        <v>5893</v>
      </c>
      <c r="C3231" s="6" t="s">
        <v>1599</v>
      </c>
      <c r="D3231" s="6" t="s">
        <v>1619</v>
      </c>
    </row>
    <row r="3232" ht="22" customHeight="1" spans="1:4">
      <c r="A3232" s="6" t="s">
        <v>5598</v>
      </c>
      <c r="B3232" s="6" t="s">
        <v>5894</v>
      </c>
      <c r="C3232" s="6" t="s">
        <v>1570</v>
      </c>
      <c r="D3232" s="6" t="s">
        <v>1571</v>
      </c>
    </row>
    <row r="3233" ht="22" customHeight="1" spans="1:4">
      <c r="A3233" s="6" t="s">
        <v>5598</v>
      </c>
      <c r="B3233" s="6" t="s">
        <v>5895</v>
      </c>
      <c r="C3233" s="6" t="s">
        <v>1599</v>
      </c>
      <c r="D3233" s="6" t="s">
        <v>5896</v>
      </c>
    </row>
    <row r="3234" ht="22" customHeight="1" spans="1:4">
      <c r="A3234" s="6" t="s">
        <v>5598</v>
      </c>
      <c r="B3234" s="6" t="s">
        <v>5897</v>
      </c>
      <c r="C3234" s="6" t="s">
        <v>1599</v>
      </c>
      <c r="D3234" s="6" t="s">
        <v>1961</v>
      </c>
    </row>
    <row r="3235" ht="22" customHeight="1" spans="1:4">
      <c r="A3235" s="6" t="s">
        <v>5598</v>
      </c>
      <c r="B3235" s="6" t="s">
        <v>5898</v>
      </c>
      <c r="C3235" s="6" t="s">
        <v>1599</v>
      </c>
      <c r="D3235" s="6" t="s">
        <v>1996</v>
      </c>
    </row>
    <row r="3236" ht="22" customHeight="1" spans="1:4">
      <c r="A3236" s="6" t="s">
        <v>5598</v>
      </c>
      <c r="B3236" s="6" t="s">
        <v>5899</v>
      </c>
      <c r="C3236" s="6" t="s">
        <v>1599</v>
      </c>
      <c r="D3236" s="6" t="s">
        <v>5900</v>
      </c>
    </row>
    <row r="3237" ht="22" customHeight="1" spans="1:4">
      <c r="A3237" s="6" t="s">
        <v>5598</v>
      </c>
      <c r="B3237" s="6" t="s">
        <v>5901</v>
      </c>
      <c r="C3237" s="6" t="s">
        <v>1599</v>
      </c>
      <c r="D3237" s="6" t="s">
        <v>1963</v>
      </c>
    </row>
    <row r="3238" ht="22" customHeight="1" spans="1:4">
      <c r="A3238" s="6" t="s">
        <v>5598</v>
      </c>
      <c r="B3238" s="6" t="s">
        <v>5902</v>
      </c>
      <c r="C3238" s="6" t="s">
        <v>1570</v>
      </c>
      <c r="D3238" s="6" t="s">
        <v>1571</v>
      </c>
    </row>
    <row r="3239" ht="22" customHeight="1" spans="1:4">
      <c r="A3239" s="6" t="s">
        <v>5598</v>
      </c>
      <c r="B3239" s="6" t="s">
        <v>5903</v>
      </c>
      <c r="C3239" s="6" t="s">
        <v>1599</v>
      </c>
      <c r="D3239" s="6" t="s">
        <v>5904</v>
      </c>
    </row>
    <row r="3240" ht="22" customHeight="1" spans="1:4">
      <c r="A3240" s="6" t="s">
        <v>5598</v>
      </c>
      <c r="B3240" s="6" t="s">
        <v>5905</v>
      </c>
      <c r="C3240" s="6" t="s">
        <v>1599</v>
      </c>
      <c r="D3240" s="6" t="s">
        <v>2043</v>
      </c>
    </row>
    <row r="3241" ht="22" customHeight="1" spans="1:4">
      <c r="A3241" s="6" t="s">
        <v>5598</v>
      </c>
      <c r="B3241" s="6" t="s">
        <v>5906</v>
      </c>
      <c r="C3241" s="6" t="s">
        <v>1599</v>
      </c>
      <c r="D3241" s="6" t="s">
        <v>2070</v>
      </c>
    </row>
    <row r="3242" ht="22" customHeight="1" spans="1:4">
      <c r="A3242" s="6" t="s">
        <v>5598</v>
      </c>
      <c r="B3242" s="6" t="s">
        <v>5907</v>
      </c>
      <c r="C3242" s="6" t="s">
        <v>1599</v>
      </c>
      <c r="D3242" s="6" t="s">
        <v>5908</v>
      </c>
    </row>
    <row r="3243" ht="22" customHeight="1" spans="1:4">
      <c r="A3243" s="6" t="s">
        <v>5598</v>
      </c>
      <c r="B3243" s="6" t="s">
        <v>5909</v>
      </c>
      <c r="C3243" s="6" t="s">
        <v>1599</v>
      </c>
      <c r="D3243" s="6" t="s">
        <v>1963</v>
      </c>
    </row>
    <row r="3244" ht="22" customHeight="1" spans="1:4">
      <c r="A3244" s="6" t="s">
        <v>5598</v>
      </c>
      <c r="B3244" s="6" t="s">
        <v>5910</v>
      </c>
      <c r="C3244" s="6" t="s">
        <v>1570</v>
      </c>
      <c r="D3244" s="6" t="s">
        <v>1571</v>
      </c>
    </row>
    <row r="3245" ht="22" customHeight="1" spans="1:4">
      <c r="A3245" s="6" t="s">
        <v>5598</v>
      </c>
      <c r="B3245" s="6" t="s">
        <v>5911</v>
      </c>
      <c r="C3245" s="6" t="s">
        <v>1599</v>
      </c>
      <c r="D3245" s="6" t="s">
        <v>5912</v>
      </c>
    </row>
    <row r="3246" ht="22" customHeight="1" spans="1:4">
      <c r="A3246" s="6" t="s">
        <v>5598</v>
      </c>
      <c r="B3246" s="6" t="s">
        <v>5913</v>
      </c>
      <c r="C3246" s="6" t="s">
        <v>1599</v>
      </c>
      <c r="D3246" s="6" t="s">
        <v>2112</v>
      </c>
    </row>
    <row r="3247" ht="22" customHeight="1" spans="1:4">
      <c r="A3247" s="6" t="s">
        <v>5598</v>
      </c>
      <c r="B3247" s="6" t="s">
        <v>5914</v>
      </c>
      <c r="C3247" s="6" t="s">
        <v>1599</v>
      </c>
      <c r="D3247" s="6" t="s">
        <v>2138</v>
      </c>
    </row>
    <row r="3248" ht="22" customHeight="1" spans="1:4">
      <c r="A3248" s="6" t="s">
        <v>5598</v>
      </c>
      <c r="B3248" s="6" t="s">
        <v>5915</v>
      </c>
      <c r="C3248" s="6" t="s">
        <v>1599</v>
      </c>
      <c r="D3248" s="6" t="s">
        <v>5916</v>
      </c>
    </row>
    <row r="3249" ht="22" customHeight="1" spans="1:4">
      <c r="A3249" s="6" t="s">
        <v>5598</v>
      </c>
      <c r="B3249" s="6" t="s">
        <v>5917</v>
      </c>
      <c r="C3249" s="6" t="s">
        <v>1599</v>
      </c>
      <c r="D3249" s="6" t="s">
        <v>1963</v>
      </c>
    </row>
    <row r="3250" ht="22" customHeight="1" spans="1:4">
      <c r="A3250" s="6" t="s">
        <v>5598</v>
      </c>
      <c r="B3250" s="6" t="s">
        <v>5918</v>
      </c>
      <c r="C3250" s="6" t="s">
        <v>1570</v>
      </c>
      <c r="D3250" s="6" t="s">
        <v>1571</v>
      </c>
    </row>
    <row r="3251" ht="22" customHeight="1" spans="1:4">
      <c r="A3251" s="6" t="s">
        <v>5598</v>
      </c>
      <c r="B3251" s="6" t="s">
        <v>5919</v>
      </c>
      <c r="C3251" s="6" t="s">
        <v>1599</v>
      </c>
      <c r="D3251" s="6" t="s">
        <v>5920</v>
      </c>
    </row>
    <row r="3252" ht="22" customHeight="1" spans="1:4">
      <c r="A3252" s="6" t="s">
        <v>5598</v>
      </c>
      <c r="B3252" s="6" t="s">
        <v>5921</v>
      </c>
      <c r="C3252" s="6" t="s">
        <v>1599</v>
      </c>
      <c r="D3252" s="6" t="s">
        <v>2146</v>
      </c>
    </row>
    <row r="3253" ht="22" customHeight="1" spans="1:4">
      <c r="A3253" s="6" t="s">
        <v>5598</v>
      </c>
      <c r="B3253" s="6" t="s">
        <v>5922</v>
      </c>
      <c r="C3253" s="6" t="s">
        <v>1599</v>
      </c>
      <c r="D3253" s="6" t="s">
        <v>2177</v>
      </c>
    </row>
    <row r="3254" ht="22" customHeight="1" spans="1:4">
      <c r="A3254" s="6" t="s">
        <v>5598</v>
      </c>
      <c r="B3254" s="6" t="s">
        <v>5923</v>
      </c>
      <c r="C3254" s="6" t="s">
        <v>1599</v>
      </c>
      <c r="D3254" s="6" t="s">
        <v>5924</v>
      </c>
    </row>
    <row r="3255" ht="22" customHeight="1" spans="1:4">
      <c r="A3255" s="6" t="s">
        <v>5598</v>
      </c>
      <c r="B3255" s="6" t="s">
        <v>5925</v>
      </c>
      <c r="C3255" s="6" t="s">
        <v>1599</v>
      </c>
      <c r="D3255" s="6" t="s">
        <v>1963</v>
      </c>
    </row>
    <row r="3256" ht="22" customHeight="1" spans="1:4">
      <c r="A3256" s="6" t="s">
        <v>5598</v>
      </c>
      <c r="B3256" s="6" t="s">
        <v>5926</v>
      </c>
      <c r="C3256" s="6" t="s">
        <v>1570</v>
      </c>
      <c r="D3256" s="6" t="s">
        <v>1571</v>
      </c>
    </row>
    <row r="3257" ht="22" customHeight="1" spans="1:4">
      <c r="A3257" s="6" t="s">
        <v>5598</v>
      </c>
      <c r="B3257" s="6" t="s">
        <v>5927</v>
      </c>
      <c r="C3257" s="6" t="s">
        <v>1599</v>
      </c>
      <c r="D3257" s="6" t="s">
        <v>5928</v>
      </c>
    </row>
    <row r="3258" ht="22" customHeight="1" spans="1:4">
      <c r="A3258" s="6" t="s">
        <v>5598</v>
      </c>
      <c r="B3258" s="6" t="s">
        <v>5929</v>
      </c>
      <c r="C3258" s="6" t="s">
        <v>1599</v>
      </c>
      <c r="D3258" s="6" t="s">
        <v>2261</v>
      </c>
    </row>
    <row r="3259" ht="22" customHeight="1" spans="1:4">
      <c r="A3259" s="6" t="s">
        <v>5598</v>
      </c>
      <c r="B3259" s="6" t="s">
        <v>5930</v>
      </c>
      <c r="C3259" s="6" t="s">
        <v>1599</v>
      </c>
      <c r="D3259" s="6" t="s">
        <v>2291</v>
      </c>
    </row>
    <row r="3260" ht="22" customHeight="1" spans="1:4">
      <c r="A3260" s="6" t="s">
        <v>5598</v>
      </c>
      <c r="B3260" s="6" t="s">
        <v>5931</v>
      </c>
      <c r="C3260" s="6" t="s">
        <v>1599</v>
      </c>
      <c r="D3260" s="6" t="s">
        <v>5932</v>
      </c>
    </row>
    <row r="3261" ht="22" customHeight="1" spans="1:4">
      <c r="A3261" s="6" t="s">
        <v>5598</v>
      </c>
      <c r="B3261" s="6" t="s">
        <v>5933</v>
      </c>
      <c r="C3261" s="6" t="s">
        <v>1599</v>
      </c>
      <c r="D3261" s="6" t="s">
        <v>2263</v>
      </c>
    </row>
    <row r="3262" ht="22" customHeight="1" spans="1:4">
      <c r="A3262" s="6" t="s">
        <v>5598</v>
      </c>
      <c r="B3262" s="6" t="s">
        <v>5934</v>
      </c>
      <c r="C3262" s="6" t="s">
        <v>1570</v>
      </c>
      <c r="D3262" s="6" t="s">
        <v>1571</v>
      </c>
    </row>
    <row r="3263" ht="22" customHeight="1" spans="1:4">
      <c r="A3263" s="6" t="s">
        <v>5598</v>
      </c>
      <c r="B3263" s="6" t="s">
        <v>5935</v>
      </c>
      <c r="C3263" s="6" t="s">
        <v>1599</v>
      </c>
      <c r="D3263" s="6" t="s">
        <v>5936</v>
      </c>
    </row>
    <row r="3264" ht="22" customHeight="1" spans="1:4">
      <c r="A3264" s="6" t="s">
        <v>5598</v>
      </c>
      <c r="B3264" s="6" t="s">
        <v>5937</v>
      </c>
      <c r="C3264" s="6" t="s">
        <v>1599</v>
      </c>
      <c r="D3264" s="6" t="s">
        <v>2335</v>
      </c>
    </row>
    <row r="3265" ht="22" customHeight="1" spans="1:4">
      <c r="A3265" s="6" t="s">
        <v>5598</v>
      </c>
      <c r="B3265" s="6" t="s">
        <v>5938</v>
      </c>
      <c r="C3265" s="6" t="s">
        <v>1599</v>
      </c>
      <c r="D3265" s="6" t="s">
        <v>2358</v>
      </c>
    </row>
    <row r="3266" ht="22" customHeight="1" spans="1:4">
      <c r="A3266" s="6" t="s">
        <v>5598</v>
      </c>
      <c r="B3266" s="6" t="s">
        <v>5939</v>
      </c>
      <c r="C3266" s="6" t="s">
        <v>1599</v>
      </c>
      <c r="D3266" s="6" t="s">
        <v>5940</v>
      </c>
    </row>
    <row r="3267" ht="22" customHeight="1" spans="1:4">
      <c r="A3267" s="6" t="s">
        <v>5598</v>
      </c>
      <c r="B3267" s="6" t="s">
        <v>5941</v>
      </c>
      <c r="C3267" s="6" t="s">
        <v>1599</v>
      </c>
      <c r="D3267" s="6" t="s">
        <v>2263</v>
      </c>
    </row>
    <row r="3268" ht="22" customHeight="1" spans="1:4">
      <c r="A3268" s="6" t="s">
        <v>5598</v>
      </c>
      <c r="B3268" s="6" t="s">
        <v>5942</v>
      </c>
      <c r="C3268" s="6" t="s">
        <v>1570</v>
      </c>
      <c r="D3268" s="6" t="s">
        <v>1571</v>
      </c>
    </row>
    <row r="3269" ht="22" customHeight="1" spans="1:4">
      <c r="A3269" s="6" t="s">
        <v>5598</v>
      </c>
      <c r="B3269" s="6" t="s">
        <v>5943</v>
      </c>
      <c r="C3269" s="6" t="s">
        <v>1599</v>
      </c>
      <c r="D3269" s="6" t="s">
        <v>5944</v>
      </c>
    </row>
    <row r="3270" ht="22" customHeight="1" spans="1:4">
      <c r="A3270" s="6" t="s">
        <v>5598</v>
      </c>
      <c r="B3270" s="6" t="s">
        <v>5945</v>
      </c>
      <c r="C3270" s="6" t="s">
        <v>1599</v>
      </c>
      <c r="D3270" s="6" t="s">
        <v>2405</v>
      </c>
    </row>
    <row r="3271" ht="22" customHeight="1" spans="1:4">
      <c r="A3271" s="6" t="s">
        <v>5598</v>
      </c>
      <c r="B3271" s="6" t="s">
        <v>5946</v>
      </c>
      <c r="C3271" s="6" t="s">
        <v>1599</v>
      </c>
      <c r="D3271" s="6" t="s">
        <v>2427</v>
      </c>
    </row>
    <row r="3272" ht="22" customHeight="1" spans="1:4">
      <c r="A3272" s="6" t="s">
        <v>5598</v>
      </c>
      <c r="B3272" s="6" t="s">
        <v>5947</v>
      </c>
      <c r="C3272" s="6" t="s">
        <v>1599</v>
      </c>
      <c r="D3272" s="6" t="s">
        <v>5948</v>
      </c>
    </row>
    <row r="3273" ht="22" customHeight="1" spans="1:4">
      <c r="A3273" s="6" t="s">
        <v>5598</v>
      </c>
      <c r="B3273" s="6" t="s">
        <v>5949</v>
      </c>
      <c r="C3273" s="6" t="s">
        <v>1599</v>
      </c>
      <c r="D3273" s="6" t="s">
        <v>2263</v>
      </c>
    </row>
    <row r="3274" ht="22" customHeight="1" spans="1:4">
      <c r="A3274" s="6" t="s">
        <v>5598</v>
      </c>
      <c r="B3274" s="6" t="s">
        <v>5950</v>
      </c>
      <c r="C3274" s="6" t="s">
        <v>1570</v>
      </c>
      <c r="D3274" s="6" t="s">
        <v>1571</v>
      </c>
    </row>
    <row r="3275" ht="22" customHeight="1" spans="1:4">
      <c r="A3275" s="6" t="s">
        <v>5598</v>
      </c>
      <c r="B3275" s="6" t="s">
        <v>5951</v>
      </c>
      <c r="C3275" s="6" t="s">
        <v>1599</v>
      </c>
      <c r="D3275" s="6" t="s">
        <v>5952</v>
      </c>
    </row>
    <row r="3276" ht="22" customHeight="1" spans="1:4">
      <c r="A3276" s="6" t="s">
        <v>5598</v>
      </c>
      <c r="B3276" s="6" t="s">
        <v>5953</v>
      </c>
      <c r="C3276" s="6" t="s">
        <v>1599</v>
      </c>
      <c r="D3276" s="6" t="s">
        <v>2436</v>
      </c>
    </row>
    <row r="3277" ht="22" customHeight="1" spans="1:4">
      <c r="A3277" s="6" t="s">
        <v>5598</v>
      </c>
      <c r="B3277" s="6" t="s">
        <v>5954</v>
      </c>
      <c r="C3277" s="6" t="s">
        <v>1599</v>
      </c>
      <c r="D3277" s="6" t="s">
        <v>2460</v>
      </c>
    </row>
    <row r="3278" ht="22" customHeight="1" spans="1:4">
      <c r="A3278" s="6" t="s">
        <v>5598</v>
      </c>
      <c r="B3278" s="6" t="s">
        <v>5955</v>
      </c>
      <c r="C3278" s="6" t="s">
        <v>1599</v>
      </c>
      <c r="D3278" s="6" t="s">
        <v>5956</v>
      </c>
    </row>
    <row r="3279" ht="22" customHeight="1" spans="1:4">
      <c r="A3279" s="6" t="s">
        <v>5598</v>
      </c>
      <c r="B3279" s="6" t="s">
        <v>5957</v>
      </c>
      <c r="C3279" s="6" t="s">
        <v>1599</v>
      </c>
      <c r="D3279" s="6" t="s">
        <v>2263</v>
      </c>
    </row>
    <row r="3280" ht="22" customHeight="1" spans="1:4">
      <c r="A3280" s="6" t="s">
        <v>5598</v>
      </c>
      <c r="B3280" s="6" t="s">
        <v>5958</v>
      </c>
      <c r="C3280" s="6" t="s">
        <v>1570</v>
      </c>
      <c r="D3280" s="6" t="s">
        <v>1571</v>
      </c>
    </row>
    <row r="3281" ht="22" customHeight="1" spans="1:4">
      <c r="A3281" s="6" t="s">
        <v>5598</v>
      </c>
      <c r="B3281" s="6" t="s">
        <v>5959</v>
      </c>
      <c r="C3281" s="6" t="s">
        <v>1599</v>
      </c>
      <c r="D3281" s="6" t="s">
        <v>5960</v>
      </c>
    </row>
    <row r="3282" ht="22" customHeight="1" spans="1:4">
      <c r="A3282" s="6" t="s">
        <v>5598</v>
      </c>
      <c r="B3282" s="6" t="s">
        <v>5961</v>
      </c>
      <c r="C3282" s="6" t="s">
        <v>1599</v>
      </c>
      <c r="D3282" s="6" t="s">
        <v>2544</v>
      </c>
    </row>
    <row r="3283" ht="22" customHeight="1" spans="1:4">
      <c r="A3283" s="6" t="s">
        <v>5598</v>
      </c>
      <c r="B3283" s="6" t="s">
        <v>5962</v>
      </c>
      <c r="C3283" s="6" t="s">
        <v>1599</v>
      </c>
      <c r="D3283" s="6" t="s">
        <v>2572</v>
      </c>
    </row>
    <row r="3284" ht="22" customHeight="1" spans="1:4">
      <c r="A3284" s="6" t="s">
        <v>5598</v>
      </c>
      <c r="B3284" s="6" t="s">
        <v>5963</v>
      </c>
      <c r="C3284" s="6" t="s">
        <v>1599</v>
      </c>
      <c r="D3284" s="6" t="s">
        <v>5964</v>
      </c>
    </row>
    <row r="3285" ht="22" customHeight="1" spans="1:4">
      <c r="A3285" s="6" t="s">
        <v>5598</v>
      </c>
      <c r="B3285" s="6" t="s">
        <v>5965</v>
      </c>
      <c r="C3285" s="6" t="s">
        <v>1599</v>
      </c>
      <c r="D3285" s="6" t="s">
        <v>2546</v>
      </c>
    </row>
    <row r="3286" ht="22" customHeight="1" spans="1:4">
      <c r="A3286" s="6" t="s">
        <v>5598</v>
      </c>
      <c r="B3286" s="6" t="s">
        <v>5966</v>
      </c>
      <c r="C3286" s="6" t="s">
        <v>1570</v>
      </c>
      <c r="D3286" s="6" t="s">
        <v>1571</v>
      </c>
    </row>
    <row r="3287" ht="22" customHeight="1" spans="1:4">
      <c r="A3287" s="6" t="s">
        <v>5598</v>
      </c>
      <c r="B3287" s="6" t="s">
        <v>5967</v>
      </c>
      <c r="C3287" s="6" t="s">
        <v>1599</v>
      </c>
      <c r="D3287" s="6" t="s">
        <v>5968</v>
      </c>
    </row>
    <row r="3288" ht="22" customHeight="1" spans="1:4">
      <c r="A3288" s="6" t="s">
        <v>5598</v>
      </c>
      <c r="B3288" s="6" t="s">
        <v>5969</v>
      </c>
      <c r="C3288" s="6" t="s">
        <v>1599</v>
      </c>
      <c r="D3288" s="6" t="s">
        <v>2580</v>
      </c>
    </row>
    <row r="3289" ht="22" customHeight="1" spans="1:4">
      <c r="A3289" s="6" t="s">
        <v>5598</v>
      </c>
      <c r="B3289" s="6" t="s">
        <v>5970</v>
      </c>
      <c r="C3289" s="6" t="s">
        <v>1599</v>
      </c>
      <c r="D3289" s="6" t="s">
        <v>2607</v>
      </c>
    </row>
    <row r="3290" ht="22" customHeight="1" spans="1:4">
      <c r="A3290" s="6" t="s">
        <v>5598</v>
      </c>
      <c r="B3290" s="6" t="s">
        <v>5971</v>
      </c>
      <c r="C3290" s="6" t="s">
        <v>1599</v>
      </c>
      <c r="D3290" s="6" t="s">
        <v>5972</v>
      </c>
    </row>
    <row r="3291" ht="22" customHeight="1" spans="1:4">
      <c r="A3291" s="6" t="s">
        <v>5598</v>
      </c>
      <c r="B3291" s="6" t="s">
        <v>5973</v>
      </c>
      <c r="C3291" s="6" t="s">
        <v>1599</v>
      </c>
      <c r="D3291" s="6" t="s">
        <v>2546</v>
      </c>
    </row>
    <row r="3292" ht="22" customHeight="1" spans="1:4">
      <c r="A3292" s="6" t="s">
        <v>5598</v>
      </c>
      <c r="B3292" s="6" t="s">
        <v>5974</v>
      </c>
      <c r="C3292" s="6" t="s">
        <v>1570</v>
      </c>
      <c r="D3292" s="6" t="s">
        <v>1571</v>
      </c>
    </row>
    <row r="3293" ht="22" customHeight="1" spans="1:4">
      <c r="A3293" s="6" t="s">
        <v>5598</v>
      </c>
      <c r="B3293" s="6" t="s">
        <v>5975</v>
      </c>
      <c r="C3293" s="6" t="s">
        <v>1599</v>
      </c>
      <c r="D3293" s="6" t="s">
        <v>5976</v>
      </c>
    </row>
    <row r="3294" ht="22" customHeight="1" spans="1:4">
      <c r="A3294" s="6" t="s">
        <v>5598</v>
      </c>
      <c r="B3294" s="6" t="s">
        <v>5977</v>
      </c>
      <c r="C3294" s="6" t="s">
        <v>1599</v>
      </c>
      <c r="D3294" s="6" t="s">
        <v>2712</v>
      </c>
    </row>
    <row r="3295" ht="22" customHeight="1" spans="1:4">
      <c r="A3295" s="6" t="s">
        <v>5598</v>
      </c>
      <c r="B3295" s="6" t="s">
        <v>5978</v>
      </c>
      <c r="C3295" s="6" t="s">
        <v>1599</v>
      </c>
      <c r="D3295" s="6" t="s">
        <v>2735</v>
      </c>
    </row>
    <row r="3296" ht="22" customHeight="1" spans="1:4">
      <c r="A3296" s="6" t="s">
        <v>5598</v>
      </c>
      <c r="B3296" s="6" t="s">
        <v>5979</v>
      </c>
      <c r="C3296" s="6" t="s">
        <v>1599</v>
      </c>
      <c r="D3296" s="6" t="s">
        <v>5980</v>
      </c>
    </row>
    <row r="3297" ht="22" customHeight="1" spans="1:4">
      <c r="A3297" s="6" t="s">
        <v>5598</v>
      </c>
      <c r="B3297" s="6" t="s">
        <v>5981</v>
      </c>
      <c r="C3297" s="6" t="s">
        <v>1599</v>
      </c>
      <c r="D3297" s="6" t="s">
        <v>2546</v>
      </c>
    </row>
    <row r="3298" ht="22" customHeight="1" spans="1:4">
      <c r="A3298" s="6" t="s">
        <v>5598</v>
      </c>
      <c r="B3298" s="6" t="s">
        <v>5982</v>
      </c>
      <c r="C3298" s="6" t="s">
        <v>1570</v>
      </c>
      <c r="D3298" s="6" t="s">
        <v>1571</v>
      </c>
    </row>
    <row r="3299" ht="22" customHeight="1" spans="1:4">
      <c r="A3299" s="6" t="s">
        <v>5598</v>
      </c>
      <c r="B3299" s="6" t="s">
        <v>5983</v>
      </c>
      <c r="C3299" s="6" t="s">
        <v>1599</v>
      </c>
      <c r="D3299" s="6" t="s">
        <v>5984</v>
      </c>
    </row>
    <row r="3300" ht="22" customHeight="1" spans="1:4">
      <c r="A3300" s="6" t="s">
        <v>5598</v>
      </c>
      <c r="B3300" s="6" t="s">
        <v>5985</v>
      </c>
      <c r="C3300" s="6" t="s">
        <v>1599</v>
      </c>
      <c r="D3300" s="6" t="s">
        <v>2747</v>
      </c>
    </row>
    <row r="3301" ht="22" customHeight="1" spans="1:4">
      <c r="A3301" s="6" t="s">
        <v>5598</v>
      </c>
      <c r="B3301" s="6" t="s">
        <v>5986</v>
      </c>
      <c r="C3301" s="6" t="s">
        <v>1599</v>
      </c>
      <c r="D3301" s="6" t="s">
        <v>2770</v>
      </c>
    </row>
    <row r="3302" ht="22" customHeight="1" spans="1:4">
      <c r="A3302" s="6" t="s">
        <v>5598</v>
      </c>
      <c r="B3302" s="6" t="s">
        <v>5987</v>
      </c>
      <c r="C3302" s="6" t="s">
        <v>1599</v>
      </c>
      <c r="D3302" s="6" t="s">
        <v>5988</v>
      </c>
    </row>
    <row r="3303" ht="22" customHeight="1" spans="1:4">
      <c r="A3303" s="6" t="s">
        <v>5598</v>
      </c>
      <c r="B3303" s="6" t="s">
        <v>5989</v>
      </c>
      <c r="C3303" s="6" t="s">
        <v>1599</v>
      </c>
      <c r="D3303" s="6" t="s">
        <v>2546</v>
      </c>
    </row>
    <row r="3304" ht="22" customHeight="1" spans="1:4">
      <c r="A3304" s="6" t="s">
        <v>5598</v>
      </c>
      <c r="B3304" s="6" t="s">
        <v>5990</v>
      </c>
      <c r="C3304" s="6" t="s">
        <v>1570</v>
      </c>
      <c r="D3304" s="6" t="s">
        <v>1571</v>
      </c>
    </row>
    <row r="3305" ht="22" customHeight="1" spans="1:4">
      <c r="A3305" s="6" t="s">
        <v>5598</v>
      </c>
      <c r="B3305" s="6" t="s">
        <v>5991</v>
      </c>
      <c r="C3305" s="6" t="s">
        <v>1599</v>
      </c>
      <c r="D3305" s="6" t="s">
        <v>5992</v>
      </c>
    </row>
    <row r="3306" ht="22" customHeight="1" spans="1:4">
      <c r="A3306" s="6" t="s">
        <v>5598</v>
      </c>
      <c r="B3306" s="6" t="s">
        <v>5993</v>
      </c>
      <c r="C3306" s="6" t="s">
        <v>1599</v>
      </c>
      <c r="D3306" s="6" t="s">
        <v>2813</v>
      </c>
    </row>
    <row r="3307" ht="22" customHeight="1" spans="1:4">
      <c r="A3307" s="6" t="s">
        <v>5598</v>
      </c>
      <c r="B3307" s="6" t="s">
        <v>5994</v>
      </c>
      <c r="C3307" s="6" t="s">
        <v>1599</v>
      </c>
      <c r="D3307" s="6" t="s">
        <v>2815</v>
      </c>
    </row>
    <row r="3308" ht="22" customHeight="1" spans="1:4">
      <c r="A3308" s="6" t="s">
        <v>5598</v>
      </c>
      <c r="B3308" s="6" t="s">
        <v>5995</v>
      </c>
      <c r="C3308" s="6" t="s">
        <v>1599</v>
      </c>
      <c r="D3308" s="6" t="s">
        <v>5996</v>
      </c>
    </row>
    <row r="3309" ht="22" customHeight="1" spans="1:4">
      <c r="A3309" s="6" t="s">
        <v>5598</v>
      </c>
      <c r="B3309" s="6" t="s">
        <v>5997</v>
      </c>
      <c r="C3309" s="6" t="s">
        <v>1599</v>
      </c>
      <c r="D3309" s="6" t="s">
        <v>2811</v>
      </c>
    </row>
    <row r="3310" ht="22" customHeight="1" spans="1:4">
      <c r="A3310" s="6" t="s">
        <v>5598</v>
      </c>
      <c r="B3310" s="6" t="s">
        <v>5998</v>
      </c>
      <c r="C3310" s="6" t="s">
        <v>1570</v>
      </c>
      <c r="D3310" s="6" t="s">
        <v>1571</v>
      </c>
    </row>
    <row r="3311" ht="22" customHeight="1" spans="1:4">
      <c r="A3311" s="6" t="s">
        <v>5598</v>
      </c>
      <c r="B3311" s="6" t="s">
        <v>5999</v>
      </c>
      <c r="C3311" s="6" t="s">
        <v>1599</v>
      </c>
      <c r="D3311" s="6" t="s">
        <v>6000</v>
      </c>
    </row>
    <row r="3312" ht="22" customHeight="1" spans="1:4">
      <c r="A3312" s="6" t="s">
        <v>5598</v>
      </c>
      <c r="B3312" s="6" t="s">
        <v>6001</v>
      </c>
      <c r="C3312" s="6" t="s">
        <v>1599</v>
      </c>
      <c r="D3312" s="6" t="s">
        <v>2845</v>
      </c>
    </row>
    <row r="3313" ht="22" customHeight="1" spans="1:4">
      <c r="A3313" s="6" t="s">
        <v>5598</v>
      </c>
      <c r="B3313" s="6" t="s">
        <v>6002</v>
      </c>
      <c r="C3313" s="6" t="s">
        <v>1599</v>
      </c>
      <c r="D3313" s="6" t="s">
        <v>2847</v>
      </c>
    </row>
    <row r="3314" ht="22" customHeight="1" spans="1:4">
      <c r="A3314" s="6" t="s">
        <v>5598</v>
      </c>
      <c r="B3314" s="6" t="s">
        <v>6003</v>
      </c>
      <c r="C3314" s="6" t="s">
        <v>1599</v>
      </c>
      <c r="D3314" s="6" t="s">
        <v>6004</v>
      </c>
    </row>
    <row r="3315" ht="22" customHeight="1" spans="1:4">
      <c r="A3315" s="6" t="s">
        <v>5598</v>
      </c>
      <c r="B3315" s="6" t="s">
        <v>6005</v>
      </c>
      <c r="C3315" s="6" t="s">
        <v>1599</v>
      </c>
      <c r="D3315" s="6" t="s">
        <v>2811</v>
      </c>
    </row>
    <row r="3316" ht="22" customHeight="1" spans="1:4">
      <c r="A3316" s="6" t="s">
        <v>5598</v>
      </c>
      <c r="B3316" s="6" t="s">
        <v>6006</v>
      </c>
      <c r="C3316" s="6" t="s">
        <v>1570</v>
      </c>
      <c r="D3316" s="6" t="s">
        <v>1571</v>
      </c>
    </row>
    <row r="3317" ht="22" customHeight="1" spans="1:4">
      <c r="A3317" s="6" t="s">
        <v>5598</v>
      </c>
      <c r="B3317" s="6" t="s">
        <v>6007</v>
      </c>
      <c r="C3317" s="6" t="s">
        <v>1599</v>
      </c>
      <c r="D3317" s="6" t="s">
        <v>6008</v>
      </c>
    </row>
    <row r="3318" ht="22" customHeight="1" spans="1:4">
      <c r="A3318" s="6" t="s">
        <v>5598</v>
      </c>
      <c r="B3318" s="6" t="s">
        <v>6009</v>
      </c>
      <c r="C3318" s="6" t="s">
        <v>1599</v>
      </c>
      <c r="D3318" s="6" t="s">
        <v>2881</v>
      </c>
    </row>
    <row r="3319" ht="22" customHeight="1" spans="1:4">
      <c r="A3319" s="6" t="s">
        <v>5598</v>
      </c>
      <c r="B3319" s="6" t="s">
        <v>6010</v>
      </c>
      <c r="C3319" s="6" t="s">
        <v>1599</v>
      </c>
      <c r="D3319" s="6" t="s">
        <v>2883</v>
      </c>
    </row>
    <row r="3320" ht="22" customHeight="1" spans="1:4">
      <c r="A3320" s="6" t="s">
        <v>5598</v>
      </c>
      <c r="B3320" s="6" t="s">
        <v>6011</v>
      </c>
      <c r="C3320" s="6" t="s">
        <v>1599</v>
      </c>
      <c r="D3320" s="6" t="s">
        <v>6012</v>
      </c>
    </row>
    <row r="3321" ht="22" customHeight="1" spans="1:4">
      <c r="A3321" s="6" t="s">
        <v>5598</v>
      </c>
      <c r="B3321" s="6" t="s">
        <v>6013</v>
      </c>
      <c r="C3321" s="6" t="s">
        <v>1599</v>
      </c>
      <c r="D3321" s="6" t="s">
        <v>2811</v>
      </c>
    </row>
    <row r="3322" ht="22" customHeight="1" spans="1:4">
      <c r="A3322" s="6" t="s">
        <v>5598</v>
      </c>
      <c r="B3322" s="6" t="s">
        <v>6014</v>
      </c>
      <c r="C3322" s="6" t="s">
        <v>1570</v>
      </c>
      <c r="D3322" s="6" t="s">
        <v>1571</v>
      </c>
    </row>
    <row r="3323" ht="22" customHeight="1" spans="1:4">
      <c r="A3323" s="6" t="s">
        <v>5598</v>
      </c>
      <c r="B3323" s="6" t="s">
        <v>6015</v>
      </c>
      <c r="C3323" s="6" t="s">
        <v>1599</v>
      </c>
      <c r="D3323" s="6" t="s">
        <v>6016</v>
      </c>
    </row>
    <row r="3324" ht="22" customHeight="1" spans="1:4">
      <c r="A3324" s="6" t="s">
        <v>5598</v>
      </c>
      <c r="B3324" s="6" t="s">
        <v>6017</v>
      </c>
      <c r="C3324" s="6" t="s">
        <v>1599</v>
      </c>
      <c r="D3324" s="6" t="s">
        <v>2917</v>
      </c>
    </row>
    <row r="3325" ht="22" customHeight="1" spans="1:4">
      <c r="A3325" s="6" t="s">
        <v>5598</v>
      </c>
      <c r="B3325" s="6" t="s">
        <v>6018</v>
      </c>
      <c r="C3325" s="6" t="s">
        <v>1599</v>
      </c>
      <c r="D3325" s="6" t="s">
        <v>2919</v>
      </c>
    </row>
    <row r="3326" ht="22" customHeight="1" spans="1:4">
      <c r="A3326" s="6" t="s">
        <v>5598</v>
      </c>
      <c r="B3326" s="6" t="s">
        <v>6019</v>
      </c>
      <c r="C3326" s="6" t="s">
        <v>1599</v>
      </c>
      <c r="D3326" s="6" t="s">
        <v>6020</v>
      </c>
    </row>
    <row r="3327" ht="22" customHeight="1" spans="1:4">
      <c r="A3327" s="6" t="s">
        <v>5598</v>
      </c>
      <c r="B3327" s="6" t="s">
        <v>6021</v>
      </c>
      <c r="C3327" s="6" t="s">
        <v>1599</v>
      </c>
      <c r="D3327" s="6" t="s">
        <v>2811</v>
      </c>
    </row>
    <row r="3328" ht="22" customHeight="1" spans="1:4">
      <c r="A3328" s="6" t="s">
        <v>5598</v>
      </c>
      <c r="B3328" s="6" t="s">
        <v>6022</v>
      </c>
      <c r="C3328" s="6" t="s">
        <v>1570</v>
      </c>
      <c r="D3328" s="6" t="s">
        <v>1571</v>
      </c>
    </row>
    <row r="3329" ht="22" customHeight="1" spans="1:4">
      <c r="A3329" s="6" t="s">
        <v>5598</v>
      </c>
      <c r="B3329" s="6" t="s">
        <v>6023</v>
      </c>
      <c r="C3329" s="6" t="s">
        <v>1599</v>
      </c>
      <c r="D3329" s="6" t="s">
        <v>6024</v>
      </c>
    </row>
    <row r="3330" ht="22" customHeight="1" spans="1:4">
      <c r="A3330" s="6" t="s">
        <v>5598</v>
      </c>
      <c r="B3330" s="6" t="s">
        <v>6025</v>
      </c>
      <c r="C3330" s="6" t="s">
        <v>1599</v>
      </c>
      <c r="D3330" s="6" t="s">
        <v>2950</v>
      </c>
    </row>
    <row r="3331" ht="22" customHeight="1" spans="1:4">
      <c r="A3331" s="6" t="s">
        <v>5598</v>
      </c>
      <c r="B3331" s="6" t="s">
        <v>6026</v>
      </c>
      <c r="C3331" s="6" t="s">
        <v>1599</v>
      </c>
      <c r="D3331" s="6" t="s">
        <v>2952</v>
      </c>
    </row>
    <row r="3332" ht="22" customHeight="1" spans="1:4">
      <c r="A3332" s="6" t="s">
        <v>5598</v>
      </c>
      <c r="B3332" s="6" t="s">
        <v>6027</v>
      </c>
      <c r="C3332" s="6" t="s">
        <v>1599</v>
      </c>
      <c r="D3332" s="6" t="s">
        <v>6028</v>
      </c>
    </row>
    <row r="3333" ht="22" customHeight="1" spans="1:4">
      <c r="A3333" s="6" t="s">
        <v>5598</v>
      </c>
      <c r="B3333" s="6" t="s">
        <v>6029</v>
      </c>
      <c r="C3333" s="6" t="s">
        <v>1599</v>
      </c>
      <c r="D3333" s="6" t="s">
        <v>2811</v>
      </c>
    </row>
    <row r="3334" ht="22" customHeight="1" spans="1:4">
      <c r="A3334" s="6" t="s">
        <v>5598</v>
      </c>
      <c r="B3334" s="6" t="s">
        <v>6030</v>
      </c>
      <c r="C3334" s="6" t="s">
        <v>1570</v>
      </c>
      <c r="D3334" s="6" t="s">
        <v>1571</v>
      </c>
    </row>
    <row r="3335" ht="22" customHeight="1" spans="1:4">
      <c r="A3335" s="6" t="s">
        <v>5598</v>
      </c>
      <c r="B3335" s="6" t="s">
        <v>6031</v>
      </c>
      <c r="C3335" s="6" t="s">
        <v>1599</v>
      </c>
      <c r="D3335" s="6" t="s">
        <v>6032</v>
      </c>
    </row>
    <row r="3336" ht="22" customHeight="1" spans="1:4">
      <c r="A3336" s="6" t="s">
        <v>5598</v>
      </c>
      <c r="B3336" s="6" t="s">
        <v>6033</v>
      </c>
      <c r="C3336" s="6" t="s">
        <v>1599</v>
      </c>
      <c r="D3336" s="6" t="s">
        <v>2984</v>
      </c>
    </row>
    <row r="3337" ht="22" customHeight="1" spans="1:4">
      <c r="A3337" s="6" t="s">
        <v>5598</v>
      </c>
      <c r="B3337" s="6" t="s">
        <v>6034</v>
      </c>
      <c r="C3337" s="6" t="s">
        <v>1599</v>
      </c>
      <c r="D3337" s="6" t="s">
        <v>2982</v>
      </c>
    </row>
    <row r="3338" ht="22" customHeight="1" spans="1:4">
      <c r="A3338" s="6" t="s">
        <v>5598</v>
      </c>
      <c r="B3338" s="6" t="s">
        <v>6035</v>
      </c>
      <c r="C3338" s="6" t="s">
        <v>1599</v>
      </c>
      <c r="D3338" s="6" t="s">
        <v>6036</v>
      </c>
    </row>
    <row r="3339" ht="22" customHeight="1" spans="1:4">
      <c r="A3339" s="6" t="s">
        <v>5598</v>
      </c>
      <c r="B3339" s="6" t="s">
        <v>6037</v>
      </c>
      <c r="C3339" s="6" t="s">
        <v>1599</v>
      </c>
      <c r="D3339" s="6" t="s">
        <v>2811</v>
      </c>
    </row>
    <row r="3340" ht="22" customHeight="1" spans="1:4">
      <c r="A3340" s="6" t="s">
        <v>5598</v>
      </c>
      <c r="B3340" s="6" t="s">
        <v>6038</v>
      </c>
      <c r="C3340" s="6" t="s">
        <v>1570</v>
      </c>
      <c r="D3340" s="6" t="s">
        <v>1571</v>
      </c>
    </row>
    <row r="3341" ht="22" customHeight="1" spans="1:4">
      <c r="A3341" s="6" t="s">
        <v>5598</v>
      </c>
      <c r="B3341" s="6" t="s">
        <v>6039</v>
      </c>
      <c r="C3341" s="6" t="s">
        <v>1599</v>
      </c>
      <c r="D3341" s="6" t="s">
        <v>6040</v>
      </c>
    </row>
    <row r="3342" ht="22" customHeight="1" spans="1:4">
      <c r="A3342" s="6" t="s">
        <v>5598</v>
      </c>
      <c r="B3342" s="6" t="s">
        <v>6041</v>
      </c>
      <c r="C3342" s="6" t="s">
        <v>1599</v>
      </c>
      <c r="D3342" s="6" t="s">
        <v>3020</v>
      </c>
    </row>
    <row r="3343" ht="22" customHeight="1" spans="1:4">
      <c r="A3343" s="6" t="s">
        <v>5598</v>
      </c>
      <c r="B3343" s="6" t="s">
        <v>6042</v>
      </c>
      <c r="C3343" s="6" t="s">
        <v>1599</v>
      </c>
      <c r="D3343" s="6" t="s">
        <v>3022</v>
      </c>
    </row>
    <row r="3344" ht="22" customHeight="1" spans="1:4">
      <c r="A3344" s="6" t="s">
        <v>5598</v>
      </c>
      <c r="B3344" s="6" t="s">
        <v>6043</v>
      </c>
      <c r="C3344" s="6" t="s">
        <v>1599</v>
      </c>
      <c r="D3344" s="6" t="s">
        <v>6044</v>
      </c>
    </row>
    <row r="3345" ht="22" customHeight="1" spans="1:4">
      <c r="A3345" s="6" t="s">
        <v>5598</v>
      </c>
      <c r="B3345" s="6" t="s">
        <v>6045</v>
      </c>
      <c r="C3345" s="6" t="s">
        <v>1599</v>
      </c>
      <c r="D3345" s="6" t="s">
        <v>2811</v>
      </c>
    </row>
    <row r="3346" ht="22" customHeight="1" spans="1:4">
      <c r="A3346" s="6" t="s">
        <v>5598</v>
      </c>
      <c r="B3346" s="6" t="s">
        <v>6046</v>
      </c>
      <c r="C3346" s="6" t="s">
        <v>1570</v>
      </c>
      <c r="D3346" s="6" t="s">
        <v>1571</v>
      </c>
    </row>
    <row r="3347" ht="22" customHeight="1" spans="1:4">
      <c r="A3347" s="6" t="s">
        <v>5598</v>
      </c>
      <c r="B3347" s="6" t="s">
        <v>6047</v>
      </c>
      <c r="C3347" s="6" t="s">
        <v>1599</v>
      </c>
      <c r="D3347" s="6" t="s">
        <v>6048</v>
      </c>
    </row>
    <row r="3348" ht="22" customHeight="1" spans="1:4">
      <c r="A3348" s="6" t="s">
        <v>5598</v>
      </c>
      <c r="B3348" s="6" t="s">
        <v>6049</v>
      </c>
      <c r="C3348" s="6" t="s">
        <v>1599</v>
      </c>
      <c r="D3348" s="6" t="s">
        <v>3053</v>
      </c>
    </row>
    <row r="3349" ht="22" customHeight="1" spans="1:4">
      <c r="A3349" s="6" t="s">
        <v>5598</v>
      </c>
      <c r="B3349" s="6" t="s">
        <v>6050</v>
      </c>
      <c r="C3349" s="6" t="s">
        <v>1599</v>
      </c>
      <c r="D3349" s="6" t="s">
        <v>3055</v>
      </c>
    </row>
    <row r="3350" ht="22" customHeight="1" spans="1:4">
      <c r="A3350" s="6" t="s">
        <v>5598</v>
      </c>
      <c r="B3350" s="6" t="s">
        <v>6051</v>
      </c>
      <c r="C3350" s="6" t="s">
        <v>1599</v>
      </c>
      <c r="D3350" s="6" t="s">
        <v>6052</v>
      </c>
    </row>
    <row r="3351" ht="22" customHeight="1" spans="1:4">
      <c r="A3351" s="6" t="s">
        <v>5598</v>
      </c>
      <c r="B3351" s="6" t="s">
        <v>6053</v>
      </c>
      <c r="C3351" s="6" t="s">
        <v>1599</v>
      </c>
      <c r="D3351" s="6" t="s">
        <v>2811</v>
      </c>
    </row>
    <row r="3352" ht="22" customHeight="1" spans="1:4">
      <c r="A3352" s="6" t="s">
        <v>5598</v>
      </c>
      <c r="B3352" s="6" t="s">
        <v>6054</v>
      </c>
      <c r="C3352" s="6" t="s">
        <v>1570</v>
      </c>
      <c r="D3352" s="6" t="s">
        <v>1571</v>
      </c>
    </row>
    <row r="3353" ht="22" customHeight="1" spans="1:4">
      <c r="A3353" s="6" t="s">
        <v>5598</v>
      </c>
      <c r="B3353" s="6" t="s">
        <v>6055</v>
      </c>
      <c r="C3353" s="6" t="s">
        <v>1599</v>
      </c>
      <c r="D3353" s="6" t="s">
        <v>6056</v>
      </c>
    </row>
    <row r="3354" ht="22" customHeight="1" spans="1:4">
      <c r="A3354" s="6" t="s">
        <v>5598</v>
      </c>
      <c r="B3354" s="6" t="s">
        <v>6057</v>
      </c>
      <c r="C3354" s="6" t="s">
        <v>1599</v>
      </c>
      <c r="D3354" s="6" t="s">
        <v>3883</v>
      </c>
    </row>
    <row r="3355" ht="22" customHeight="1" spans="1:4">
      <c r="A3355" s="6" t="s">
        <v>5598</v>
      </c>
      <c r="B3355" s="6" t="s">
        <v>6058</v>
      </c>
      <c r="C3355" s="6" t="s">
        <v>1599</v>
      </c>
      <c r="D3355" s="6" t="s">
        <v>3913</v>
      </c>
    </row>
    <row r="3356" ht="22" customHeight="1" spans="1:4">
      <c r="A3356" s="6" t="s">
        <v>5598</v>
      </c>
      <c r="B3356" s="6" t="s">
        <v>6059</v>
      </c>
      <c r="C3356" s="6" t="s">
        <v>1599</v>
      </c>
      <c r="D3356" s="6" t="s">
        <v>6060</v>
      </c>
    </row>
    <row r="3357" ht="22" customHeight="1" spans="1:4">
      <c r="A3357" s="6" t="s">
        <v>5598</v>
      </c>
      <c r="B3357" s="6" t="s">
        <v>6061</v>
      </c>
      <c r="C3357" s="6" t="s">
        <v>1599</v>
      </c>
      <c r="D3357" s="6" t="s">
        <v>5831</v>
      </c>
    </row>
    <row r="3358" ht="22" customHeight="1" spans="1:4">
      <c r="A3358" s="6" t="s">
        <v>5598</v>
      </c>
      <c r="B3358" s="6" t="s">
        <v>6062</v>
      </c>
      <c r="C3358" s="6" t="s">
        <v>1570</v>
      </c>
      <c r="D3358" s="6" t="s">
        <v>1571</v>
      </c>
    </row>
    <row r="3359" ht="22" customHeight="1" spans="1:4">
      <c r="A3359" s="6" t="s">
        <v>5598</v>
      </c>
      <c r="B3359" s="6" t="s">
        <v>6063</v>
      </c>
      <c r="C3359" s="6" t="s">
        <v>1599</v>
      </c>
      <c r="D3359" s="6" t="s">
        <v>6064</v>
      </c>
    </row>
    <row r="3360" ht="22" customHeight="1" spans="1:4">
      <c r="A3360" s="6" t="s">
        <v>5598</v>
      </c>
      <c r="B3360" s="6" t="s">
        <v>6065</v>
      </c>
      <c r="C3360" s="6" t="s">
        <v>1599</v>
      </c>
      <c r="D3360" s="6" t="s">
        <v>3918</v>
      </c>
    </row>
    <row r="3361" ht="22" customHeight="1" spans="1:4">
      <c r="A3361" s="6" t="s">
        <v>5598</v>
      </c>
      <c r="B3361" s="6" t="s">
        <v>6066</v>
      </c>
      <c r="C3361" s="6" t="s">
        <v>1599</v>
      </c>
      <c r="D3361" s="6" t="s">
        <v>3943</v>
      </c>
    </row>
    <row r="3362" ht="22" customHeight="1" spans="1:4">
      <c r="A3362" s="6" t="s">
        <v>5598</v>
      </c>
      <c r="B3362" s="6" t="s">
        <v>6067</v>
      </c>
      <c r="C3362" s="6" t="s">
        <v>1599</v>
      </c>
      <c r="D3362" s="6" t="s">
        <v>6068</v>
      </c>
    </row>
    <row r="3363" ht="22" customHeight="1" spans="1:4">
      <c r="A3363" s="6" t="s">
        <v>5598</v>
      </c>
      <c r="B3363" s="6" t="s">
        <v>6069</v>
      </c>
      <c r="C3363" s="6" t="s">
        <v>1599</v>
      </c>
      <c r="D3363" s="6" t="s">
        <v>5831</v>
      </c>
    </row>
    <row r="3364" ht="22" customHeight="1" spans="1:4">
      <c r="A3364" s="6" t="s">
        <v>5598</v>
      </c>
      <c r="B3364" s="6" t="s">
        <v>6070</v>
      </c>
      <c r="C3364" s="6" t="s">
        <v>1570</v>
      </c>
      <c r="D3364" s="6" t="s">
        <v>1571</v>
      </c>
    </row>
    <row r="3365" ht="22" customHeight="1" spans="1:4">
      <c r="A3365" s="6" t="s">
        <v>5598</v>
      </c>
      <c r="B3365" s="6" t="s">
        <v>6071</v>
      </c>
      <c r="C3365" s="6" t="s">
        <v>1599</v>
      </c>
      <c r="D3365" s="6" t="s">
        <v>6072</v>
      </c>
    </row>
    <row r="3366" ht="22" customHeight="1" spans="1:4">
      <c r="A3366" s="6" t="s">
        <v>5598</v>
      </c>
      <c r="B3366" s="6" t="s">
        <v>6073</v>
      </c>
      <c r="C3366" s="6" t="s">
        <v>1599</v>
      </c>
      <c r="D3366" s="6" t="s">
        <v>3982</v>
      </c>
    </row>
    <row r="3367" ht="22" customHeight="1" spans="1:4">
      <c r="A3367" s="6" t="s">
        <v>5598</v>
      </c>
      <c r="B3367" s="6" t="s">
        <v>6074</v>
      </c>
      <c r="C3367" s="6" t="s">
        <v>1599</v>
      </c>
      <c r="D3367" s="6" t="s">
        <v>4009</v>
      </c>
    </row>
    <row r="3368" ht="22" customHeight="1" spans="1:4">
      <c r="A3368" s="6" t="s">
        <v>5598</v>
      </c>
      <c r="B3368" s="6" t="s">
        <v>6075</v>
      </c>
      <c r="C3368" s="6" t="s">
        <v>1599</v>
      </c>
      <c r="D3368" s="6" t="s">
        <v>6076</v>
      </c>
    </row>
    <row r="3369" ht="22" customHeight="1" spans="1:4">
      <c r="A3369" s="6" t="s">
        <v>5598</v>
      </c>
      <c r="B3369" s="6" t="s">
        <v>6077</v>
      </c>
      <c r="C3369" s="6" t="s">
        <v>1599</v>
      </c>
      <c r="D3369" s="6" t="s">
        <v>5831</v>
      </c>
    </row>
    <row r="3370" ht="22" customHeight="1" spans="1:4">
      <c r="A3370" s="6" t="s">
        <v>5598</v>
      </c>
      <c r="B3370" s="6" t="s">
        <v>6078</v>
      </c>
      <c r="C3370" s="6" t="s">
        <v>1570</v>
      </c>
      <c r="D3370" s="6" t="s">
        <v>1571</v>
      </c>
    </row>
    <row r="3371" ht="22" customHeight="1" spans="1:4">
      <c r="A3371" s="6" t="s">
        <v>5598</v>
      </c>
      <c r="B3371" s="6" t="s">
        <v>6079</v>
      </c>
      <c r="C3371" s="6" t="s">
        <v>1599</v>
      </c>
      <c r="D3371" s="6" t="s">
        <v>6080</v>
      </c>
    </row>
    <row r="3372" ht="22" customHeight="1" spans="1:4">
      <c r="A3372" s="6" t="s">
        <v>5598</v>
      </c>
      <c r="B3372" s="6" t="s">
        <v>6081</v>
      </c>
      <c r="C3372" s="6" t="s">
        <v>1599</v>
      </c>
      <c r="D3372" s="6" t="s">
        <v>4014</v>
      </c>
    </row>
    <row r="3373" ht="22" customHeight="1" spans="1:4">
      <c r="A3373" s="6" t="s">
        <v>5598</v>
      </c>
      <c r="B3373" s="6" t="s">
        <v>6082</v>
      </c>
      <c r="C3373" s="6" t="s">
        <v>1599</v>
      </c>
      <c r="D3373" s="6" t="s">
        <v>4040</v>
      </c>
    </row>
    <row r="3374" ht="22" customHeight="1" spans="1:4">
      <c r="A3374" s="6" t="s">
        <v>5598</v>
      </c>
      <c r="B3374" s="6" t="s">
        <v>6083</v>
      </c>
      <c r="C3374" s="6" t="s">
        <v>1599</v>
      </c>
      <c r="D3374" s="6" t="s">
        <v>6084</v>
      </c>
    </row>
    <row r="3375" ht="22" customHeight="1" spans="1:4">
      <c r="A3375" s="6" t="s">
        <v>5598</v>
      </c>
      <c r="B3375" s="6" t="s">
        <v>6085</v>
      </c>
      <c r="C3375" s="6" t="s">
        <v>1599</v>
      </c>
      <c r="D3375" s="6" t="s">
        <v>5831</v>
      </c>
    </row>
    <row r="3376" ht="22" customHeight="1" spans="1:4">
      <c r="A3376" s="6" t="s">
        <v>5598</v>
      </c>
      <c r="B3376" s="6" t="s">
        <v>6086</v>
      </c>
      <c r="C3376" s="6" t="s">
        <v>1570</v>
      </c>
      <c r="D3376" s="6" t="s">
        <v>1571</v>
      </c>
    </row>
    <row r="3377" ht="22" customHeight="1" spans="1:4">
      <c r="A3377" s="6" t="s">
        <v>5598</v>
      </c>
      <c r="B3377" s="6" t="s">
        <v>6087</v>
      </c>
      <c r="C3377" s="6" t="s">
        <v>1599</v>
      </c>
      <c r="D3377" s="6" t="s">
        <v>6088</v>
      </c>
    </row>
    <row r="3378" ht="22" customHeight="1" spans="1:4">
      <c r="A3378" s="6" t="s">
        <v>5598</v>
      </c>
      <c r="B3378" s="6" t="s">
        <v>6089</v>
      </c>
      <c r="C3378" s="6" t="s">
        <v>1599</v>
      </c>
      <c r="D3378" s="6" t="s">
        <v>4045</v>
      </c>
    </row>
    <row r="3379" ht="22" customHeight="1" spans="1:4">
      <c r="A3379" s="6" t="s">
        <v>5598</v>
      </c>
      <c r="B3379" s="6" t="s">
        <v>6090</v>
      </c>
      <c r="C3379" s="6" t="s">
        <v>1599</v>
      </c>
      <c r="D3379" s="6" t="s">
        <v>4072</v>
      </c>
    </row>
    <row r="3380" ht="22" customHeight="1" spans="1:4">
      <c r="A3380" s="6" t="s">
        <v>5598</v>
      </c>
      <c r="B3380" s="6" t="s">
        <v>6091</v>
      </c>
      <c r="C3380" s="6" t="s">
        <v>1599</v>
      </c>
      <c r="D3380" s="6" t="s">
        <v>6092</v>
      </c>
    </row>
    <row r="3381" ht="22" customHeight="1" spans="1:4">
      <c r="A3381" s="6" t="s">
        <v>5598</v>
      </c>
      <c r="B3381" s="6" t="s">
        <v>6093</v>
      </c>
      <c r="C3381" s="6" t="s">
        <v>1599</v>
      </c>
      <c r="D3381" s="6" t="s">
        <v>5831</v>
      </c>
    </row>
    <row r="3382" ht="22" customHeight="1" spans="1:4">
      <c r="A3382" s="6" t="s">
        <v>5598</v>
      </c>
      <c r="B3382" s="6" t="s">
        <v>6094</v>
      </c>
      <c r="C3382" s="6" t="s">
        <v>1570</v>
      </c>
      <c r="D3382" s="6" t="s">
        <v>1571</v>
      </c>
    </row>
    <row r="3383" ht="22" customHeight="1" spans="1:4">
      <c r="A3383" s="6" t="s">
        <v>5598</v>
      </c>
      <c r="B3383" s="6" t="s">
        <v>6095</v>
      </c>
      <c r="C3383" s="6" t="s">
        <v>1599</v>
      </c>
      <c r="D3383" s="6" t="s">
        <v>6096</v>
      </c>
    </row>
    <row r="3384" ht="22" customHeight="1" spans="1:4">
      <c r="A3384" s="6" t="s">
        <v>5598</v>
      </c>
      <c r="B3384" s="6" t="s">
        <v>6097</v>
      </c>
      <c r="C3384" s="6" t="s">
        <v>1599</v>
      </c>
      <c r="D3384" s="6" t="s">
        <v>4114</v>
      </c>
    </row>
    <row r="3385" ht="22" customHeight="1" spans="1:4">
      <c r="A3385" s="6" t="s">
        <v>5598</v>
      </c>
      <c r="B3385" s="6" t="s">
        <v>6098</v>
      </c>
      <c r="C3385" s="6" t="s">
        <v>1599</v>
      </c>
      <c r="D3385" s="6" t="s">
        <v>4141</v>
      </c>
    </row>
    <row r="3386" ht="22" customHeight="1" spans="1:4">
      <c r="A3386" s="6" t="s">
        <v>5598</v>
      </c>
      <c r="B3386" s="6" t="s">
        <v>6099</v>
      </c>
      <c r="C3386" s="6" t="s">
        <v>1599</v>
      </c>
      <c r="D3386" s="6" t="s">
        <v>6100</v>
      </c>
    </row>
    <row r="3387" ht="22" customHeight="1" spans="1:4">
      <c r="A3387" s="6" t="s">
        <v>5598</v>
      </c>
      <c r="B3387" s="6" t="s">
        <v>6101</v>
      </c>
      <c r="C3387" s="6" t="s">
        <v>1599</v>
      </c>
      <c r="D3387" s="6" t="s">
        <v>5831</v>
      </c>
    </row>
    <row r="3388" ht="22" customHeight="1" spans="1:4">
      <c r="A3388" s="6" t="s">
        <v>5598</v>
      </c>
      <c r="B3388" s="6" t="s">
        <v>6102</v>
      </c>
      <c r="C3388" s="6" t="s">
        <v>1570</v>
      </c>
      <c r="D3388" s="6" t="s">
        <v>1571</v>
      </c>
    </row>
    <row r="3389" ht="22" customHeight="1" spans="1:4">
      <c r="A3389" s="6" t="s">
        <v>5598</v>
      </c>
      <c r="B3389" s="6" t="s">
        <v>6103</v>
      </c>
      <c r="C3389" s="6" t="s">
        <v>1599</v>
      </c>
      <c r="D3389" s="6" t="s">
        <v>6104</v>
      </c>
    </row>
    <row r="3390" ht="22" customHeight="1" spans="1:4">
      <c r="A3390" s="6" t="s">
        <v>5598</v>
      </c>
      <c r="B3390" s="6" t="s">
        <v>6105</v>
      </c>
      <c r="C3390" s="6" t="s">
        <v>1599</v>
      </c>
      <c r="D3390" s="6" t="s">
        <v>4184</v>
      </c>
    </row>
    <row r="3391" ht="22" customHeight="1" spans="1:4">
      <c r="A3391" s="6" t="s">
        <v>5598</v>
      </c>
      <c r="B3391" s="6" t="s">
        <v>6106</v>
      </c>
      <c r="C3391" s="6" t="s">
        <v>1599</v>
      </c>
      <c r="D3391" s="6" t="s">
        <v>4215</v>
      </c>
    </row>
    <row r="3392" ht="22" customHeight="1" spans="1:4">
      <c r="A3392" s="6" t="s">
        <v>5598</v>
      </c>
      <c r="B3392" s="6" t="s">
        <v>6107</v>
      </c>
      <c r="C3392" s="6" t="s">
        <v>1599</v>
      </c>
      <c r="D3392" s="6" t="s">
        <v>6108</v>
      </c>
    </row>
    <row r="3393" ht="22" customHeight="1" spans="1:4">
      <c r="A3393" s="6" t="s">
        <v>5598</v>
      </c>
      <c r="B3393" s="6" t="s">
        <v>6109</v>
      </c>
      <c r="C3393" s="6" t="s">
        <v>1599</v>
      </c>
      <c r="D3393" s="6" t="s">
        <v>5831</v>
      </c>
    </row>
    <row r="3394" ht="22" customHeight="1" spans="1:4">
      <c r="A3394" s="6" t="s">
        <v>5598</v>
      </c>
      <c r="B3394" s="6" t="s">
        <v>6110</v>
      </c>
      <c r="C3394" s="6" t="s">
        <v>1570</v>
      </c>
      <c r="D3394" s="6" t="s">
        <v>1571</v>
      </c>
    </row>
    <row r="3395" ht="22" customHeight="1" spans="1:4">
      <c r="A3395" s="6" t="s">
        <v>5598</v>
      </c>
      <c r="B3395" s="6" t="s">
        <v>6111</v>
      </c>
      <c r="C3395" s="6" t="s">
        <v>1599</v>
      </c>
      <c r="D3395" s="6" t="s">
        <v>6112</v>
      </c>
    </row>
    <row r="3396" ht="22" customHeight="1" spans="1:4">
      <c r="A3396" s="6" t="s">
        <v>5598</v>
      </c>
      <c r="B3396" s="6" t="s">
        <v>6113</v>
      </c>
      <c r="C3396" s="6" t="s">
        <v>1599</v>
      </c>
      <c r="D3396" s="6" t="s">
        <v>4220</v>
      </c>
    </row>
    <row r="3397" ht="22" customHeight="1" spans="1:4">
      <c r="A3397" s="6" t="s">
        <v>5598</v>
      </c>
      <c r="B3397" s="6" t="s">
        <v>6114</v>
      </c>
      <c r="C3397" s="6" t="s">
        <v>1599</v>
      </c>
      <c r="D3397" s="6" t="s">
        <v>4248</v>
      </c>
    </row>
    <row r="3398" ht="22" customHeight="1" spans="1:4">
      <c r="A3398" s="6" t="s">
        <v>5598</v>
      </c>
      <c r="B3398" s="6" t="s">
        <v>6115</v>
      </c>
      <c r="C3398" s="6" t="s">
        <v>1599</v>
      </c>
      <c r="D3398" s="6" t="s">
        <v>6116</v>
      </c>
    </row>
    <row r="3399" ht="22" customHeight="1" spans="1:4">
      <c r="A3399" s="6" t="s">
        <v>5598</v>
      </c>
      <c r="B3399" s="6" t="s">
        <v>6117</v>
      </c>
      <c r="C3399" s="6" t="s">
        <v>1599</v>
      </c>
      <c r="D3399" s="6" t="s">
        <v>5831</v>
      </c>
    </row>
  </sheetData>
  <mergeCells count="2">
    <mergeCell ref="A1:D1"/>
    <mergeCell ref="A2:D2"/>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7"/>
  <sheetViews>
    <sheetView showGridLines="0" workbookViewId="0">
      <pane ySplit="3" topLeftCell="A4" activePane="bottomLeft" state="frozen"/>
      <selection/>
      <selection pane="bottomLeft" activeCell="A1" sqref="A1:E1"/>
    </sheetView>
  </sheetViews>
  <sheetFormatPr defaultColWidth="9" defaultRowHeight="14.25" outlineLevelCol="4"/>
  <cols>
    <col min="1" max="1" width="52" customWidth="1"/>
    <col min="2" max="2" width="18" customWidth="1"/>
    <col min="3" max="3" width="72" customWidth="1"/>
    <col min="4" max="4" width="28" customWidth="1"/>
    <col min="5" max="5" width="27" customWidth="1"/>
  </cols>
  <sheetData>
    <row r="1" ht="34" customHeight="1" spans="1:5">
      <c r="A1" s="1" t="s">
        <v>6118</v>
      </c>
      <c r="B1" s="1"/>
      <c r="C1" s="1"/>
      <c r="D1" s="1"/>
      <c r="E1" s="1"/>
    </row>
    <row r="2" ht="42" customHeight="1" spans="1:5">
      <c r="A2" s="2" t="s">
        <v>6119</v>
      </c>
      <c r="B2" s="2"/>
      <c r="C2" s="2"/>
      <c r="D2" s="2"/>
      <c r="E2" s="2"/>
    </row>
    <row r="3" ht="28" customHeight="1" spans="1:5">
      <c r="A3" s="5" t="s">
        <v>1564</v>
      </c>
      <c r="B3" s="5" t="s">
        <v>6120</v>
      </c>
      <c r="C3" s="5" t="s">
        <v>6121</v>
      </c>
      <c r="D3" s="5" t="s">
        <v>526</v>
      </c>
      <c r="E3" s="5" t="s">
        <v>6122</v>
      </c>
    </row>
    <row r="4" ht="22" customHeight="1" spans="1:5">
      <c r="A4" s="6" t="s">
        <v>1568</v>
      </c>
      <c r="B4" s="6">
        <v>19</v>
      </c>
      <c r="C4" s="6" t="s">
        <v>6123</v>
      </c>
      <c r="D4" s="6" t="s">
        <v>6124</v>
      </c>
      <c r="E4" s="6" t="s">
        <v>6125</v>
      </c>
    </row>
    <row r="5" ht="22" customHeight="1" spans="1:5">
      <c r="A5" s="6" t="s">
        <v>1601</v>
      </c>
      <c r="B5" s="6">
        <v>1129</v>
      </c>
      <c r="C5" s="6" t="s">
        <v>6126</v>
      </c>
      <c r="D5" s="6" t="s">
        <v>6124</v>
      </c>
      <c r="E5" s="6" t="s">
        <v>6125</v>
      </c>
    </row>
    <row r="6" ht="22" customHeight="1" spans="1:5">
      <c r="A6" s="6" t="s">
        <v>3088</v>
      </c>
      <c r="B6" s="6">
        <v>371</v>
      </c>
      <c r="C6" s="6" t="s">
        <v>6127</v>
      </c>
      <c r="D6" s="6" t="s">
        <v>6124</v>
      </c>
      <c r="E6" s="6" t="s">
        <v>6125</v>
      </c>
    </row>
    <row r="7" ht="22" customHeight="1" spans="1:5">
      <c r="A7" s="6" t="s">
        <v>3556</v>
      </c>
      <c r="B7" s="6">
        <v>258</v>
      </c>
      <c r="C7" s="6" t="s">
        <v>6128</v>
      </c>
      <c r="D7" s="6" t="s">
        <v>6124</v>
      </c>
      <c r="E7" s="6" t="s">
        <v>6125</v>
      </c>
    </row>
    <row r="8" ht="22" customHeight="1" spans="1:5">
      <c r="A8" s="6" t="s">
        <v>3869</v>
      </c>
      <c r="B8" s="6">
        <v>335</v>
      </c>
      <c r="C8" s="6" t="s">
        <v>6129</v>
      </c>
      <c r="D8" s="6" t="s">
        <v>6124</v>
      </c>
      <c r="E8" s="6" t="s">
        <v>6125</v>
      </c>
    </row>
    <row r="9" ht="22" customHeight="1" spans="1:5">
      <c r="A9" s="6" t="s">
        <v>4285</v>
      </c>
      <c r="B9" s="6">
        <v>239</v>
      </c>
      <c r="C9" s="6" t="s">
        <v>6130</v>
      </c>
      <c r="D9" s="6" t="s">
        <v>6124</v>
      </c>
      <c r="E9" s="6" t="s">
        <v>6125</v>
      </c>
    </row>
    <row r="10" ht="22" customHeight="1" spans="1:5">
      <c r="A10" s="6" t="s">
        <v>4623</v>
      </c>
      <c r="B10" s="6">
        <v>147</v>
      </c>
      <c r="C10" s="6" t="s">
        <v>6131</v>
      </c>
      <c r="D10" s="6" t="s">
        <v>6124</v>
      </c>
      <c r="E10" s="6" t="s">
        <v>6125</v>
      </c>
    </row>
    <row r="11" ht="22" customHeight="1" spans="1:5">
      <c r="A11" s="6" t="s">
        <v>4806</v>
      </c>
      <c r="B11" s="6">
        <v>56</v>
      </c>
      <c r="C11" s="6" t="s">
        <v>6132</v>
      </c>
      <c r="D11" s="6" t="s">
        <v>6124</v>
      </c>
      <c r="E11" s="6" t="s">
        <v>6125</v>
      </c>
    </row>
    <row r="12" ht="22" customHeight="1" spans="1:5">
      <c r="A12" s="6" t="s">
        <v>4892</v>
      </c>
      <c r="B12" s="6">
        <v>107</v>
      </c>
      <c r="C12" s="6" t="s">
        <v>6133</v>
      </c>
      <c r="D12" s="6" t="s">
        <v>6124</v>
      </c>
      <c r="E12" s="6" t="s">
        <v>6125</v>
      </c>
    </row>
    <row r="13" ht="22" customHeight="1" spans="1:5">
      <c r="A13" s="6" t="s">
        <v>5041</v>
      </c>
      <c r="B13" s="6">
        <v>292</v>
      </c>
      <c r="C13" s="6" t="s">
        <v>6134</v>
      </c>
      <c r="D13" s="6" t="s">
        <v>6124</v>
      </c>
      <c r="E13" s="6" t="s">
        <v>6125</v>
      </c>
    </row>
    <row r="14" ht="22" customHeight="1" spans="1:5">
      <c r="A14" s="6" t="s">
        <v>5499</v>
      </c>
      <c r="B14" s="6">
        <v>19</v>
      </c>
      <c r="C14" s="6" t="s">
        <v>6135</v>
      </c>
      <c r="D14" s="6" t="s">
        <v>6124</v>
      </c>
      <c r="E14" s="6" t="s">
        <v>6125</v>
      </c>
    </row>
    <row r="15" ht="22" customHeight="1" spans="1:5">
      <c r="A15" s="6" t="s">
        <v>5525</v>
      </c>
      <c r="B15" s="6">
        <v>34</v>
      </c>
      <c r="C15" s="6" t="s">
        <v>6136</v>
      </c>
      <c r="D15" s="6" t="s">
        <v>6124</v>
      </c>
      <c r="E15" s="6" t="s">
        <v>6125</v>
      </c>
    </row>
    <row r="16" ht="22" customHeight="1" spans="1:5">
      <c r="A16" s="6" t="s">
        <v>5559</v>
      </c>
      <c r="B16" s="6">
        <v>20</v>
      </c>
      <c r="C16" s="6" t="s">
        <v>6137</v>
      </c>
      <c r="D16" s="6" t="s">
        <v>6124</v>
      </c>
      <c r="E16" s="6" t="s">
        <v>6125</v>
      </c>
    </row>
    <row r="17" ht="22" customHeight="1" spans="1:5">
      <c r="A17" s="6" t="s">
        <v>5598</v>
      </c>
      <c r="B17" s="6">
        <v>362</v>
      </c>
      <c r="C17" s="6" t="s">
        <v>6138</v>
      </c>
      <c r="D17" s="6" t="s">
        <v>6139</v>
      </c>
      <c r="E17" s="6" t="s">
        <v>1562</v>
      </c>
    </row>
  </sheetData>
  <mergeCells count="2">
    <mergeCell ref="A1:E1"/>
    <mergeCell ref="A2:E2"/>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1"/>
  <sheetViews>
    <sheetView showGridLines="0" workbookViewId="0">
      <pane ySplit="3" topLeftCell="A4" activePane="bottomLeft" state="frozen"/>
      <selection/>
      <selection pane="bottomLeft" activeCell="A1" sqref="A1:E1"/>
    </sheetView>
  </sheetViews>
  <sheetFormatPr defaultColWidth="9" defaultRowHeight="14.25" outlineLevelCol="4"/>
  <cols>
    <col min="1" max="1" width="36" customWidth="1"/>
    <col min="2" max="2" width="16" customWidth="1"/>
    <col min="3" max="3" width="14" customWidth="1"/>
    <col min="4" max="4" width="63" customWidth="1"/>
    <col min="5" max="5" width="46" customWidth="1"/>
  </cols>
  <sheetData>
    <row r="1" ht="34" customHeight="1" spans="1:5">
      <c r="A1" s="1" t="s">
        <v>6140</v>
      </c>
      <c r="B1" s="1"/>
      <c r="C1" s="1"/>
      <c r="D1" s="1"/>
      <c r="E1" s="1"/>
    </row>
    <row r="2" ht="36" customHeight="1" spans="1:5">
      <c r="A2" s="2" t="s">
        <v>6141</v>
      </c>
      <c r="B2" s="2"/>
      <c r="C2" s="2"/>
      <c r="D2" s="2"/>
      <c r="E2" s="2"/>
    </row>
    <row r="3" ht="28" customHeight="1" spans="1:5">
      <c r="A3" s="3" t="s">
        <v>6142</v>
      </c>
      <c r="B3" s="3" t="s">
        <v>6143</v>
      </c>
      <c r="C3" s="3" t="s">
        <v>1566</v>
      </c>
      <c r="D3" s="3" t="s">
        <v>1093</v>
      </c>
      <c r="E3" s="3" t="s">
        <v>6144</v>
      </c>
    </row>
    <row r="4" ht="24" customHeight="1" spans="1:5">
      <c r="A4" s="4" t="s">
        <v>6145</v>
      </c>
      <c r="B4" s="4">
        <v>0.05</v>
      </c>
      <c r="C4" s="4" t="s">
        <v>1605</v>
      </c>
      <c r="D4" s="4" t="s">
        <v>6146</v>
      </c>
      <c r="E4" s="4" t="s">
        <v>6147</v>
      </c>
    </row>
    <row r="5" ht="24" customHeight="1" spans="1:5">
      <c r="A5" s="4" t="s">
        <v>6148</v>
      </c>
      <c r="B5" s="4">
        <v>0.5</v>
      </c>
      <c r="C5" s="4" t="s">
        <v>1605</v>
      </c>
      <c r="D5" s="4" t="s">
        <v>6149</v>
      </c>
      <c r="E5" s="4" t="s">
        <v>6150</v>
      </c>
    </row>
    <row r="6" ht="24" customHeight="1" spans="1:5">
      <c r="A6" s="4" t="s">
        <v>6151</v>
      </c>
      <c r="B6" s="4">
        <v>0.4</v>
      </c>
      <c r="C6" s="4" t="s">
        <v>1605</v>
      </c>
      <c r="D6" s="4" t="s">
        <v>6152</v>
      </c>
      <c r="E6" s="4" t="s">
        <v>6153</v>
      </c>
    </row>
    <row r="7" ht="24" customHeight="1" spans="1:5">
      <c r="A7" s="4" t="s">
        <v>6154</v>
      </c>
      <c r="B7" s="4">
        <v>0.3</v>
      </c>
      <c r="C7" s="4" t="s">
        <v>1605</v>
      </c>
      <c r="D7" s="4" t="s">
        <v>6155</v>
      </c>
      <c r="E7" s="4" t="s">
        <v>6156</v>
      </c>
    </row>
    <row r="8" ht="24" customHeight="1" spans="1:5">
      <c r="A8" s="4" t="s">
        <v>6157</v>
      </c>
      <c r="B8" s="4">
        <v>75</v>
      </c>
      <c r="C8" s="4" t="s">
        <v>1573</v>
      </c>
      <c r="D8" s="4" t="s">
        <v>6158</v>
      </c>
      <c r="E8" s="4" t="s">
        <v>6159</v>
      </c>
    </row>
    <row r="9" ht="24" customHeight="1" spans="1:5">
      <c r="A9" s="4" t="s">
        <v>6160</v>
      </c>
      <c r="B9" s="4">
        <v>100</v>
      </c>
      <c r="C9" s="4" t="s">
        <v>1573</v>
      </c>
      <c r="D9" s="4" t="s">
        <v>6158</v>
      </c>
      <c r="E9" s="4" t="s">
        <v>6161</v>
      </c>
    </row>
    <row r="10" ht="24" customHeight="1" spans="1:5">
      <c r="A10" s="4" t="s">
        <v>6162</v>
      </c>
      <c r="B10" s="4">
        <v>10</v>
      </c>
      <c r="C10" s="4" t="s">
        <v>1573</v>
      </c>
      <c r="D10" s="4" t="s">
        <v>6158</v>
      </c>
      <c r="E10" s="4" t="s">
        <v>6163</v>
      </c>
    </row>
    <row r="11" ht="24" customHeight="1" spans="1:5">
      <c r="A11" s="4" t="s">
        <v>6164</v>
      </c>
      <c r="B11" s="4">
        <v>10</v>
      </c>
      <c r="C11" s="4" t="s">
        <v>1573</v>
      </c>
      <c r="D11" s="4" t="s">
        <v>6158</v>
      </c>
      <c r="E11" s="4" t="s">
        <v>6165</v>
      </c>
    </row>
  </sheetData>
  <mergeCells count="2">
    <mergeCell ref="A1:E1"/>
    <mergeCell ref="A2:E2"/>
  </mergeCell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6"/>
  <sheetViews>
    <sheetView showGridLines="0" workbookViewId="0">
      <pane ySplit="3" topLeftCell="A4" activePane="bottomLeft" state="frozen"/>
      <selection/>
      <selection pane="bottomLeft" activeCell="A1" sqref="A1:H1"/>
    </sheetView>
  </sheetViews>
  <sheetFormatPr defaultColWidth="9" defaultRowHeight="14.25" outlineLevelCol="7"/>
  <cols>
    <col min="1" max="1" width="38" customWidth="1"/>
    <col min="2" max="2" width="19" customWidth="1"/>
    <col min="3" max="3" width="47" customWidth="1"/>
    <col min="4" max="4" width="16" customWidth="1"/>
    <col min="5" max="5" width="14" customWidth="1"/>
    <col min="6" max="6" width="28" customWidth="1"/>
    <col min="7" max="7" width="30" customWidth="1"/>
    <col min="8" max="8" width="15" customWidth="1"/>
  </cols>
  <sheetData>
    <row r="1" ht="34" customHeight="1" spans="1:8">
      <c r="A1" s="1" t="s">
        <v>6166</v>
      </c>
      <c r="B1" s="1"/>
      <c r="C1" s="1"/>
      <c r="D1" s="1"/>
      <c r="E1" s="1"/>
      <c r="F1" s="1"/>
      <c r="G1" s="1"/>
      <c r="H1" s="1"/>
    </row>
    <row r="2" ht="36" customHeight="1" spans="1:8">
      <c r="A2" s="2" t="s">
        <v>6167</v>
      </c>
      <c r="B2" s="2"/>
      <c r="C2" s="2"/>
      <c r="D2" s="2"/>
      <c r="E2" s="2"/>
      <c r="F2" s="2"/>
      <c r="G2" s="2"/>
      <c r="H2" s="2"/>
    </row>
    <row r="3" ht="28" customHeight="1" spans="1:8">
      <c r="A3" s="3" t="s">
        <v>527</v>
      </c>
      <c r="B3" s="3" t="s">
        <v>1566</v>
      </c>
      <c r="C3" s="3" t="s">
        <v>6168</v>
      </c>
      <c r="D3" s="3" t="s">
        <v>528</v>
      </c>
      <c r="E3" s="3" t="s">
        <v>6169</v>
      </c>
      <c r="F3" s="3" t="s">
        <v>6170</v>
      </c>
      <c r="G3" s="3" t="s">
        <v>520</v>
      </c>
      <c r="H3" s="3" t="s">
        <v>6171</v>
      </c>
    </row>
    <row r="4" ht="24" customHeight="1" spans="1:8">
      <c r="A4" s="4" t="s">
        <v>539</v>
      </c>
      <c r="B4" s="4" t="s">
        <v>6172</v>
      </c>
      <c r="C4" s="4" t="s">
        <v>532</v>
      </c>
      <c r="D4" s="4" t="s">
        <v>540</v>
      </c>
      <c r="E4" s="4">
        <v>500</v>
      </c>
      <c r="F4" s="4" t="s">
        <v>533</v>
      </c>
      <c r="G4" s="4" t="s">
        <v>534</v>
      </c>
      <c r="H4" s="4" t="s">
        <v>86</v>
      </c>
    </row>
    <row r="5" ht="24" customHeight="1" spans="1:8">
      <c r="A5" s="4" t="s">
        <v>548</v>
      </c>
      <c r="B5" s="4" t="s">
        <v>6172</v>
      </c>
      <c r="C5" s="4" t="s">
        <v>542</v>
      </c>
      <c r="D5" s="4" t="s">
        <v>540</v>
      </c>
      <c r="E5" s="4">
        <v>500</v>
      </c>
      <c r="F5" s="4" t="s">
        <v>543</v>
      </c>
      <c r="G5" s="4" t="s">
        <v>544</v>
      </c>
      <c r="H5" s="4" t="s">
        <v>86</v>
      </c>
    </row>
    <row r="6" ht="24" customHeight="1" spans="1:8">
      <c r="A6" s="4" t="s">
        <v>555</v>
      </c>
      <c r="B6" s="4" t="s">
        <v>6172</v>
      </c>
      <c r="C6" s="4" t="s">
        <v>550</v>
      </c>
      <c r="D6" s="4" t="s">
        <v>540</v>
      </c>
      <c r="E6" s="4">
        <v>500</v>
      </c>
      <c r="F6" s="4" t="s">
        <v>551</v>
      </c>
      <c r="G6" s="4" t="s">
        <v>552</v>
      </c>
      <c r="H6" s="4" t="s">
        <v>86</v>
      </c>
    </row>
    <row r="7" ht="24" customHeight="1" spans="1:8">
      <c r="A7" s="4" t="s">
        <v>6173</v>
      </c>
      <c r="B7" s="4" t="s">
        <v>6174</v>
      </c>
      <c r="C7" s="4" t="s">
        <v>6175</v>
      </c>
      <c r="D7" s="4" t="s">
        <v>566</v>
      </c>
      <c r="E7" s="4">
        <v>0</v>
      </c>
      <c r="F7" s="4" t="s">
        <v>6176</v>
      </c>
      <c r="G7" s="4" t="s">
        <v>6177</v>
      </c>
      <c r="H7" s="4" t="s">
        <v>564</v>
      </c>
    </row>
    <row r="8" ht="24" customHeight="1" spans="1:8">
      <c r="A8" s="4" t="s">
        <v>6178</v>
      </c>
      <c r="B8" s="4" t="s">
        <v>6179</v>
      </c>
      <c r="C8" s="4" t="s">
        <v>6180</v>
      </c>
      <c r="D8" s="4" t="s">
        <v>566</v>
      </c>
      <c r="E8" s="4">
        <v>0</v>
      </c>
      <c r="F8" s="4" t="s">
        <v>6181</v>
      </c>
      <c r="G8" s="4" t="s">
        <v>6182</v>
      </c>
      <c r="H8" s="4" t="s">
        <v>564</v>
      </c>
    </row>
    <row r="9" ht="24" customHeight="1" spans="1:8">
      <c r="A9" s="4" t="s">
        <v>6183</v>
      </c>
      <c r="B9" s="4" t="s">
        <v>6179</v>
      </c>
      <c r="C9" s="4" t="s">
        <v>6184</v>
      </c>
      <c r="D9" s="4" t="s">
        <v>540</v>
      </c>
      <c r="E9" s="4">
        <v>600</v>
      </c>
      <c r="F9" s="4" t="s">
        <v>6185</v>
      </c>
      <c r="G9" s="4" t="s">
        <v>6186</v>
      </c>
      <c r="H9" s="4" t="s">
        <v>86</v>
      </c>
    </row>
    <row r="10" ht="24" customHeight="1" spans="1:8">
      <c r="A10" s="4" t="s">
        <v>6187</v>
      </c>
      <c r="B10" s="4" t="s">
        <v>6179</v>
      </c>
      <c r="C10" s="4" t="s">
        <v>6188</v>
      </c>
      <c r="D10" s="4" t="s">
        <v>540</v>
      </c>
      <c r="E10" s="4">
        <v>600</v>
      </c>
      <c r="F10" s="4" t="s">
        <v>6189</v>
      </c>
      <c r="G10" s="4" t="s">
        <v>6190</v>
      </c>
      <c r="H10" s="4" t="s">
        <v>86</v>
      </c>
    </row>
    <row r="11" ht="24" customHeight="1" spans="1:8">
      <c r="A11" s="4" t="s">
        <v>6191</v>
      </c>
      <c r="B11" s="4" t="s">
        <v>6179</v>
      </c>
      <c r="C11" s="4" t="s">
        <v>6192</v>
      </c>
      <c r="D11" s="4" t="s">
        <v>540</v>
      </c>
      <c r="E11" s="4">
        <v>600</v>
      </c>
      <c r="F11" s="4" t="s">
        <v>6193</v>
      </c>
      <c r="G11" s="4" t="s">
        <v>6194</v>
      </c>
      <c r="H11" s="4" t="s">
        <v>86</v>
      </c>
    </row>
    <row r="12" ht="24" customHeight="1" spans="1:8">
      <c r="A12" s="4" t="s">
        <v>6195</v>
      </c>
      <c r="B12" s="4" t="s">
        <v>6179</v>
      </c>
      <c r="C12" s="4" t="s">
        <v>6196</v>
      </c>
      <c r="D12" s="4" t="s">
        <v>540</v>
      </c>
      <c r="E12" s="4">
        <v>600</v>
      </c>
      <c r="F12" s="4" t="s">
        <v>6197</v>
      </c>
      <c r="G12" s="4" t="s">
        <v>6198</v>
      </c>
      <c r="H12" s="4" t="s">
        <v>86</v>
      </c>
    </row>
    <row r="13" ht="24" customHeight="1" spans="1:8">
      <c r="A13" s="4" t="s">
        <v>6199</v>
      </c>
      <c r="B13" s="4" t="s">
        <v>6179</v>
      </c>
      <c r="C13" s="4" t="s">
        <v>6200</v>
      </c>
      <c r="D13" s="4" t="s">
        <v>540</v>
      </c>
      <c r="E13" s="4">
        <v>600</v>
      </c>
      <c r="F13" s="4" t="s">
        <v>6201</v>
      </c>
      <c r="G13" s="4" t="s">
        <v>6202</v>
      </c>
      <c r="H13" s="4" t="s">
        <v>86</v>
      </c>
    </row>
    <row r="14" ht="24" customHeight="1" spans="1:8">
      <c r="A14" s="4" t="s">
        <v>565</v>
      </c>
      <c r="B14" s="4" t="s">
        <v>6172</v>
      </c>
      <c r="C14" s="4" t="s">
        <v>557</v>
      </c>
      <c r="D14" s="4" t="s">
        <v>566</v>
      </c>
      <c r="E14" s="4">
        <v>75</v>
      </c>
      <c r="F14" s="4" t="s">
        <v>558</v>
      </c>
      <c r="G14" s="4" t="s">
        <v>559</v>
      </c>
      <c r="H14" s="4" t="s">
        <v>564</v>
      </c>
    </row>
    <row r="15" ht="24" customHeight="1" spans="1:8">
      <c r="A15" s="4" t="s">
        <v>574</v>
      </c>
      <c r="B15" s="4" t="s">
        <v>6172</v>
      </c>
      <c r="C15" s="4" t="s">
        <v>568</v>
      </c>
      <c r="D15" s="4" t="s">
        <v>566</v>
      </c>
      <c r="E15" s="4">
        <v>75</v>
      </c>
      <c r="F15" s="4" t="s">
        <v>569</v>
      </c>
      <c r="G15" s="4" t="s">
        <v>570</v>
      </c>
      <c r="H15" s="4" t="s">
        <v>564</v>
      </c>
    </row>
    <row r="16" ht="24" customHeight="1" spans="1:8">
      <c r="A16" s="4" t="s">
        <v>6203</v>
      </c>
      <c r="B16" s="4" t="s">
        <v>6179</v>
      </c>
      <c r="C16" s="4" t="s">
        <v>6204</v>
      </c>
      <c r="D16" s="4" t="s">
        <v>540</v>
      </c>
      <c r="E16" s="4">
        <v>600</v>
      </c>
      <c r="F16" s="4" t="s">
        <v>6205</v>
      </c>
      <c r="G16" s="4" t="s">
        <v>6206</v>
      </c>
      <c r="H16" s="4" t="s">
        <v>86</v>
      </c>
    </row>
  </sheetData>
  <mergeCells count="2">
    <mergeCell ref="A1:H1"/>
    <mergeCell ref="A2:H2"/>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20</vt:i4>
      </vt:variant>
    </vt:vector>
  </HeadingPairs>
  <TitlesOfParts>
    <vt:vector size="20" baseType="lpstr">
      <vt:lpstr>00_版本与口径</vt:lpstr>
      <vt:lpstr>01_棋子基础</vt:lpstr>
      <vt:lpstr>02_棋子技能</vt:lpstr>
      <vt:lpstr>03_宠物与商城</vt:lpstr>
      <vt:lpstr>04_羁绊</vt:lpstr>
      <vt:lpstr>05_野怪</vt:lpstr>
      <vt:lpstr>06_Boss</vt:lpstr>
      <vt:lpstr>07_佣兵</vt:lpstr>
      <vt:lpstr>08_法阵友军</vt:lpstr>
      <vt:lpstr>09_宝藏与套装</vt:lpstr>
      <vt:lpstr>10_宝藏联动</vt:lpstr>
      <vt:lpstr>11_金币规则</vt:lpstr>
      <vt:lpstr>12_萝卜规则</vt:lpstr>
      <vt:lpstr>13_回合与商店</vt:lpstr>
      <vt:lpstr>14_界面映射</vt:lpstr>
      <vt:lpstr>15_冲突与验证</vt:lpstr>
      <vt:lpstr>90_运行配置</vt:lpstr>
      <vt:lpstr>91_来源清单</vt:lpstr>
      <vt:lpstr>92_代码参数</vt:lpstr>
      <vt:lpstr>93_商城目录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Leno</cp:lastModifiedBy>
  <dcterms:created xsi:type="dcterms:W3CDTF">2026-10-10T07:41:41Z</dcterms:created>
  <dcterms:modified xsi:type="dcterms:W3CDTF">2026-10-10T07:43:03Z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3051EC847993441FA5C7E58F036C8431_12</vt:lpwstr>
  </property>
  <property fmtid="{D5CDD505-2E9C-101B-9397-08002B2CF9AE}" pid="3" name="KSOProductBuildVer">
    <vt:lpwstr>2057-12.2.0.23206</vt:lpwstr>
  </property>
</Properties>
</file>