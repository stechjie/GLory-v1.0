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6a5cc6e7c04a6e" /></Relationships>
</file>

<file path=xl/workbook.xml><?xml version="1.0" encoding="utf-8"?>
<x:workbook xmlns:x="http://schemas.openxmlformats.org/spreadsheetml/2006/main">
  <x:sheets>
    <x:sheet xmlns:r="http://schemas.openxmlformats.org/officeDocument/2006/relationships" name="00_版本与口径" sheetId="1" r:id="Rbc9f94533e1f4de3"/>
    <x:sheet xmlns:r="http://schemas.openxmlformats.org/officeDocument/2006/relationships" name="01_棋子基础" sheetId="2" r:id="R8c12b76d00474b0e"/>
    <x:sheet xmlns:r="http://schemas.openxmlformats.org/officeDocument/2006/relationships" name="02_棋子技能" sheetId="3" r:id="Rdec20b56cd0b49f6"/>
    <x:sheet xmlns:r="http://schemas.openxmlformats.org/officeDocument/2006/relationships" name="03_宠物与商城" sheetId="4" r:id="Rf5fdc2bc53c84dc7"/>
    <x:sheet xmlns:r="http://schemas.openxmlformats.org/officeDocument/2006/relationships" name="04_羁绊" sheetId="5" r:id="Rc1e798b18c3b4964"/>
    <x:sheet xmlns:r="http://schemas.openxmlformats.org/officeDocument/2006/relationships" name="05_野怪" sheetId="6" r:id="R40effd7421f94fe3"/>
    <x:sheet xmlns:r="http://schemas.openxmlformats.org/officeDocument/2006/relationships" name="06_Boss" sheetId="7" r:id="R859b5958df554f38"/>
    <x:sheet xmlns:r="http://schemas.openxmlformats.org/officeDocument/2006/relationships" name="07_佣兵" sheetId="8" r:id="Rc421c76db5004995"/>
    <x:sheet xmlns:r="http://schemas.openxmlformats.org/officeDocument/2006/relationships" name="08_法阵友军" sheetId="9" r:id="R468702f519b34c0d"/>
    <x:sheet xmlns:r="http://schemas.openxmlformats.org/officeDocument/2006/relationships" name="09_宝藏与套装" sheetId="10" r:id="Rb0bd05e7ce684546"/>
    <x:sheet xmlns:r="http://schemas.openxmlformats.org/officeDocument/2006/relationships" name="10_宝藏联动" sheetId="11" r:id="Re82476d1f1bd4a09"/>
    <x:sheet xmlns:r="http://schemas.openxmlformats.org/officeDocument/2006/relationships" name="11_金币规则" sheetId="12" r:id="Rc0db4d14e2014fa3"/>
    <x:sheet xmlns:r="http://schemas.openxmlformats.org/officeDocument/2006/relationships" name="12_萝卜规则" sheetId="13" r:id="R95cb57068bf14711"/>
    <x:sheet xmlns:r="http://schemas.openxmlformats.org/officeDocument/2006/relationships" name="13_回合与商店" sheetId="14" r:id="R6e76ca46b3e34806"/>
    <x:sheet xmlns:r="http://schemas.openxmlformats.org/officeDocument/2006/relationships" name="14_界面映射" sheetId="15" r:id="Rc5550d3bb1664009"/>
    <x:sheet xmlns:r="http://schemas.openxmlformats.org/officeDocument/2006/relationships" name="15_冲突与验证" sheetId="16" r:id="R9855aaa9e6894675"/>
    <x:sheet xmlns:r="http://schemas.openxmlformats.org/officeDocument/2006/relationships" name="90_运行配置" sheetId="17" r:id="R136561bd0a1c4796"/>
    <x:sheet xmlns:r="http://schemas.openxmlformats.org/officeDocument/2006/relationships" name="91_来源清单" sheetId="18" r:id="Ra374f73a99054af8"/>
    <x:sheet xmlns:r="http://schemas.openxmlformats.org/officeDocument/2006/relationships" name="92_代码参数" sheetId="19" r:id="R92c8508dc14d4631"/>
    <x:sheet xmlns:r="http://schemas.openxmlformats.org/officeDocument/2006/relationships" name="93_商城目录" sheetId="20" r:id="R7cc36b6846f446d6"/>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Microsoft YaHei"/>
    </x:font>
    <x:font>
      <x:sz val="10"/>
      <x:color rgb="FF526377"/>
      <x:name val="Microsoft YaHei"/>
    </x:font>
    <x:font>
      <x:b/>
      <x:sz val="10"/>
      <x:color rgb="FFFFFFFF"/>
      <x:name val="Microsoft YaHei"/>
    </x:font>
    <x:font>
      <x:sz val="10"/>
      <x:color rgb="FF243447"/>
      <x:name val="Microsoft YaHei"/>
    </x:font>
    <x:font>
      <x:sz val="9"/>
      <x:color rgb="FF243447"/>
      <x:name val="Microsoft YaHei"/>
    </x:font>
  </x:fonts>
  <x:fills count="12">
    <x:fill>
      <x:patternFill patternType="none"/>
    </x:fill>
    <x:fill>
      <x:patternFill patternType="gray125"/>
    </x:fill>
    <x:fill>
      <x:patternFill patternType="solid">
        <x:fgColor rgb="FF1B3553"/>
      </x:patternFill>
    </x:fill>
    <x:fill>
      <x:patternFill patternType="solid">
        <x:fgColor rgb="FF284766"/>
      </x:patternFill>
    </x:fill>
    <x:fill>
      <x:patternFill patternType="solid">
        <x:fgColor rgb="FFFFFFFF"/>
      </x:patternFill>
    </x:fill>
    <x:fill>
      <x:patternFill patternType="solid">
        <x:fgColor rgb="FFF3F6FA"/>
      </x:patternFill>
    </x:fill>
    <x:fill>
      <x:patternFill patternType="solid">
        <x:fgColor rgb="FF1B3553"/>
      </x:patternFill>
    </x:fill>
    <x:fill>
      <x:patternFill patternType="solid">
        <x:fgColor rgb="FF284766"/>
      </x:patternFill>
    </x:fill>
    <x:fill>
      <x:patternFill patternType="solid">
        <x:fgColor rgb="FF1B3553"/>
      </x:patternFill>
    </x:fill>
    <x:fill>
      <x:patternFill patternType="solid">
        <x:fgColor rgb="FF284766"/>
      </x:patternFill>
    </x:fill>
    <x:fill>
      <x:patternFill patternType="solid">
        <x:fgColor rgb="FF1B3553"/>
      </x:patternFill>
    </x:fill>
    <x:fill>
      <x:patternFill patternType="solid">
        <x:fgColor rgb="FF284766"/>
      </x:patternFill>
    </x:fill>
  </x:fills>
  <x:borders count="1">
    <x:border>
      <x:left/>
      <x:right/>
      <x:top/>
      <x:bottom/>
      <x:diagonal/>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5" fillId="0" borderId="0" xfId="0" applyNumberFormat="1" applyFont="1" applyFill="1" applyBorder="1"/>
    <x:xf numFmtId="0" fontId="0" fillId="8" borderId="0" xfId="0" applyNumberFormat="1" applyFont="1" applyFill="1" applyBorder="1"/>
    <x:xf numFmtId="0" fontId="1" fillId="8" borderId="0" xfId="0" applyNumberFormat="1" applyFont="1" applyFill="1" applyBorder="1"/>
    <x:xf numFmtId="0" fontId="0" fillId="9" borderId="0" xfId="0" applyNumberFormat="1" applyFont="1" applyFill="1" applyBorder="1"/>
    <x:xf numFmtId="0" fontId="3" fillId="9" borderId="0" xfId="0" applyNumberFormat="1" applyFont="1" applyFill="1" applyBorder="1"/>
    <x:xf numFmtId="0" fontId="4" fillId="0"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3" fillId="11"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d52cf417f04e5f" /><Relationship Type="http://schemas.openxmlformats.org/officeDocument/2006/relationships/theme" Target="/xl/theme/theme1.xml" Id="R680dad720dca4f2c" /><Relationship Type="http://schemas.openxmlformats.org/officeDocument/2006/relationships/sharedStrings" Target="/xl/sharedStrings.xml" Id="R53691aca8b284f22" /><Relationship Type="http://schemas.openxmlformats.org/officeDocument/2006/relationships/worksheet" Target="/xl/worksheets/sheet1.xml" Id="Rbc9f94533e1f4de3" /><Relationship Type="http://schemas.openxmlformats.org/officeDocument/2006/relationships/worksheet" Target="/xl/worksheets/sheet2.xml" Id="R8c12b76d00474b0e" /><Relationship Type="http://schemas.openxmlformats.org/officeDocument/2006/relationships/worksheet" Target="/xl/worksheets/sheet3.xml" Id="Rdec20b56cd0b49f6" /><Relationship Type="http://schemas.openxmlformats.org/officeDocument/2006/relationships/worksheet" Target="/xl/worksheets/sheet4.xml" Id="Rf5fdc2bc53c84dc7" /><Relationship Type="http://schemas.openxmlformats.org/officeDocument/2006/relationships/worksheet" Target="/xl/worksheets/sheet5.xml" Id="Rc1e798b18c3b4964" /><Relationship Type="http://schemas.openxmlformats.org/officeDocument/2006/relationships/worksheet" Target="/xl/worksheets/sheet6.xml" Id="R40effd7421f94fe3" /><Relationship Type="http://schemas.openxmlformats.org/officeDocument/2006/relationships/worksheet" Target="/xl/worksheets/sheet7.xml" Id="R859b5958df554f38" /><Relationship Type="http://schemas.openxmlformats.org/officeDocument/2006/relationships/worksheet" Target="/xl/worksheets/sheet8.xml" Id="Rc421c76db5004995" /><Relationship Type="http://schemas.openxmlformats.org/officeDocument/2006/relationships/worksheet" Target="/xl/worksheets/sheet9.xml" Id="R468702f519b34c0d" /><Relationship Type="http://schemas.openxmlformats.org/officeDocument/2006/relationships/worksheet" Target="/xl/worksheets/sheet10.xml" Id="Rb0bd05e7ce684546" /><Relationship Type="http://schemas.openxmlformats.org/officeDocument/2006/relationships/worksheet" Target="/xl/worksheets/sheet11.xml" Id="Re82476d1f1bd4a09" /><Relationship Type="http://schemas.openxmlformats.org/officeDocument/2006/relationships/worksheet" Target="/xl/worksheets/sheet12.xml" Id="Rc0db4d14e2014fa3" /><Relationship Type="http://schemas.openxmlformats.org/officeDocument/2006/relationships/worksheet" Target="/xl/worksheets/sheet13.xml" Id="R95cb57068bf14711" /><Relationship Type="http://schemas.openxmlformats.org/officeDocument/2006/relationships/worksheet" Target="/xl/worksheets/sheet14.xml" Id="R6e76ca46b3e34806" /><Relationship Type="http://schemas.openxmlformats.org/officeDocument/2006/relationships/worksheet" Target="/xl/worksheets/sheet15.xml" Id="Rc5550d3bb1664009" /><Relationship Type="http://schemas.openxmlformats.org/officeDocument/2006/relationships/worksheet" Target="/xl/worksheets/sheet16.xml" Id="R9855aaa9e6894675" /><Relationship Type="http://schemas.openxmlformats.org/officeDocument/2006/relationships/worksheet" Target="/xl/worksheets/sheet17.xml" Id="R136561bd0a1c4796" /><Relationship Type="http://schemas.openxmlformats.org/officeDocument/2006/relationships/worksheet" Target="/xl/worksheets/sheet18.xml" Id="Ra374f73a99054af8" /><Relationship Type="http://schemas.openxmlformats.org/officeDocument/2006/relationships/worksheet" Target="/xl/worksheets/sheet19.xml" Id="R92c8508dc14d4631" /><Relationship Type="http://schemas.openxmlformats.org/officeDocument/2006/relationships/worksheet" Target="/xl/worksheets/sheet20.xml" Id="R7cc36b6846f446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30" hidden="0" customWidth="1"/>
    <x:col min="2" max="2" width="92" hidden="0" customWidth="1"/>
    <x:col min="3" max="3" width="80" hidden="0" customWidth="1"/>
  </x:cols>
  <x:sheetData>
    <x:row r="1" ht="34" customHeight="1">
      <x:c r="A1" s="2" t="str">
        <x:v>00_版本与口径</x:v>
      </x:c>
      <x:c r="B1" s="2"/>
      <x:c r="C1" s="2"/>
    </x:row>
    <x:row r="2" ht="32" customHeight="1">
      <x:c r="A2" s="4" t="str">
        <x:v>本表从用户指定的 2026-10-08 新表提取游戏实际使用的字段；不收录固定靶子探针、平衡排名和单场样本。冲突项在末页单列，未审定前不用于新文案。</x:v>
      </x:c>
      <x:c r="B2" s="4"/>
      <x:c r="C2" s="4"/>
    </x:row>
    <x:row r="3" ht="28" customHeight="1">
      <x:c r="A3" s="7" t="str">
        <x:v>项目</x:v>
      </x:c>
      <x:c r="B3" s="7" t="str">
        <x:v>内容</x:v>
      </x:c>
      <x:c r="C3" s="7" t="str">
        <x:v>来源 / 约束</x:v>
      </x:c>
    </x:row>
    <x:row r="4" ht="38" customHeight="1">
      <x:c r="A4" s="11" t="str">
        <x:v>版本</x:v>
      </x:c>
      <x:c r="B4" s="11" t="str">
        <x:v>final status / 2026-10-08</x:v>
      </x:c>
      <x:c r="C4" s="11" t="str">
        <x:v>用户指定的新表（争议项按用户审定订正）</x:v>
      </x:c>
    </x:row>
    <x:row r="5" ht="38" customHeight="1">
      <x:c r="A5" s="15" t="str">
        <x:v>来源文件</x:v>
      </x:c>
      <x:c r="B5" s="15" t="str">
        <x:v>数值总表_Beta0.04_运行实值_20261008.xlsx</x:v>
      </x:c>
      <x:c r="C5" s="15" t="str">
        <x:v>SHA-256 0a574a561aff378d369eda13b92239bded1bc418d8f4dd7726c22621edadd5f6</x:v>
      </x:c>
    </x:row>
    <x:row r="6" ht="38" customHeight="1">
      <x:c r="A6" s="11" t="str">
        <x:v>详细数值</x:v>
      </x:c>
      <x:c r="B6" s="11" t="str">
        <x:v>Godot 本机运行导出 2026-10-07T13:54:53 UTC</x:v>
      </x:c>
      <x:c r="C6" s="11" t="str">
        <x:v>线上 21/21 回放有效，但没有逐击系数</x:v>
      </x:c>
    </x:row>
    <x:row r="7" ht="38" customHeight="1">
      <x:c r="A7" s="15" t="str">
        <x:v>显示口径</x:v>
      </x:c>
      <x:c r="B7" s="15" t="str">
        <x:v>中文文案以本表各业务页为准；4★ 完整技能句由 Godot 根据 4★ 覆盖值补足</x:v>
      </x:c>
      <x:c r="C7" s="15" t="str">
        <x:v>UnitDetailFormat / UnitFactory</x:v>
      </x:c>
    </x:row>
    <x:row r="8" ht="38" customHeight="1">
      <x:c r="A8" s="11" t="str">
        <x:v>运行口径</x:v>
      </x:c>
      <x:c r="B8" s="11" t="str">
        <x:v>客户端以稳定 ID 查 data/balance/final_status.json 显示；战斗仍使用原 JSON 与服务端权威计算</x:v>
      </x:c>
      <x:c r="C8" s="11" t="str">
        <x:v>避免手机运行时解析 xlsx</x:v>
      </x:c>
    </x:row>
    <x:row r="9" ht="38" customHeight="1">
      <x:c r="A9" s="15" t="str">
        <x:v>价格口径</x:v>
      </x:c>
      <x:c r="B9" s="15" t="str">
        <x:v>商品价格来自服务端目录；本表列出本地 data/shop.json 的配置值供核对</x:v>
      </x:c>
      <x:c r="C9" s="15" t="str">
        <x:v>账号游戏币 coin 不等于对局 gold</x:v>
      </x:c>
    </x:row>
    <x:row r="10" ht="38" customHeight="1">
      <x:c r="A10" s="11" t="str">
        <x:v>待核项</x:v>
      </x:c>
      <x:c r="B10" s="11" t="str">
        <x:v>灵族、凤凰涅槃、赌博倍率已按用户确认订正</x:v>
      </x:c>
      <x:c r="C10" s="11" t="str">
        <x:v>见 14_冲突与验证</x:v>
      </x:c>
    </x:row>
  </x:sheetData>
  <x:mergeCells>
    <x:mergeCell ref="A1:C1"/>
    <x:mergeCell ref="A2:C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0" hidden="0" customWidth="1"/>
    <x:col min="2" max="2" width="15" hidden="0" customWidth="1"/>
    <x:col min="3" max="3" width="12" hidden="0" customWidth="1"/>
    <x:col min="4" max="4" width="10" hidden="0" customWidth="1"/>
    <x:col min="5" max="5" width="8" hidden="0" customWidth="1"/>
    <x:col min="6" max="6" width="9"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0" hidden="0" customWidth="1"/>
    <x:col min="20" max="20" width="10" hidden="0" customWidth="1"/>
    <x:col min="21" max="21" width="12" hidden="0" customWidth="1"/>
    <x:col min="22" max="22" width="10" hidden="0" customWidth="1"/>
    <x:col min="23" max="23" width="13" hidden="0" customWidth="1"/>
    <x:col min="24" max="24" width="10" hidden="0" customWidth="1"/>
    <x:col min="25" max="25" width="10" hidden="0" customWidth="1"/>
    <x:col min="26" max="26" width="12" hidden="0" customWidth="1"/>
    <x:col min="27" max="27" width="12" hidden="0" customWidth="1"/>
    <x:col min="28" max="28" width="13" hidden="0" customWidth="1"/>
    <x:col min="29" max="29" width="24" hidden="0" customWidth="1"/>
  </x:cols>
  <x:sheetData>
    <x:row r="1" ht="34" customHeight="1">
      <x:c r="A1" s="2" t="str">
        <x:v>01_棋子基础</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row>
    <x:row r="2" ht="32" customHeight="1">
      <x:c r="A2" s="4" t="str">
        <x:v>编辑 1★ HP / 攻击 / 防御（G、K、O 列）；2–4★由公式按游戏星级倍率计算。运行前执行 tools/run_with_final.py，同步 JSON 和游戏显示。</x:v>
      </x:c>
      <x:c r="B2" s="4"/>
      <x:c r="C2" s="4"/>
      <x:c r="D2" s="4"/>
      <x:c r="E2" s="4"/>
      <x:c r="F2" s="4"/>
      <x:c r="G2" s="4"/>
      <x:c r="H2" s="4"/>
      <x:c r="I2" s="4"/>
      <x:c r="J2" s="4"/>
      <x:c r="K2" s="4"/>
      <x:c r="L2" s="4"/>
      <x:c r="M2" s="4"/>
      <x:c r="N2" s="4"/>
      <x:c r="O2" s="4"/>
      <x:c r="P2" s="4"/>
      <x:c r="Q2" s="4"/>
      <x:c r="R2" s="4"/>
      <x:c r="S2" s="4"/>
      <x:c r="T2" s="4"/>
      <x:c r="U2" s="4"/>
      <x:c r="V2" s="4"/>
      <x:c r="W2" s="4"/>
      <x:c r="X2" s="4"/>
      <x:c r="Y2" s="4"/>
      <x:c r="Z2" s="4"/>
      <x:c r="AA2" s="4"/>
      <x:c r="AB2" s="4"/>
      <x:c r="AC2" s="4"/>
    </x:row>
    <x:row r="3" ht="28" customHeight="1">
      <x:c r="A3" s="7" t="str">
        <x:v>ID</x:v>
      </x:c>
      <x:c r="B3" s="7" t="str">
        <x:v>名称</x:v>
      </x:c>
      <x:c r="C3" s="7" t="str">
        <x:v>种族</x:v>
      </x:c>
      <x:c r="D3" s="7" t="str">
        <x:v>属性</x:v>
      </x:c>
      <x:c r="E3" s="7" t="str">
        <x:v>阶</x:v>
      </x:c>
      <x:c r="F3" s="7" t="str">
        <x:v>售价</x:v>
      </x:c>
      <x:c r="G3" s="7" t="str">
        <x:v>1★HP</x:v>
      </x:c>
      <x:c r="H3" s="7" t="str">
        <x:v>2★HP</x:v>
      </x:c>
      <x:c r="I3" s="7" t="str">
        <x:v>3★HP</x:v>
      </x:c>
      <x:c r="J3" s="7" t="str">
        <x:v>4★HP</x:v>
      </x:c>
      <x:c r="K3" s="7" t="str">
        <x:v>1★攻</x:v>
      </x:c>
      <x:c r="L3" s="7" t="str">
        <x:v>2★攻</x:v>
      </x:c>
      <x:c r="M3" s="7" t="str">
        <x:v>3★攻</x:v>
      </x:c>
      <x:c r="N3" s="7" t="str">
        <x:v>4★攻</x:v>
      </x:c>
      <x:c r="O3" s="7" t="str">
        <x:v>1★防</x:v>
      </x:c>
      <x:c r="P3" s="7" t="str">
        <x:v>2★防</x:v>
      </x:c>
      <x:c r="Q3" s="7" t="str">
        <x:v>3★防</x:v>
      </x:c>
      <x:c r="R3" s="7" t="str">
        <x:v>4★防</x:v>
      </x:c>
      <x:c r="S3" s="7" t="str">
        <x:v>攻速</x:v>
      </x:c>
      <x:c r="T3" s="7" t="str">
        <x:v>射程</x:v>
      </x:c>
      <x:c r="U3" s="7" t="str">
        <x:v>射程px</x:v>
      </x:c>
      <x:c r="V3" s="7" t="str">
        <x:v>移速</x:v>
      </x:c>
      <x:c r="W3" s="7" t="str">
        <x:v>移速px/s</x:v>
      </x:c>
      <x:c r="X3" s="7" t="str">
        <x:v>暴击</x:v>
      </x:c>
      <x:c r="Y3" s="7" t="str">
        <x:v>暴伤</x:v>
      </x:c>
      <x:c r="Z3" s="7" t="str">
        <x:v>1★闪避</x:v>
      </x:c>
      <x:c r="AA3" s="7" t="str">
        <x:v>4★闪避</x:v>
      </x:c>
      <x:c r="AB3" s="7" t="str">
        <x:v>全场唯一</x:v>
      </x:c>
      <x:c r="AC3" s="7" t="str">
        <x:v>技能ID</x:v>
      </x:c>
    </x:row>
    <x:row r="4" ht="38" customHeight="1">
      <x:c r="A4" s="11" t="str">
        <x:v>dark_imp</x:v>
      </x:c>
      <x:c r="B4" s="11" t="str">
        <x:v>魔童</x:v>
      </x:c>
      <x:c r="C4" s="11" t="str">
        <x:v>暗族</x:v>
      </x:c>
      <x:c r="D4" s="11" t="str">
        <x:v>人</x:v>
      </x:c>
      <x:c r="E4" s="11" t="n">
        <x:v>1</x:v>
      </x:c>
      <x:c r="F4" s="11" t="n">
        <x:v>20</x:v>
      </x:c>
      <x:c r="G4" s="11" t="n">
        <x:v>580</x:v>
      </x:c>
      <x:c r="H4" s="11" t="n">
        <x:f>ROUND(G4*1.5,0)</x:f>
        <x:v>870</x:v>
      </x:c>
      <x:c r="I4" s="11" t="n">
        <x:f>ROUND(G4*3,0)</x:f>
        <x:v>1740</x:v>
      </x:c>
      <x:c r="J4" s="11" t="n">
        <x:f>ROUND(G4*(3*1.15),0)</x:f>
        <x:v>2001</x:v>
      </x:c>
      <x:c r="K4" s="11" t="n">
        <x:v>37</x:v>
      </x:c>
      <x:c r="L4" s="11" t="n">
        <x:f>ROUND(K4*1.5,0)</x:f>
        <x:v>56</x:v>
      </x:c>
      <x:c r="M4" s="11" t="n">
        <x:f>ROUND(K4*3,0)</x:f>
        <x:v>111</x:v>
      </x:c>
      <x:c r="N4" s="11" t="n">
        <x:f>ROUND(K4*(3*1.15),0)</x:f>
        <x:v>128</x:v>
      </x:c>
      <x:c r="O4" s="11" t="n">
        <x:v>4</x:v>
      </x:c>
      <x:c r="P4" s="11" t="n">
        <x:f>ROUND(O4*1.5,0)</x:f>
        <x:v>6</x:v>
      </x:c>
      <x:c r="Q4" s="11" t="n">
        <x:f>ROUND(O4*3,0)</x:f>
        <x:v>12</x:v>
      </x:c>
      <x:c r="R4" s="11" t="n">
        <x:f>ROUND(O4*(3*1.15),0)</x:f>
        <x:v>14</x:v>
      </x:c>
      <x:c r="S4" s="11" t="n">
        <x:v>1.05</x:v>
      </x:c>
      <x:c r="T4" s="11" t="n">
        <x:v>1</x:v>
      </x:c>
      <x:c r="U4" s="11" t="n">
        <x:v>32</x:v>
      </x:c>
      <x:c r="V4" s="11" t="n">
        <x:v>3.35</x:v>
      </x:c>
      <x:c r="W4" s="11" t="n">
        <x:v>184.25</x:v>
      </x:c>
      <x:c r="X4" s="11" t="str">
        <x:v>5%</x:v>
      </x:c>
      <x:c r="Y4" s="11" t="n">
        <x:v>1.5</x:v>
      </x:c>
      <x:c r="Z4" s="11" t="str">
        <x:v>—</x:v>
      </x:c>
      <x:c r="AA4" s="11" t="str">
        <x:v>—</x:v>
      </x:c>
      <x:c r="AB4" s="11"/>
      <x:c r="AC4" s="11" t="str">
        <x:v>curse_attack</x:v>
      </x:c>
    </x:row>
    <x:row r="5" ht="38" customHeight="1">
      <x:c r="A5" s="15" t="str">
        <x:v>dark_mage</x:v>
      </x:c>
      <x:c r="B5" s="15" t="str">
        <x:v>暗影法师</x:v>
      </x:c>
      <x:c r="C5" s="15" t="str">
        <x:v>暗族</x:v>
      </x:c>
      <x:c r="D5" s="15" t="str">
        <x:v>天</x:v>
      </x:c>
      <x:c r="E5" s="15" t="n">
        <x:v>1</x:v>
      </x:c>
      <x:c r="F5" s="15" t="n">
        <x:v>20</x:v>
      </x:c>
      <x:c r="G5" s="15" t="n">
        <x:v>520</x:v>
      </x:c>
      <x:c r="H5" s="15" t="n">
        <x:f>ROUND(G5*1.5,0)</x:f>
        <x:v>780</x:v>
      </x:c>
      <x:c r="I5" s="15" t="n">
        <x:f>ROUND(G5*3,0)</x:f>
        <x:v>1560</x:v>
      </x:c>
      <x:c r="J5" s="15" t="n">
        <x:f>ROUND(G5*(3*1.15),0)</x:f>
        <x:v>1794</x:v>
      </x:c>
      <x:c r="K5" s="15" t="n">
        <x:v>48</x:v>
      </x:c>
      <x:c r="L5" s="15" t="n">
        <x:f>ROUND(K5*1.5,0)</x:f>
        <x:v>72</x:v>
      </x:c>
      <x:c r="M5" s="15" t="n">
        <x:f>ROUND(K5*3,0)</x:f>
        <x:v>144</x:v>
      </x:c>
      <x:c r="N5" s="15" t="n">
        <x:f>ROUND(K5*(3*1.15),0)</x:f>
        <x:v>166</x:v>
      </x:c>
      <x:c r="O5" s="15" t="n">
        <x:v>3</x:v>
      </x:c>
      <x:c r="P5" s="15" t="n">
        <x:f>ROUND(O5*1.5,0)</x:f>
        <x:v>5</x:v>
      </x:c>
      <x:c r="Q5" s="15" t="n">
        <x:f>ROUND(O5*3,0)</x:f>
        <x:v>9</x:v>
      </x:c>
      <x:c r="R5" s="15" t="n">
        <x:f>ROUND(O5*(3*1.15),0)</x:f>
        <x:v>10</x:v>
      </x:c>
      <x:c r="S5" s="15" t="n">
        <x:v>0.9</x:v>
      </x:c>
      <x:c r="T5" s="15" t="n">
        <x:v>4</x:v>
      </x:c>
      <x:c r="U5" s="15" t="n">
        <x:v>248</x:v>
      </x:c>
      <x:c r="V5" s="15" t="n">
        <x:v>3.25</x:v>
      </x:c>
      <x:c r="W5" s="15" t="n">
        <x:v>178.75</x:v>
      </x:c>
      <x:c r="X5" s="15" t="str">
        <x:v>5%</x:v>
      </x:c>
      <x:c r="Y5" s="15" t="n">
        <x:v>1.5</x:v>
      </x:c>
      <x:c r="Z5" s="15" t="str">
        <x:v>—</x:v>
      </x:c>
      <x:c r="AA5" s="15" t="str">
        <x:v>—</x:v>
      </x:c>
      <x:c r="AB5" s="15"/>
      <x:c r="AC5" s="15" t="str">
        <x:v>silence_bolt</x:v>
      </x:c>
    </x:row>
    <x:row r="6" ht="38" customHeight="1">
      <x:c r="A6" s="11" t="str">
        <x:v>dark_fear</x:v>
      </x:c>
      <x:c r="B6" s="11" t="str">
        <x:v>恐惧魔</x:v>
      </x:c>
      <x:c r="C6" s="11" t="str">
        <x:v>暗族</x:v>
      </x:c>
      <x:c r="D6" s="11" t="str">
        <x:v>地</x:v>
      </x:c>
      <x:c r="E6" s="11" t="n">
        <x:v>2</x:v>
      </x:c>
      <x:c r="F6" s="11" t="n">
        <x:v>30</x:v>
      </x:c>
      <x:c r="G6" s="11" t="n">
        <x:v>840</x:v>
      </x:c>
      <x:c r="H6" s="11" t="n">
        <x:f>ROUND(G6*1.5,0)</x:f>
        <x:v>1260</x:v>
      </x:c>
      <x:c r="I6" s="11" t="n">
        <x:f>ROUND(G6*3,0)</x:f>
        <x:v>2520</x:v>
      </x:c>
      <x:c r="J6" s="11" t="n">
        <x:f>ROUND(G6*(3*1.15),0)</x:f>
        <x:v>2898</x:v>
      </x:c>
      <x:c r="K6" s="11" t="n">
        <x:v>55</x:v>
      </x:c>
      <x:c r="L6" s="11" t="n">
        <x:f>ROUND(K6*1.5,0)</x:f>
        <x:v>83</x:v>
      </x:c>
      <x:c r="M6" s="11" t="n">
        <x:f>ROUND(K6*3,0)</x:f>
        <x:v>165</x:v>
      </x:c>
      <x:c r="N6" s="11" t="n">
        <x:f>ROUND(K6*(3*1.15),0)</x:f>
        <x:v>190</x:v>
      </x:c>
      <x:c r="O6" s="11" t="n">
        <x:v>7</x:v>
      </x:c>
      <x:c r="P6" s="11" t="n">
        <x:f>ROUND(O6*1.5,0)</x:f>
        <x:v>11</x:v>
      </x:c>
      <x:c r="Q6" s="11" t="n">
        <x:f>ROUND(O6*3,0)</x:f>
        <x:v>21</x:v>
      </x:c>
      <x:c r="R6" s="11" t="n">
        <x:f>ROUND(O6*(3*1.15),0)</x:f>
        <x:v>24</x:v>
      </x:c>
      <x:c r="S6" s="11" t="n">
        <x:v>0.92</x:v>
      </x:c>
      <x:c r="T6" s="11" t="n">
        <x:v>1</x:v>
      </x:c>
      <x:c r="U6" s="11" t="n">
        <x:v>32</x:v>
      </x:c>
      <x:c r="V6" s="11" t="n">
        <x:v>3.15</x:v>
      </x:c>
      <x:c r="W6" s="11" t="n">
        <x:v>173.25</x:v>
      </x:c>
      <x:c r="X6" s="11" t="str">
        <x:v>8%</x:v>
      </x:c>
      <x:c r="Y6" s="11" t="n">
        <x:v>1.6</x:v>
      </x:c>
      <x:c r="Z6" s="11" t="str">
        <x:v>—</x:v>
      </x:c>
      <x:c r="AA6" s="11" t="str">
        <x:v>—</x:v>
      </x:c>
      <x:c r="AB6" s="11"/>
      <x:c r="AC6" s="11" t="str">
        <x:v>fear</x:v>
      </x:c>
    </x:row>
    <x:row r="7" ht="38" customHeight="1">
      <x:c r="A7" s="15" t="str">
        <x:v>dark_queen</x:v>
      </x:c>
      <x:c r="B7" s="15" t="str">
        <x:v>痛苦女王</x:v>
      </x:c>
      <x:c r="C7" s="15" t="str">
        <x:v>暗族</x:v>
      </x:c>
      <x:c r="D7" s="15" t="str">
        <x:v>天</x:v>
      </x:c>
      <x:c r="E7" s="15" t="n">
        <x:v>2</x:v>
      </x:c>
      <x:c r="F7" s="15" t="n">
        <x:v>30</x:v>
      </x:c>
      <x:c r="G7" s="15" t="n">
        <x:v>920</x:v>
      </x:c>
      <x:c r="H7" s="15" t="n">
        <x:f>ROUND(G7*1.5,0)</x:f>
        <x:v>1380</x:v>
      </x:c>
      <x:c r="I7" s="15" t="n">
        <x:f>ROUND(G7*3,0)</x:f>
        <x:v>2760</x:v>
      </x:c>
      <x:c r="J7" s="15" t="n">
        <x:f>ROUND(G7*(3*1.15),0)</x:f>
        <x:v>3174</x:v>
      </x:c>
      <x:c r="K7" s="15" t="n">
        <x:v>68</x:v>
      </x:c>
      <x:c r="L7" s="15" t="n">
        <x:f>ROUND(K7*1.5,0)</x:f>
        <x:v>102</x:v>
      </x:c>
      <x:c r="M7" s="15" t="n">
        <x:f>ROUND(K7*3,0)</x:f>
        <x:v>204</x:v>
      </x:c>
      <x:c r="N7" s="15" t="n">
        <x:f>ROUND(K7*(3*1.15),0)</x:f>
        <x:v>235</x:v>
      </x:c>
      <x:c r="O7" s="15" t="n">
        <x:v>8</x:v>
      </x:c>
      <x:c r="P7" s="15" t="n">
        <x:f>ROUND(O7*1.5,0)</x:f>
        <x:v>12</x:v>
      </x:c>
      <x:c r="Q7" s="15" t="n">
        <x:f>ROUND(O7*3,0)</x:f>
        <x:v>24</x:v>
      </x:c>
      <x:c r="R7" s="15" t="n">
        <x:f>ROUND(O7*(3*1.15),0)</x:f>
        <x:v>28</x:v>
      </x:c>
      <x:c r="S7" s="15" t="n">
        <x:v>1</x:v>
      </x:c>
      <x:c r="T7" s="15" t="n">
        <x:v>2</x:v>
      </x:c>
      <x:c r="U7" s="15" t="n">
        <x:v>104</x:v>
      </x:c>
      <x:c r="V7" s="15" t="n">
        <x:v>3.2</x:v>
      </x:c>
      <x:c r="W7" s="15" t="n">
        <x:v>176</x:v>
      </x:c>
      <x:c r="X7" s="15" t="str">
        <x:v>8%</x:v>
      </x:c>
      <x:c r="Y7" s="15" t="n">
        <x:v>1.6</x:v>
      </x:c>
      <x:c r="Z7" s="15" t="str">
        <x:v>—</x:v>
      </x:c>
      <x:c r="AA7" s="15" t="str">
        <x:v>—</x:v>
      </x:c>
      <x:c r="AB7" s="15"/>
      <x:c r="AC7" s="15" t="str">
        <x:v>same_target_damage_stack</x:v>
      </x:c>
    </x:row>
    <x:row r="8" ht="38" customHeight="1">
      <x:c r="A8" s="11" t="str">
        <x:v>dark_scythe</x:v>
      </x:c>
      <x:c r="B8" s="11" t="str">
        <x:v>偷袭者</x:v>
      </x:c>
      <x:c r="C8" s="11" t="str">
        <x:v>暗族</x:v>
      </x:c>
      <x:c r="D8" s="11" t="str">
        <x:v>人</x:v>
      </x:c>
      <x:c r="E8" s="11" t="n">
        <x:v>2</x:v>
      </x:c>
      <x:c r="F8" s="11" t="n">
        <x:v>30</x:v>
      </x:c>
      <x:c r="G8" s="11" t="n">
        <x:v>780</x:v>
      </x:c>
      <x:c r="H8" s="11" t="n">
        <x:f>ROUND(G8*1.5,0)</x:f>
        <x:v>1170</x:v>
      </x:c>
      <x:c r="I8" s="11" t="n">
        <x:f>ROUND(G8*3,0)</x:f>
        <x:v>2340</x:v>
      </x:c>
      <x:c r="J8" s="11" t="n">
        <x:f>ROUND(G8*(3*1.15),0)</x:f>
        <x:v>2691</x:v>
      </x:c>
      <x:c r="K8" s="11" t="n">
        <x:v>88</x:v>
      </x:c>
      <x:c r="L8" s="11" t="n">
        <x:f>ROUND(K8*1.5,0)</x:f>
        <x:v>132</x:v>
      </x:c>
      <x:c r="M8" s="11" t="n">
        <x:f>ROUND(K8*3,0)</x:f>
        <x:v>264</x:v>
      </x:c>
      <x:c r="N8" s="11" t="n">
        <x:f>ROUND(K8*(3*1.15),0)</x:f>
        <x:v>304</x:v>
      </x:c>
      <x:c r="O8" s="11" t="n">
        <x:v>6</x:v>
      </x:c>
      <x:c r="P8" s="11" t="n">
        <x:f>ROUND(O8*1.5,0)</x:f>
        <x:v>9</x:v>
      </x:c>
      <x:c r="Q8" s="11" t="n">
        <x:f>ROUND(O8*3,0)</x:f>
        <x:v>18</x:v>
      </x:c>
      <x:c r="R8" s="11" t="n">
        <x:f>ROUND(O8*(3*1.15),0)</x:f>
        <x:v>21</x:v>
      </x:c>
      <x:c r="S8" s="11" t="n">
        <x:v>1.35</x:v>
      </x:c>
      <x:c r="T8" s="11" t="n">
        <x:v>1</x:v>
      </x:c>
      <x:c r="U8" s="11" t="n">
        <x:v>32</x:v>
      </x:c>
      <x:c r="V8" s="11" t="n">
        <x:v>3.55</x:v>
      </x:c>
      <x:c r="W8" s="11" t="n">
        <x:v>195.25</x:v>
      </x:c>
      <x:c r="X8" s="11" t="str">
        <x:v>12%</x:v>
      </x:c>
      <x:c r="Y8" s="11" t="n">
        <x:v>1.6</x:v>
      </x:c>
      <x:c r="Z8" s="11" t="str">
        <x:v>—</x:v>
      </x:c>
      <x:c r="AA8" s="11" t="str">
        <x:v>—</x:v>
      </x:c>
      <x:c r="AB8" s="11"/>
      <x:c r="AC8" s="11" t="str">
        <x:v>blink_low_def_backline</x:v>
      </x:c>
    </x:row>
    <x:row r="9" ht="38" customHeight="1">
      <x:c r="A9" s="15" t="str">
        <x:v>dark_suc</x:v>
      </x:c>
      <x:c r="B9" s="15" t="str">
        <x:v>魅魔</x:v>
      </x:c>
      <x:c r="C9" s="15" t="str">
        <x:v>暗族</x:v>
      </x:c>
      <x:c r="D9" s="15" t="str">
        <x:v>人</x:v>
      </x:c>
      <x:c r="E9" s="15" t="n">
        <x:v>2</x:v>
      </x:c>
      <x:c r="F9" s="15" t="n">
        <x:v>30</x:v>
      </x:c>
      <x:c r="G9" s="15" t="n">
        <x:v>860</x:v>
      </x:c>
      <x:c r="H9" s="15" t="n">
        <x:f>ROUND(G9*1.5,0)</x:f>
        <x:v>1290</x:v>
      </x:c>
      <x:c r="I9" s="15" t="n">
        <x:f>ROUND(G9*3,0)</x:f>
        <x:v>2580</x:v>
      </x:c>
      <x:c r="J9" s="15" t="n">
        <x:f>ROUND(G9*(3*1.15),0)</x:f>
        <x:v>2967</x:v>
      </x:c>
      <x:c r="K9" s="15" t="n">
        <x:v>64</x:v>
      </x:c>
      <x:c r="L9" s="15" t="n">
        <x:f>ROUND(K9*1.5,0)</x:f>
        <x:v>96</x:v>
      </x:c>
      <x:c r="M9" s="15" t="n">
        <x:f>ROUND(K9*3,0)</x:f>
        <x:v>192</x:v>
      </x:c>
      <x:c r="N9" s="15" t="n">
        <x:f>ROUND(K9*(3*1.15),0)</x:f>
        <x:v>221</x:v>
      </x:c>
      <x:c r="O9" s="15" t="n">
        <x:v>7</x:v>
      </x:c>
      <x:c r="P9" s="15" t="n">
        <x:f>ROUND(O9*1.5,0)</x:f>
        <x:v>11</x:v>
      </x:c>
      <x:c r="Q9" s="15" t="n">
        <x:f>ROUND(O9*3,0)</x:f>
        <x:v>21</x:v>
      </x:c>
      <x:c r="R9" s="15" t="n">
        <x:f>ROUND(O9*(3*1.15),0)</x:f>
        <x:v>24</x:v>
      </x:c>
      <x:c r="S9" s="15" t="n">
        <x:v>1</x:v>
      </x:c>
      <x:c r="T9" s="15" t="n">
        <x:v>3</x:v>
      </x:c>
      <x:c r="U9" s="15" t="n">
        <x:v>176</x:v>
      </x:c>
      <x:c r="V9" s="15" t="n">
        <x:v>3.25</x:v>
      </x:c>
      <x:c r="W9" s="15" t="n">
        <x:v>178.75</x:v>
      </x:c>
      <x:c r="X9" s="15" t="str">
        <x:v>8%</x:v>
      </x:c>
      <x:c r="Y9" s="15" t="n">
        <x:v>1.6</x:v>
      </x:c>
      <x:c r="Z9" s="15" t="str">
        <x:v>—</x:v>
      </x:c>
      <x:c r="AA9" s="15" t="str">
        <x:v>—</x:v>
      </x:c>
      <x:c r="AB9" s="15"/>
      <x:c r="AC9" s="15" t="str">
        <x:v>stun</x:v>
      </x:c>
    </x:row>
    <x:row r="10" ht="38" customHeight="1">
      <x:c r="A10" s="11" t="str">
        <x:v>dark_doom</x:v>
      </x:c>
      <x:c r="B10" s="11" t="str">
        <x:v>末日守卫</x:v>
      </x:c>
      <x:c r="C10" s="11" t="str">
        <x:v>暗族</x:v>
      </x:c>
      <x:c r="D10" s="11" t="str">
        <x:v>地</x:v>
      </x:c>
      <x:c r="E10" s="11" t="n">
        <x:v>3</x:v>
      </x:c>
      <x:c r="F10" s="11" t="n">
        <x:v>50</x:v>
      </x:c>
      <x:c r="G10" s="11" t="n">
        <x:v>1640</x:v>
      </x:c>
      <x:c r="H10" s="11" t="n">
        <x:f>ROUND(G10*1.5,0)</x:f>
        <x:v>2460</x:v>
      </x:c>
      <x:c r="I10" s="11" t="n">
        <x:f>ROUND(G10*3,0)</x:f>
        <x:v>4920</x:v>
      </x:c>
      <x:c r="J10" s="11" t="n">
        <x:f>ROUND(G10*(3*1.15),0)</x:f>
        <x:v>5658</x:v>
      </x:c>
      <x:c r="K10" s="11" t="n">
        <x:v>97</x:v>
      </x:c>
      <x:c r="L10" s="11" t="n">
        <x:f>ROUND(K10*1.5,0)</x:f>
        <x:v>146</x:v>
      </x:c>
      <x:c r="M10" s="11" t="n">
        <x:f>ROUND(K10*3,0)</x:f>
        <x:v>291</x:v>
      </x:c>
      <x:c r="N10" s="11" t="n">
        <x:f>ROUND(K10*(3*1.15),0)</x:f>
        <x:v>335</x:v>
      </x:c>
      <x:c r="O10" s="11" t="n">
        <x:v>16</x:v>
      </x:c>
      <x:c r="P10" s="11" t="n">
        <x:f>ROUND(O10*1.5,0)</x:f>
        <x:v>24</x:v>
      </x:c>
      <x:c r="Q10" s="11" t="n">
        <x:f>ROUND(O10*3,0)</x:f>
        <x:v>48</x:v>
      </x:c>
      <x:c r="R10" s="11" t="n">
        <x:f>ROUND(O10*(3*1.15),0)</x:f>
        <x:v>55</x:v>
      </x:c>
      <x:c r="S10" s="11" t="n">
        <x:v>0.78</x:v>
      </x:c>
      <x:c r="T10" s="11" t="n">
        <x:v>1</x:v>
      </x:c>
      <x:c r="U10" s="11" t="n">
        <x:v>32</x:v>
      </x:c>
      <x:c r="V10" s="11" t="n">
        <x:v>3</x:v>
      </x:c>
      <x:c r="W10" s="11" t="n">
        <x:v>165</x:v>
      </x:c>
      <x:c r="X10" s="11" t="str">
        <x:v>10%</x:v>
      </x:c>
      <x:c r="Y10" s="11" t="n">
        <x:v>1.75</x:v>
      </x:c>
      <x:c r="Z10" s="11" t="str">
        <x:v>—</x:v>
      </x:c>
      <x:c r="AA10" s="11" t="str">
        <x:v>—</x:v>
      </x:c>
      <x:c r="AB10" s="11" t="str">
        <x:v>是</x:v>
      </x:c>
      <x:c r="AC10" s="11" t="str">
        <x:v>shared_hp_link</x:v>
      </x:c>
    </x:row>
    <x:row r="11" ht="38" customHeight="1">
      <x:c r="A11" s="15" t="str">
        <x:v>dark_dragon</x:v>
      </x:c>
      <x:c r="B11" s="15" t="str">
        <x:v>黑龙</x:v>
      </x:c>
      <x:c r="C11" s="15" t="str">
        <x:v>暗族</x:v>
      </x:c>
      <x:c r="D11" s="15" t="str">
        <x:v>天</x:v>
      </x:c>
      <x:c r="E11" s="15" t="n">
        <x:v>3</x:v>
      </x:c>
      <x:c r="F11" s="15" t="n">
        <x:v>50</x:v>
      </x:c>
      <x:c r="G11" s="15" t="n">
        <x:v>1800</x:v>
      </x:c>
      <x:c r="H11" s="15" t="n">
        <x:f>ROUND(G11*1.5,0)</x:f>
        <x:v>2700</x:v>
      </x:c>
      <x:c r="I11" s="15" t="n">
        <x:f>ROUND(G11*3,0)</x:f>
        <x:v>5400</x:v>
      </x:c>
      <x:c r="J11" s="15" t="n">
        <x:f>ROUND(G11*(3*1.15),0)</x:f>
        <x:v>6210</x:v>
      </x:c>
      <x:c r="K11" s="15" t="n">
        <x:v>110</x:v>
      </x:c>
      <x:c r="L11" s="15" t="n">
        <x:f>ROUND(K11*1.5,0)</x:f>
        <x:v>165</x:v>
      </x:c>
      <x:c r="M11" s="15" t="n">
        <x:f>ROUND(K11*3,0)</x:f>
        <x:v>330</x:v>
      </x:c>
      <x:c r="N11" s="15" t="n">
        <x:f>ROUND(K11*(3*1.15),0)</x:f>
        <x:v>379</x:v>
      </x:c>
      <x:c r="O11" s="15" t="n">
        <x:v>14</x:v>
      </x:c>
      <x:c r="P11" s="15" t="n">
        <x:f>ROUND(O11*1.5,0)</x:f>
        <x:v>21</x:v>
      </x:c>
      <x:c r="Q11" s="15" t="n">
        <x:f>ROUND(O11*3,0)</x:f>
        <x:v>42</x:v>
      </x:c>
      <x:c r="R11" s="15" t="n">
        <x:f>ROUND(O11*(3*1.15),0)</x:f>
        <x:v>48</x:v>
      </x:c>
      <x:c r="S11" s="15" t="n">
        <x:v>0.85</x:v>
      </x:c>
      <x:c r="T11" s="15" t="n">
        <x:v>1</x:v>
      </x:c>
      <x:c r="U11" s="15" t="n">
        <x:v>32</x:v>
      </x:c>
      <x:c r="V11" s="15" t="n">
        <x:v>2.95</x:v>
      </x:c>
      <x:c r="W11" s="15" t="n">
        <x:v>162.25</x:v>
      </x:c>
      <x:c r="X11" s="15" t="str">
        <x:v>12%</x:v>
      </x:c>
      <x:c r="Y11" s="15" t="n">
        <x:v>1.8</x:v>
      </x:c>
      <x:c r="Z11" s="15" t="str">
        <x:v>—</x:v>
      </x:c>
      <x:c r="AA11" s="15" t="str">
        <x:v>—</x:v>
      </x:c>
      <x:c r="AB11" s="15" t="str">
        <x:v>是</x:v>
      </x:c>
      <x:c r="AC11" s="15" t="str">
        <x:v>black_hole</x:v>
      </x:c>
    </x:row>
    <x:row r="12" ht="38" customHeight="1">
      <x:c r="A12" s="11" t="str">
        <x:v>god_priest</x:v>
      </x:c>
      <x:c r="B12" s="11" t="str">
        <x:v>神侍</x:v>
      </x:c>
      <x:c r="C12" s="11" t="str">
        <x:v>神族</x:v>
      </x:c>
      <x:c r="D12" s="11" t="str">
        <x:v>人</x:v>
      </x:c>
      <x:c r="E12" s="11" t="n">
        <x:v>1</x:v>
      </x:c>
      <x:c r="F12" s="11" t="n">
        <x:v>20</x:v>
      </x:c>
      <x:c r="G12" s="11" t="n">
        <x:v>640</x:v>
      </x:c>
      <x:c r="H12" s="11" t="n">
        <x:f>ROUND(G12*1.5,0)</x:f>
        <x:v>960</x:v>
      </x:c>
      <x:c r="I12" s="11" t="n">
        <x:f>ROUND(G12*3,0)</x:f>
        <x:v>1920</x:v>
      </x:c>
      <x:c r="J12" s="11" t="n">
        <x:f>ROUND(G12*(3*1.15),0)</x:f>
        <x:v>2208</x:v>
      </x:c>
      <x:c r="K12" s="11" t="n">
        <x:v>31</x:v>
      </x:c>
      <x:c r="L12" s="11" t="n">
        <x:f>ROUND(K12*1.5,0)</x:f>
        <x:v>47</x:v>
      </x:c>
      <x:c r="M12" s="11" t="n">
        <x:f>ROUND(K12*3,0)</x:f>
        <x:v>93</x:v>
      </x:c>
      <x:c r="N12" s="11" t="n">
        <x:f>ROUND(K12*(3*1.15),0)</x:f>
        <x:v>107</x:v>
      </x:c>
      <x:c r="O12" s="11" t="n">
        <x:v>4</x:v>
      </x:c>
      <x:c r="P12" s="11" t="n">
        <x:f>ROUND(O12*1.5,0)</x:f>
        <x:v>6</x:v>
      </x:c>
      <x:c r="Q12" s="11" t="n">
        <x:f>ROUND(O12*3,0)</x:f>
        <x:v>12</x:v>
      </x:c>
      <x:c r="R12" s="11" t="n">
        <x:f>ROUND(O12*(3*1.15),0)</x:f>
        <x:v>14</x:v>
      </x:c>
      <x:c r="S12" s="11" t="n">
        <x:v>0.95</x:v>
      </x:c>
      <x:c r="T12" s="11" t="n">
        <x:v>4</x:v>
      </x:c>
      <x:c r="U12" s="11" t="n">
        <x:v>248</x:v>
      </x:c>
      <x:c r="V12" s="11" t="n">
        <x:v>3.2</x:v>
      </x:c>
      <x:c r="W12" s="11" t="n">
        <x:v>176</x:v>
      </x:c>
      <x:c r="X12" s="11" t="str">
        <x:v>5%</x:v>
      </x:c>
      <x:c r="Y12" s="11" t="n">
        <x:v>1.5</x:v>
      </x:c>
      <x:c r="Z12" s="11" t="str">
        <x:v>—</x:v>
      </x:c>
      <x:c r="AA12" s="11" t="str">
        <x:v>—</x:v>
      </x:c>
      <x:c r="AB12" s="11"/>
      <x:c r="AC12" s="11" t="str">
        <x:v>lowest_ally_heal</x:v>
      </x:c>
    </x:row>
    <x:row r="13" ht="38" customHeight="1">
      <x:c r="A13" s="15" t="str">
        <x:v>god_priestess</x:v>
      </x:c>
      <x:c r="B13" s="15" t="str">
        <x:v>大祭司</x:v>
      </x:c>
      <x:c r="C13" s="15" t="str">
        <x:v>神族</x:v>
      </x:c>
      <x:c r="D13" s="15" t="str">
        <x:v>人</x:v>
      </x:c>
      <x:c r="E13" s="15" t="n">
        <x:v>1</x:v>
      </x:c>
      <x:c r="F13" s="15" t="n">
        <x:v>20</x:v>
      </x:c>
      <x:c r="G13" s="15" t="n">
        <x:v>600</x:v>
      </x:c>
      <x:c r="H13" s="15" t="n">
        <x:f>ROUND(G13*1.5,0)</x:f>
        <x:v>900</x:v>
      </x:c>
      <x:c r="I13" s="15" t="n">
        <x:f>ROUND(G13*3,0)</x:f>
        <x:v>1800</x:v>
      </x:c>
      <x:c r="J13" s="15" t="n">
        <x:f>ROUND(G13*(3*1.15),0)</x:f>
        <x:v>2070</x:v>
      </x:c>
      <x:c r="K13" s="15" t="n">
        <x:v>26</x:v>
      </x:c>
      <x:c r="L13" s="15" t="n">
        <x:f>ROUND(K13*1.5,0)</x:f>
        <x:v>39</x:v>
      </x:c>
      <x:c r="M13" s="15" t="n">
        <x:f>ROUND(K13*3,0)</x:f>
        <x:v>78</x:v>
      </x:c>
      <x:c r="N13" s="15" t="n">
        <x:f>ROUND(K13*(3*1.15),0)</x:f>
        <x:v>90</x:v>
      </x:c>
      <x:c r="O13" s="15" t="n">
        <x:v>4</x:v>
      </x:c>
      <x:c r="P13" s="15" t="n">
        <x:f>ROUND(O13*1.5,0)</x:f>
        <x:v>6</x:v>
      </x:c>
      <x:c r="Q13" s="15" t="n">
        <x:f>ROUND(O13*3,0)</x:f>
        <x:v>12</x:v>
      </x:c>
      <x:c r="R13" s="15" t="n">
        <x:f>ROUND(O13*(3*1.15),0)</x:f>
        <x:v>14</x:v>
      </x:c>
      <x:c r="S13" s="15" t="n">
        <x:v>0.9</x:v>
      </x:c>
      <x:c r="T13" s="15" t="n">
        <x:v>4</x:v>
      </x:c>
      <x:c r="U13" s="15" t="n">
        <x:v>248</x:v>
      </x:c>
      <x:c r="V13" s="15" t="n">
        <x:v>3.15</x:v>
      </x:c>
      <x:c r="W13" s="15" t="n">
        <x:v>173.25</x:v>
      </x:c>
      <x:c r="X13" s="15" t="str">
        <x:v>5%</x:v>
      </x:c>
      <x:c r="Y13" s="15" t="n">
        <x:v>1.5</x:v>
      </x:c>
      <x:c r="Z13" s="15" t="str">
        <x:v>—</x:v>
      </x:c>
      <x:c r="AA13" s="15" t="str">
        <x:v>—</x:v>
      </x:c>
      <x:c r="AB13" s="15"/>
      <x:c r="AC13" s="15" t="str">
        <x:v>nearest_ally_bless</x:v>
      </x:c>
    </x:row>
    <x:row r="14" ht="38" customHeight="1">
      <x:c r="A14" s="11" t="str">
        <x:v>god_angel</x:v>
      </x:c>
      <x:c r="B14" s="11" t="str">
        <x:v>天使</x:v>
      </x:c>
      <x:c r="C14" s="11" t="str">
        <x:v>神族</x:v>
      </x:c>
      <x:c r="D14" s="11" t="str">
        <x:v>天</x:v>
      </x:c>
      <x:c r="E14" s="11" t="n">
        <x:v>2</x:v>
      </x:c>
      <x:c r="F14" s="11" t="n">
        <x:v>30</x:v>
      </x:c>
      <x:c r="G14" s="11" t="n">
        <x:v>1080</x:v>
      </x:c>
      <x:c r="H14" s="11" t="n">
        <x:f>ROUND(G14*1.5,0)</x:f>
        <x:v>1620</x:v>
      </x:c>
      <x:c r="I14" s="11" t="n">
        <x:f>ROUND(G14*3,0)</x:f>
        <x:v>3240</x:v>
      </x:c>
      <x:c r="J14" s="11" t="n">
        <x:f>ROUND(G14*(3*1.15),0)</x:f>
        <x:v>3726</x:v>
      </x:c>
      <x:c r="K14" s="11" t="n">
        <x:v>48</x:v>
      </x:c>
      <x:c r="L14" s="11" t="n">
        <x:f>ROUND(K14*1.5,0)</x:f>
        <x:v>72</x:v>
      </x:c>
      <x:c r="M14" s="11" t="n">
        <x:f>ROUND(K14*3,0)</x:f>
        <x:v>144</x:v>
      </x:c>
      <x:c r="N14" s="11" t="n">
        <x:f>ROUND(K14*(3*1.15),0)</x:f>
        <x:v>166</x:v>
      </x:c>
      <x:c r="O14" s="11" t="n">
        <x:v>8</x:v>
      </x:c>
      <x:c r="P14" s="11" t="n">
        <x:f>ROUND(O14*1.5,0)</x:f>
        <x:v>12</x:v>
      </x:c>
      <x:c r="Q14" s="11" t="n">
        <x:f>ROUND(O14*3,0)</x:f>
        <x:v>24</x:v>
      </x:c>
      <x:c r="R14" s="11" t="n">
        <x:f>ROUND(O14*(3*1.15),0)</x:f>
        <x:v>28</x:v>
      </x:c>
      <x:c r="S14" s="11" t="n">
        <x:v>0.95</x:v>
      </x:c>
      <x:c r="T14" s="11" t="n">
        <x:v>4</x:v>
      </x:c>
      <x:c r="U14" s="11" t="n">
        <x:v>248</x:v>
      </x:c>
      <x:c r="V14" s="11" t="n">
        <x:v>3.25</x:v>
      </x:c>
      <x:c r="W14" s="11" t="n">
        <x:v>178.75</x:v>
      </x:c>
      <x:c r="X14" s="11" t="str">
        <x:v>8%</x:v>
      </x:c>
      <x:c r="Y14" s="11" t="n">
        <x:v>1.6</x:v>
      </x:c>
      <x:c r="Z14" s="11" t="str">
        <x:v>—</x:v>
      </x:c>
      <x:c r="AA14" s="11" t="str">
        <x:v>—</x:v>
      </x:c>
      <x:c r="AB14" s="11"/>
      <x:c r="AC14" s="11" t="str">
        <x:v>nearby_ally_heal_buff</x:v>
      </x:c>
    </x:row>
    <x:row r="15" ht="38" customHeight="1">
      <x:c r="A15" s="15" t="str">
        <x:v>god_arbiter</x:v>
      </x:c>
      <x:c r="B15" s="15" t="str">
        <x:v>裁决者</x:v>
      </x:c>
      <x:c r="C15" s="15" t="str">
        <x:v>神族</x:v>
      </x:c>
      <x:c r="D15" s="15" t="str">
        <x:v>地</x:v>
      </x:c>
      <x:c r="E15" s="15" t="n">
        <x:v>2</x:v>
      </x:c>
      <x:c r="F15" s="15" t="n">
        <x:v>30</x:v>
      </x:c>
      <x:c r="G15" s="15" t="n">
        <x:v>1040</x:v>
      </x:c>
      <x:c r="H15" s="15" t="n">
        <x:f>ROUND(G15*1.5,0)</x:f>
        <x:v>1560</x:v>
      </x:c>
      <x:c r="I15" s="15" t="n">
        <x:f>ROUND(G15*3,0)</x:f>
        <x:v>3120</x:v>
      </x:c>
      <x:c r="J15" s="15" t="n">
        <x:f>ROUND(G15*(3*1.15),0)</x:f>
        <x:v>3588</x:v>
      </x:c>
      <x:c r="K15" s="15" t="n">
        <x:v>79</x:v>
      </x:c>
      <x:c r="L15" s="15" t="n">
        <x:f>ROUND(K15*1.5,0)</x:f>
        <x:v>119</x:v>
      </x:c>
      <x:c r="M15" s="15" t="n">
        <x:f>ROUND(K15*3,0)</x:f>
        <x:v>237</x:v>
      </x:c>
      <x:c r="N15" s="15" t="n">
        <x:f>ROUND(K15*(3*1.15),0)</x:f>
        <x:v>273</x:v>
      </x:c>
      <x:c r="O15" s="15" t="n">
        <x:v>10</x:v>
      </x:c>
      <x:c r="P15" s="15" t="n">
        <x:f>ROUND(O15*1.5,0)</x:f>
        <x:v>15</x:v>
      </x:c>
      <x:c r="Q15" s="15" t="n">
        <x:f>ROUND(O15*3,0)</x:f>
        <x:v>30</x:v>
      </x:c>
      <x:c r="R15" s="15" t="n">
        <x:f>ROUND(O15*(3*1.15),0)</x:f>
        <x:v>35</x:v>
      </x:c>
      <x:c r="S15" s="15" t="n">
        <x:v>0.8</x:v>
      </x:c>
      <x:c r="T15" s="15" t="n">
        <x:v>1</x:v>
      </x:c>
      <x:c r="U15" s="15" t="n">
        <x:v>32</x:v>
      </x:c>
      <x:c r="V15" s="15" t="n">
        <x:v>3.05</x:v>
      </x:c>
      <x:c r="W15" s="15" t="n">
        <x:v>167.75</x:v>
      </x:c>
      <x:c r="X15" s="15" t="str">
        <x:v>8%</x:v>
      </x:c>
      <x:c r="Y15" s="15" t="n">
        <x:v>1.6</x:v>
      </x:c>
      <x:c r="Z15" s="15" t="str">
        <x:v>—</x:v>
      </x:c>
      <x:c r="AA15" s="15" t="str">
        <x:v>—</x:v>
      </x:c>
      <x:c r="AB15" s="15"/>
      <x:c r="AC15" s="15" t="str">
        <x:v>judgement_strike</x:v>
      </x:c>
    </x:row>
    <x:row r="16" ht="38" customHeight="1">
      <x:c r="A16" s="11" t="str">
        <x:v>god_aurora</x:v>
      </x:c>
      <x:c r="B16" s="11" t="str">
        <x:v>极光射手</x:v>
      </x:c>
      <x:c r="C16" s="11" t="str">
        <x:v>神族</x:v>
      </x:c>
      <x:c r="D16" s="11" t="str">
        <x:v>天</x:v>
      </x:c>
      <x:c r="E16" s="11" t="n">
        <x:v>2</x:v>
      </x:c>
      <x:c r="F16" s="11" t="n">
        <x:v>30</x:v>
      </x:c>
      <x:c r="G16" s="11" t="n">
        <x:v>720</x:v>
      </x:c>
      <x:c r="H16" s="11" t="n">
        <x:f>ROUND(G16*1.5,0)</x:f>
        <x:v>1080</x:v>
      </x:c>
      <x:c r="I16" s="11" t="n">
        <x:f>ROUND(G16*3,0)</x:f>
        <x:v>2160</x:v>
      </x:c>
      <x:c r="J16" s="11" t="n">
        <x:f>ROUND(G16*(3*1.15),0)</x:f>
        <x:v>2484</x:v>
      </x:c>
      <x:c r="K16" s="11" t="n">
        <x:v>77</x:v>
      </x:c>
      <x:c r="L16" s="11" t="n">
        <x:f>ROUND(K16*1.5,0)</x:f>
        <x:v>116</x:v>
      </x:c>
      <x:c r="M16" s="11" t="n">
        <x:f>ROUND(K16*3,0)</x:f>
        <x:v>231</x:v>
      </x:c>
      <x:c r="N16" s="11" t="n">
        <x:f>ROUND(K16*(3*1.15),0)</x:f>
        <x:v>266</x:v>
      </x:c>
      <x:c r="O16" s="11" t="n">
        <x:v>4</x:v>
      </x:c>
      <x:c r="P16" s="11" t="n">
        <x:f>ROUND(O16*1.5,0)</x:f>
        <x:v>6</x:v>
      </x:c>
      <x:c r="Q16" s="11" t="n">
        <x:f>ROUND(O16*3,0)</x:f>
        <x:v>12</x:v>
      </x:c>
      <x:c r="R16" s="11" t="n">
        <x:f>ROUND(O16*(3*1.15),0)</x:f>
        <x:v>14</x:v>
      </x:c>
      <x:c r="S16" s="11" t="n">
        <x:v>1.2</x:v>
      </x:c>
      <x:c r="T16" s="11" t="n">
        <x:v>4</x:v>
      </x:c>
      <x:c r="U16" s="11" t="n">
        <x:v>248</x:v>
      </x:c>
      <x:c r="V16" s="11" t="n">
        <x:v>3.2</x:v>
      </x:c>
      <x:c r="W16" s="11" t="n">
        <x:v>176</x:v>
      </x:c>
      <x:c r="X16" s="11" t="str">
        <x:v>10%</x:v>
      </x:c>
      <x:c r="Y16" s="11" t="n">
        <x:v>1.6</x:v>
      </x:c>
      <x:c r="Z16" s="11" t="str">
        <x:v>—</x:v>
      </x:c>
      <x:c r="AA16" s="11" t="str">
        <x:v>—</x:v>
      </x:c>
      <x:c r="AB16" s="11"/>
      <x:c r="AC16" s="11" t="str">
        <x:v>true_damage_attack</x:v>
      </x:c>
    </x:row>
    <x:row r="17" ht="38" customHeight="1">
      <x:c r="A17" s="15" t="str">
        <x:v>god_guard</x:v>
      </x:c>
      <x:c r="B17" s="15" t="str">
        <x:v>光之卫士</x:v>
      </x:c>
      <x:c r="C17" s="15" t="str">
        <x:v>神族</x:v>
      </x:c>
      <x:c r="D17" s="15" t="str">
        <x:v>地</x:v>
      </x:c>
      <x:c r="E17" s="15" t="n">
        <x:v>2</x:v>
      </x:c>
      <x:c r="F17" s="15" t="n">
        <x:v>30</x:v>
      </x:c>
      <x:c r="G17" s="15" t="n">
        <x:v>1520</x:v>
      </x:c>
      <x:c r="H17" s="15" t="n">
        <x:f>ROUND(G17*1.5,0)</x:f>
        <x:v>2280</x:v>
      </x:c>
      <x:c r="I17" s="15" t="n">
        <x:f>ROUND(G17*3,0)</x:f>
        <x:v>4560</x:v>
      </x:c>
      <x:c r="J17" s="15" t="n">
        <x:f>ROUND(G17*(3*1.15),0)</x:f>
        <x:v>5244</x:v>
      </x:c>
      <x:c r="K17" s="15" t="n">
        <x:v>46</x:v>
      </x:c>
      <x:c r="L17" s="15" t="n">
        <x:f>ROUND(K17*1.5,0)</x:f>
        <x:v>69</x:v>
      </x:c>
      <x:c r="M17" s="15" t="n">
        <x:f>ROUND(K17*3,0)</x:f>
        <x:v>138</x:v>
      </x:c>
      <x:c r="N17" s="15" t="n">
        <x:f>ROUND(K17*(3*1.15),0)</x:f>
        <x:v>159</x:v>
      </x:c>
      <x:c r="O17" s="15" t="n">
        <x:v>14</x:v>
      </x:c>
      <x:c r="P17" s="15" t="n">
        <x:f>ROUND(O17*1.5,0)</x:f>
        <x:v>21</x:v>
      </x:c>
      <x:c r="Q17" s="15" t="n">
        <x:f>ROUND(O17*3,0)</x:f>
        <x:v>42</x:v>
      </x:c>
      <x:c r="R17" s="15" t="n">
        <x:f>ROUND(O17*(3*1.15),0)</x:f>
        <x:v>48</x:v>
      </x:c>
      <x:c r="S17" s="15" t="n">
        <x:v>0.75</x:v>
      </x:c>
      <x:c r="T17" s="15" t="n">
        <x:v>1</x:v>
      </x:c>
      <x:c r="U17" s="15" t="n">
        <x:v>32</x:v>
      </x:c>
      <x:c r="V17" s="15" t="n">
        <x:v>3</x:v>
      </x:c>
      <x:c r="W17" s="15" t="n">
        <x:v>165</x:v>
      </x:c>
      <x:c r="X17" s="15" t="str">
        <x:v>5%</x:v>
      </x:c>
      <x:c r="Y17" s="15" t="n">
        <x:v>1.5</x:v>
      </x:c>
      <x:c r="Z17" s="15" t="str">
        <x:v>—</x:v>
      </x:c>
      <x:c r="AA17" s="15" t="str">
        <x:v>—</x:v>
      </x:c>
      <x:c r="AB17" s="15"/>
      <x:c r="AC17" s="15" t="str">
        <x:v>guardian_shield_taunt</x:v>
      </x:c>
    </x:row>
    <x:row r="18" ht="38" customHeight="1">
      <x:c r="A18" s="11" t="str">
        <x:v>god_archangel</x:v>
      </x:c>
      <x:c r="B18" s="11" t="str">
        <x:v>大天使</x:v>
      </x:c>
      <x:c r="C18" s="11" t="str">
        <x:v>神族</x:v>
      </x:c>
      <x:c r="D18" s="11" t="str">
        <x:v>天</x:v>
      </x:c>
      <x:c r="E18" s="11" t="n">
        <x:v>3</x:v>
      </x:c>
      <x:c r="F18" s="11" t="n">
        <x:v>50</x:v>
      </x:c>
      <x:c r="G18" s="11" t="n">
        <x:v>1700</x:v>
      </x:c>
      <x:c r="H18" s="11" t="n">
        <x:f>ROUND(G18*1.5,0)</x:f>
        <x:v>2550</x:v>
      </x:c>
      <x:c r="I18" s="11" t="n">
        <x:f>ROUND(G18*3,0)</x:f>
        <x:v>5100</x:v>
      </x:c>
      <x:c r="J18" s="11" t="n">
        <x:f>ROUND(G18*(3*1.15),0)</x:f>
        <x:v>5865</x:v>
      </x:c>
      <x:c r="K18" s="11" t="n">
        <x:v>73</x:v>
      </x:c>
      <x:c r="L18" s="11" t="n">
        <x:f>ROUND(K18*1.5,0)</x:f>
        <x:v>110</x:v>
      </x:c>
      <x:c r="M18" s="11" t="n">
        <x:f>ROUND(K18*3,0)</x:f>
        <x:v>219</x:v>
      </x:c>
      <x:c r="N18" s="11" t="n">
        <x:f>ROUND(K18*(3*1.15),0)</x:f>
        <x:v>252</x:v>
      </x:c>
      <x:c r="O18" s="11" t="n">
        <x:v>15</x:v>
      </x:c>
      <x:c r="P18" s="11" t="n">
        <x:f>ROUND(O18*1.5,0)</x:f>
        <x:v>23</x:v>
      </x:c>
      <x:c r="Q18" s="11" t="n">
        <x:f>ROUND(O18*3,0)</x:f>
        <x:v>45</x:v>
      </x:c>
      <x:c r="R18" s="11" t="n">
        <x:f>ROUND(O18*(3*1.15),0)</x:f>
        <x:v>52</x:v>
      </x:c>
      <x:c r="S18" s="11" t="n">
        <x:v>0.85</x:v>
      </x:c>
      <x:c r="T18" s="11" t="n">
        <x:v>4</x:v>
      </x:c>
      <x:c r="U18" s="11" t="n">
        <x:v>248</x:v>
      </x:c>
      <x:c r="V18" s="11" t="n">
        <x:v>3.05</x:v>
      </x:c>
      <x:c r="W18" s="11" t="n">
        <x:v>167.75</x:v>
      </x:c>
      <x:c r="X18" s="11" t="str">
        <x:v>10%</x:v>
      </x:c>
      <x:c r="Y18" s="11" t="n">
        <x:v>1.75</x:v>
      </x:c>
      <x:c r="Z18" s="11" t="str">
        <x:v>—</x:v>
      </x:c>
      <x:c r="AA18" s="11" t="str">
        <x:v>—</x:v>
      </x:c>
      <x:c r="AB18" s="11" t="str">
        <x:v>是</x:v>
      </x:c>
      <x:c r="AC18" s="11" t="str">
        <x:v>random_ally_damage_reduction</x:v>
      </x:c>
    </x:row>
    <x:row r="19" ht="38" customHeight="1">
      <x:c r="A19" s="15" t="str">
        <x:v>god_king</x:v>
      </x:c>
      <x:c r="B19" s="15" t="str">
        <x:v>神王</x:v>
      </x:c>
      <x:c r="C19" s="15" t="str">
        <x:v>神族</x:v>
      </x:c>
      <x:c r="D19" s="15" t="str">
        <x:v>地</x:v>
      </x:c>
      <x:c r="E19" s="15" t="n">
        <x:v>3</x:v>
      </x:c>
      <x:c r="F19" s="15" t="n">
        <x:v>50</x:v>
      </x:c>
      <x:c r="G19" s="15" t="n">
        <x:v>1800</x:v>
      </x:c>
      <x:c r="H19" s="15" t="n">
        <x:f>ROUND(G19*1.5,0)</x:f>
        <x:v>2700</x:v>
      </x:c>
      <x:c r="I19" s="15" t="n">
        <x:f>ROUND(G19*3,0)</x:f>
        <x:v>5400</x:v>
      </x:c>
      <x:c r="J19" s="15" t="n">
        <x:f>ROUND(G19*(3*1.15),0)</x:f>
        <x:v>6210</x:v>
      </x:c>
      <x:c r="K19" s="15" t="n">
        <x:v>105</x:v>
      </x:c>
      <x:c r="L19" s="15" t="n">
        <x:f>ROUND(K19*1.5,0)</x:f>
        <x:v>158</x:v>
      </x:c>
      <x:c r="M19" s="15" t="n">
        <x:f>ROUND(K19*3,0)</x:f>
        <x:v>315</x:v>
      </x:c>
      <x:c r="N19" s="15" t="n">
        <x:f>ROUND(K19*(3*1.15),0)</x:f>
        <x:v>362</x:v>
      </x:c>
      <x:c r="O19" s="15" t="n">
        <x:v>16</x:v>
      </x:c>
      <x:c r="P19" s="15" t="n">
        <x:f>ROUND(O19*1.5,0)</x:f>
        <x:v>24</x:v>
      </x:c>
      <x:c r="Q19" s="15" t="n">
        <x:f>ROUND(O19*3,0)</x:f>
        <x:v>48</x:v>
      </x:c>
      <x:c r="R19" s="15" t="n">
        <x:f>ROUND(O19*(3*1.15),0)</x:f>
        <x:v>55</x:v>
      </x:c>
      <x:c r="S19" s="15" t="n">
        <x:v>0.88</x:v>
      </x:c>
      <x:c r="T19" s="15" t="n">
        <x:v>1</x:v>
      </x:c>
      <x:c r="U19" s="15" t="n">
        <x:v>32</x:v>
      </x:c>
      <x:c r="V19" s="15" t="n">
        <x:v>3</x:v>
      </x:c>
      <x:c r="W19" s="15" t="n">
        <x:v>165</x:v>
      </x:c>
      <x:c r="X19" s="15" t="str">
        <x:v>12%</x:v>
      </x:c>
      <x:c r="Y19" s="15" t="n">
        <x:v>1.75</x:v>
      </x:c>
      <x:c r="Z19" s="15" t="str">
        <x:v>—</x:v>
      </x:c>
      <x:c r="AA19" s="15" t="str">
        <x:v>—</x:v>
      </x:c>
      <x:c r="AB19" s="15" t="str">
        <x:v>是</x:v>
      </x:c>
      <x:c r="AC19" s="15" t="str">
        <x:v>global_divine_blast</x:v>
      </x:c>
    </x:row>
    <x:row r="20" ht="38" customHeight="1">
      <x:c r="A20" s="11" t="str">
        <x:v>human_merchant</x:v>
      </x:c>
      <x:c r="B20" s="11" t="str">
        <x:v>商人</x:v>
      </x:c>
      <x:c r="C20" s="11" t="str">
        <x:v>人族</x:v>
      </x:c>
      <x:c r="D20" s="11" t="str">
        <x:v>人</x:v>
      </x:c>
      <x:c r="E20" s="11" t="n">
        <x:v>1</x:v>
      </x:c>
      <x:c r="F20" s="11" t="n">
        <x:v>20</x:v>
      </x:c>
      <x:c r="G20" s="11" t="n">
        <x:v>560</x:v>
      </x:c>
      <x:c r="H20" s="11" t="n">
        <x:f>ROUND(G20*1.5,0)</x:f>
        <x:v>840</x:v>
      </x:c>
      <x:c r="I20" s="11" t="n">
        <x:f>ROUND(G20*3,0)</x:f>
        <x:v>1680</x:v>
      </x:c>
      <x:c r="J20" s="11" t="n">
        <x:f>ROUND(G20*(3*1.15),0)</x:f>
        <x:v>1932</x:v>
      </x:c>
      <x:c r="K20" s="11" t="n">
        <x:v>29</x:v>
      </x:c>
      <x:c r="L20" s="11" t="n">
        <x:f>ROUND(K20*1.5,0)</x:f>
        <x:v>44</x:v>
      </x:c>
      <x:c r="M20" s="11" t="n">
        <x:f>ROUND(K20*3,0)</x:f>
        <x:v>87</x:v>
      </x:c>
      <x:c r="N20" s="11" t="n">
        <x:f>ROUND(K20*(3*1.15),0)</x:f>
        <x:v>100</x:v>
      </x:c>
      <x:c r="O20" s="11" t="n">
        <x:v>4</x:v>
      </x:c>
      <x:c r="P20" s="11" t="n">
        <x:f>ROUND(O20*1.5,0)</x:f>
        <x:v>6</x:v>
      </x:c>
      <x:c r="Q20" s="11" t="n">
        <x:f>ROUND(O20*3,0)</x:f>
        <x:v>12</x:v>
      </x:c>
      <x:c r="R20" s="11" t="n">
        <x:f>ROUND(O20*(3*1.15),0)</x:f>
        <x:v>14</x:v>
      </x:c>
      <x:c r="S20" s="11" t="n">
        <x:v>0.9</x:v>
      </x:c>
      <x:c r="T20" s="11" t="n">
        <x:v>1</x:v>
      </x:c>
      <x:c r="U20" s="11" t="n">
        <x:v>32</x:v>
      </x:c>
      <x:c r="V20" s="11" t="n">
        <x:v>3.2</x:v>
      </x:c>
      <x:c r="W20" s="11" t="n">
        <x:v>176</x:v>
      </x:c>
      <x:c r="X20" s="11" t="str">
        <x:v>5%</x:v>
      </x:c>
      <x:c r="Y20" s="11" t="n">
        <x:v>1.5</x:v>
      </x:c>
      <x:c r="Z20" s="11" t="str">
        <x:v>—</x:v>
      </x:c>
      <x:c r="AA20" s="11" t="str">
        <x:v>—</x:v>
      </x:c>
      <x:c r="AB20" s="11"/>
      <x:c r="AC20" s="11" t="str">
        <x:v>post_battle_gold_by_star</x:v>
      </x:c>
    </x:row>
    <x:row r="21" ht="38" customHeight="1">
      <x:c r="A21" s="15" t="str">
        <x:v>human_militia</x:v>
      </x:c>
      <x:c r="B21" s="15" t="str">
        <x:v>民兵</x:v>
      </x:c>
      <x:c r="C21" s="15" t="str">
        <x:v>人族</x:v>
      </x:c>
      <x:c r="D21" s="15" t="str">
        <x:v>地</x:v>
      </x:c>
      <x:c r="E21" s="15" t="n">
        <x:v>1</x:v>
      </x:c>
      <x:c r="F21" s="15" t="n">
        <x:v>20</x:v>
      </x:c>
      <x:c r="G21" s="15" t="n">
        <x:v>600</x:v>
      </x:c>
      <x:c r="H21" s="15" t="n">
        <x:f>ROUND(G21*1.5,0)</x:f>
        <x:v>900</x:v>
      </x:c>
      <x:c r="I21" s="15" t="n">
        <x:f>ROUND(G21*3,0)</x:f>
        <x:v>1800</x:v>
      </x:c>
      <x:c r="J21" s="15" t="n">
        <x:f>ROUND(G21*(3*1.15),0)</x:f>
        <x:v>2070</x:v>
      </x:c>
      <x:c r="K21" s="15" t="n">
        <x:v>35</x:v>
      </x:c>
      <x:c r="L21" s="15" t="n">
        <x:f>ROUND(K21*1.5,0)</x:f>
        <x:v>53</x:v>
      </x:c>
      <x:c r="M21" s="15" t="n">
        <x:f>ROUND(K21*3,0)</x:f>
        <x:v>105</x:v>
      </x:c>
      <x:c r="N21" s="15" t="n">
        <x:f>ROUND(K21*(3*1.15),0)</x:f>
        <x:v>121</x:v>
      </x:c>
      <x:c r="O21" s="15" t="n">
        <x:v>5</x:v>
      </x:c>
      <x:c r="P21" s="15" t="n">
        <x:f>ROUND(O21*1.5,0)</x:f>
        <x:v>8</x:v>
      </x:c>
      <x:c r="Q21" s="15" t="n">
        <x:f>ROUND(O21*3,0)</x:f>
        <x:v>15</x:v>
      </x:c>
      <x:c r="R21" s="15" t="n">
        <x:f>ROUND(O21*(3*1.15),0)</x:f>
        <x:v>17</x:v>
      </x:c>
      <x:c r="S21" s="15" t="n">
        <x:v>1</x:v>
      </x:c>
      <x:c r="T21" s="15" t="n">
        <x:v>1</x:v>
      </x:c>
      <x:c r="U21" s="15" t="n">
        <x:v>32</x:v>
      </x:c>
      <x:c r="V21" s="15" t="n">
        <x:v>3.3</x:v>
      </x:c>
      <x:c r="W21" s="15" t="n">
        <x:v>181.5</x:v>
      </x:c>
      <x:c r="X21" s="15" t="str">
        <x:v>5%</x:v>
      </x:c>
      <x:c r="Y21" s="15" t="n">
        <x:v>1.5</x:v>
      </x:c>
      <x:c r="Z21" s="15" t="str">
        <x:v>—</x:v>
      </x:c>
      <x:c r="AA21" s="15" t="str">
        <x:v>—</x:v>
      </x:c>
      <x:c r="AB21" s="15"/>
      <x:c r="AC21" s="15" t="str">
        <x:v>attack_interrupt</x:v>
      </x:c>
    </x:row>
    <x:row r="22" ht="38" customHeight="1">
      <x:c r="A22" s="11" t="str">
        <x:v>human_archer</x:v>
      </x:c>
      <x:c r="B22" s="11" t="str">
        <x:v>弓箭手</x:v>
      </x:c>
      <x:c r="C22" s="11" t="str">
        <x:v>人族</x:v>
      </x:c>
      <x:c r="D22" s="11" t="str">
        <x:v>天</x:v>
      </x:c>
      <x:c r="E22" s="11" t="n">
        <x:v>2</x:v>
      </x:c>
      <x:c r="F22" s="11" t="n">
        <x:v>30</x:v>
      </x:c>
      <x:c r="G22" s="11" t="n">
        <x:v>760</x:v>
      </x:c>
      <x:c r="H22" s="11" t="n">
        <x:f>ROUND(G22*1.5,0)</x:f>
        <x:v>1140</x:v>
      </x:c>
      <x:c r="I22" s="11" t="n">
        <x:f>ROUND(G22*3,0)</x:f>
        <x:v>2280</x:v>
      </x:c>
      <x:c r="J22" s="11" t="n">
        <x:f>ROUND(G22*(3*1.15),0)</x:f>
        <x:v>2622</x:v>
      </x:c>
      <x:c r="K22" s="11" t="n">
        <x:v>70</x:v>
      </x:c>
      <x:c r="L22" s="11" t="n">
        <x:f>ROUND(K22*1.5,0)</x:f>
        <x:v>105</x:v>
      </x:c>
      <x:c r="M22" s="11" t="n">
        <x:f>ROUND(K22*3,0)</x:f>
        <x:v>210</x:v>
      </x:c>
      <x:c r="N22" s="11" t="n">
        <x:f>ROUND(K22*(3*1.15),0)</x:f>
        <x:v>241</x:v>
      </x:c>
      <x:c r="O22" s="11" t="n">
        <x:v>3</x:v>
      </x:c>
      <x:c r="P22" s="11" t="n">
        <x:f>ROUND(O22*1.5,0)</x:f>
        <x:v>5</x:v>
      </x:c>
      <x:c r="Q22" s="11" t="n">
        <x:f>ROUND(O22*3,0)</x:f>
        <x:v>9</x:v>
      </x:c>
      <x:c r="R22" s="11" t="n">
        <x:f>ROUND(O22*(3*1.15),0)</x:f>
        <x:v>10</x:v>
      </x:c>
      <x:c r="S22" s="11" t="n">
        <x:v>1.2</x:v>
      </x:c>
      <x:c r="T22" s="11" t="n">
        <x:v>4</x:v>
      </x:c>
      <x:c r="U22" s="11" t="n">
        <x:v>248</x:v>
      </x:c>
      <x:c r="V22" s="11" t="n">
        <x:v>3.25</x:v>
      </x:c>
      <x:c r="W22" s="11" t="n">
        <x:v>178.75</x:v>
      </x:c>
      <x:c r="X22" s="11" t="str">
        <x:v>10%</x:v>
      </x:c>
      <x:c r="Y22" s="11" t="n">
        <x:v>1.6</x:v>
      </x:c>
      <x:c r="Z22" s="11" t="str">
        <x:v>—</x:v>
      </x:c>
      <x:c r="AA22" s="11" t="str">
        <x:v>—</x:v>
      </x:c>
      <x:c r="AB22" s="11"/>
      <x:c r="AC22" s="11" t="str">
        <x:v>every_fourth_combo</x:v>
      </x:c>
    </x:row>
    <x:row r="23" ht="38" customHeight="1">
      <x:c r="A23" s="15" t="str">
        <x:v>human_cleric</x:v>
      </x:c>
      <x:c r="B23" s="15" t="str">
        <x:v>牧师</x:v>
      </x:c>
      <x:c r="C23" s="15" t="str">
        <x:v>人族</x:v>
      </x:c>
      <x:c r="D23" s="15" t="str">
        <x:v>人</x:v>
      </x:c>
      <x:c r="E23" s="15" t="n">
        <x:v>2</x:v>
      </x:c>
      <x:c r="F23" s="15" t="n">
        <x:v>30</x:v>
      </x:c>
      <x:c r="G23" s="15" t="n">
        <x:v>1200</x:v>
      </x:c>
      <x:c r="H23" s="15" t="n">
        <x:f>ROUND(G23*1.5,0)</x:f>
        <x:v>1800</x:v>
      </x:c>
      <x:c r="I23" s="15" t="n">
        <x:f>ROUND(G23*3,0)</x:f>
        <x:v>3600</x:v>
      </x:c>
      <x:c r="J23" s="15" t="n">
        <x:f>ROUND(G23*(3*1.15),0)</x:f>
        <x:v>4140</x:v>
      </x:c>
      <x:c r="K23" s="15" t="n">
        <x:v>48</x:v>
      </x:c>
      <x:c r="L23" s="15" t="n">
        <x:f>ROUND(K23*1.5,0)</x:f>
        <x:v>72</x:v>
      </x:c>
      <x:c r="M23" s="15" t="n">
        <x:f>ROUND(K23*3,0)</x:f>
        <x:v>144</x:v>
      </x:c>
      <x:c r="N23" s="15" t="n">
        <x:f>ROUND(K23*(3*1.15),0)</x:f>
        <x:v>166</x:v>
      </x:c>
      <x:c r="O23" s="15" t="n">
        <x:v>6</x:v>
      </x:c>
      <x:c r="P23" s="15" t="n">
        <x:f>ROUND(O23*1.5,0)</x:f>
        <x:v>9</x:v>
      </x:c>
      <x:c r="Q23" s="15" t="n">
        <x:f>ROUND(O23*3,0)</x:f>
        <x:v>18</x:v>
      </x:c>
      <x:c r="R23" s="15" t="n">
        <x:f>ROUND(O23*(3*1.15),0)</x:f>
        <x:v>21</x:v>
      </x:c>
      <x:c r="S23" s="15" t="n">
        <x:v>0.92</x:v>
      </x:c>
      <x:c r="T23" s="15" t="n">
        <x:v>4</x:v>
      </x:c>
      <x:c r="U23" s="15" t="n">
        <x:v>248</x:v>
      </x:c>
      <x:c r="V23" s="15" t="n">
        <x:v>3.2</x:v>
      </x:c>
      <x:c r="W23" s="15" t="n">
        <x:v>176</x:v>
      </x:c>
      <x:c r="X23" s="15" t="str">
        <x:v>8%</x:v>
      </x:c>
      <x:c r="Y23" s="15" t="n">
        <x:v>1.6</x:v>
      </x:c>
      <x:c r="Z23" s="15" t="str">
        <x:v>—</x:v>
      </x:c>
      <x:c r="AA23" s="15" t="str">
        <x:v>—</x:v>
      </x:c>
      <x:c r="AB23" s="15"/>
      <x:c r="AC23" s="15" t="str">
        <x:v>every_fifth_group_heal</x:v>
      </x:c>
    </x:row>
    <x:row r="24" ht="38" customHeight="1">
      <x:c r="A24" s="11" t="str">
        <x:v>human_death_servant</x:v>
      </x:c>
      <x:c r="B24" s="11" t="str">
        <x:v>死侍</x:v>
      </x:c>
      <x:c r="C24" s="11" t="str">
        <x:v>人族</x:v>
      </x:c>
      <x:c r="D24" s="11" t="str">
        <x:v>地</x:v>
      </x:c>
      <x:c r="E24" s="11" t="n">
        <x:v>2</x:v>
      </x:c>
      <x:c r="F24" s="11" t="n">
        <x:v>30</x:v>
      </x:c>
      <x:c r="G24" s="11" t="n">
        <x:v>1640</x:v>
      </x:c>
      <x:c r="H24" s="11" t="n">
        <x:f>ROUND(G24*1.5,0)</x:f>
        <x:v>2460</x:v>
      </x:c>
      <x:c r="I24" s="11" t="n">
        <x:f>ROUND(G24*3,0)</x:f>
        <x:v>4920</x:v>
      </x:c>
      <x:c r="J24" s="11" t="n">
        <x:f>ROUND(G24*(3*1.15),0)</x:f>
        <x:v>5658</x:v>
      </x:c>
      <x:c r="K24" s="11" t="n">
        <x:v>1</x:v>
      </x:c>
      <x:c r="L24" s="11" t="n">
        <x:f>1</x:f>
        <x:v>1</x:v>
      </x:c>
      <x:c r="M24" s="11" t="n">
        <x:f>1</x:f>
        <x:v>1</x:v>
      </x:c>
      <x:c r="N24" s="11" t="n">
        <x:f>1</x:f>
        <x:v>1</x:v>
      </x:c>
      <x:c r="O24" s="11" t="n">
        <x:v>18</x:v>
      </x:c>
      <x:c r="P24" s="11" t="n">
        <x:f>ROUND(O24*1.5,0)</x:f>
        <x:v>27</x:v>
      </x:c>
      <x:c r="Q24" s="11" t="n">
        <x:f>ROUND(O24*3,0)</x:f>
        <x:v>54</x:v>
      </x:c>
      <x:c r="R24" s="11" t="n">
        <x:f>ROUND(O24*(3*1.15),0)</x:f>
        <x:v>62</x:v>
      </x:c>
      <x:c r="S24" s="11" t="n">
        <x:v>0</x:v>
      </x:c>
      <x:c r="T24" s="11" t="n">
        <x:v>1</x:v>
      </x:c>
      <x:c r="U24" s="11" t="n">
        <x:v>32</x:v>
      </x:c>
      <x:c r="V24" s="11" t="n">
        <x:v>2.8</x:v>
      </x:c>
      <x:c r="W24" s="11" t="n">
        <x:v>154</x:v>
      </x:c>
      <x:c r="X24" s="11" t="str">
        <x:v>0%</x:v>
      </x:c>
      <x:c r="Y24" s="11" t="n">
        <x:v>1</x:v>
      </x:c>
      <x:c r="Z24" s="11" t="str">
        <x:v>—</x:v>
      </x:c>
      <x:c r="AA24" s="11" t="str">
        <x:v>—</x:v>
      </x:c>
      <x:c r="AB24" s="11"/>
      <x:c r="AC24" s="11" t="str">
        <x:v>left_neighbor_sacrifice</x:v>
      </x:c>
    </x:row>
    <x:row r="25" ht="38" customHeight="1">
      <x:c r="A25" s="15" t="str">
        <x:v>human_mage</x:v>
      </x:c>
      <x:c r="B25" s="15" t="str">
        <x:v>法师</x:v>
      </x:c>
      <x:c r="C25" s="15" t="str">
        <x:v>人族</x:v>
      </x:c>
      <x:c r="D25" s="15" t="str">
        <x:v>天</x:v>
      </x:c>
      <x:c r="E25" s="15" t="n">
        <x:v>2</x:v>
      </x:c>
      <x:c r="F25" s="15" t="n">
        <x:v>30</x:v>
      </x:c>
      <x:c r="G25" s="15" t="n">
        <x:v>720</x:v>
      </x:c>
      <x:c r="H25" s="15" t="n">
        <x:f>ROUND(G25*1.5,0)</x:f>
        <x:v>1080</x:v>
      </x:c>
      <x:c r="I25" s="15" t="n">
        <x:f>ROUND(G25*3,0)</x:f>
        <x:v>2160</x:v>
      </x:c>
      <x:c r="J25" s="15" t="n">
        <x:f>ROUND(G25*(3*1.15),0)</x:f>
        <x:v>2484</x:v>
      </x:c>
      <x:c r="K25" s="15" t="n">
        <x:v>72</x:v>
      </x:c>
      <x:c r="L25" s="15" t="n">
        <x:f>ROUND(K25*1.5,0)</x:f>
        <x:v>108</x:v>
      </x:c>
      <x:c r="M25" s="15" t="n">
        <x:f>ROUND(K25*3,0)</x:f>
        <x:v>216</x:v>
      </x:c>
      <x:c r="N25" s="15" t="n">
        <x:f>ROUND(K25*(3*1.15),0)</x:f>
        <x:v>248</x:v>
      </x:c>
      <x:c r="O25" s="15" t="n">
        <x:v>3</x:v>
      </x:c>
      <x:c r="P25" s="15" t="n">
        <x:f>ROUND(O25*1.5,0)</x:f>
        <x:v>5</x:v>
      </x:c>
      <x:c r="Q25" s="15" t="n">
        <x:f>ROUND(O25*3,0)</x:f>
        <x:v>9</x:v>
      </x:c>
      <x:c r="R25" s="15" t="n">
        <x:f>ROUND(O25*(3*1.15),0)</x:f>
        <x:v>10</x:v>
      </x:c>
      <x:c r="S25" s="15" t="n">
        <x:v>0.85</x:v>
      </x:c>
      <x:c r="T25" s="15" t="n">
        <x:v>4</x:v>
      </x:c>
      <x:c r="U25" s="15" t="n">
        <x:v>248</x:v>
      </x:c>
      <x:c r="V25" s="15" t="n">
        <x:v>3.15</x:v>
      </x:c>
      <x:c r="W25" s="15" t="n">
        <x:v>173.25</x:v>
      </x:c>
      <x:c r="X25" s="15" t="str">
        <x:v>8%</x:v>
      </x:c>
      <x:c r="Y25" s="15" t="n">
        <x:v>1.6</x:v>
      </x:c>
      <x:c r="Z25" s="15" t="str">
        <x:v>—</x:v>
      </x:c>
      <x:c r="AA25" s="15" t="str">
        <x:v>—</x:v>
      </x:c>
      <x:c r="AB25" s="15"/>
      <x:c r="AC25" s="15" t="str">
        <x:v>random_attribute_bolt</x:v>
      </x:c>
    </x:row>
    <x:row r="26" ht="38" customHeight="1">
      <x:c r="A26" s="11" t="str">
        <x:v>human_swordsman</x:v>
      </x:c>
      <x:c r="B26" s="11" t="str">
        <x:v>剑士</x:v>
      </x:c>
      <x:c r="C26" s="11" t="str">
        <x:v>人族</x:v>
      </x:c>
      <x:c r="D26" s="11" t="str">
        <x:v>地</x:v>
      </x:c>
      <x:c r="E26" s="11" t="n">
        <x:v>2</x:v>
      </x:c>
      <x:c r="F26" s="11" t="n">
        <x:v>30</x:v>
      </x:c>
      <x:c r="G26" s="11" t="n">
        <x:v>1120</x:v>
      </x:c>
      <x:c r="H26" s="11" t="n">
        <x:f>ROUND(G26*1.5,0)</x:f>
        <x:v>1680</x:v>
      </x:c>
      <x:c r="I26" s="11" t="n">
        <x:f>ROUND(G26*3,0)</x:f>
        <x:v>3360</x:v>
      </x:c>
      <x:c r="J26" s="11" t="n">
        <x:f>ROUND(G26*(3*1.15),0)</x:f>
        <x:v>3864</x:v>
      </x:c>
      <x:c r="K26" s="11" t="n">
        <x:v>64</x:v>
      </x:c>
      <x:c r="L26" s="11" t="n">
        <x:f>ROUND(K26*1.5,0)</x:f>
        <x:v>96</x:v>
      </x:c>
      <x:c r="M26" s="11" t="n">
        <x:f>ROUND(K26*3,0)</x:f>
        <x:v>192</x:v>
      </x:c>
      <x:c r="N26" s="11" t="n">
        <x:f>ROUND(K26*(3*1.15),0)</x:f>
        <x:v>221</x:v>
      </x:c>
      <x:c r="O26" s="11" t="n">
        <x:v>10</x:v>
      </x:c>
      <x:c r="P26" s="11" t="n">
        <x:f>ROUND(O26*1.5,0)</x:f>
        <x:v>15</x:v>
      </x:c>
      <x:c r="Q26" s="11" t="n">
        <x:f>ROUND(O26*3,0)</x:f>
        <x:v>30</x:v>
      </x:c>
      <x:c r="R26" s="11" t="n">
        <x:f>ROUND(O26*(3*1.15),0)</x:f>
        <x:v>35</x:v>
      </x:c>
      <x:c r="S26" s="11" t="n">
        <x:v>0.88</x:v>
      </x:c>
      <x:c r="T26" s="11" t="n">
        <x:v>1</x:v>
      </x:c>
      <x:c r="U26" s="11" t="n">
        <x:v>32</x:v>
      </x:c>
      <x:c r="V26" s="11" t="n">
        <x:v>3.1</x:v>
      </x:c>
      <x:c r="W26" s="11" t="n">
        <x:v>170.5</x:v>
      </x:c>
      <x:c r="X26" s="11" t="str">
        <x:v>8%</x:v>
      </x:c>
      <x:c r="Y26" s="11" t="n">
        <x:v>1.6</x:v>
      </x:c>
      <x:c r="Z26" s="11" t="str">
        <x:v>—</x:v>
      </x:c>
      <x:c r="AA26" s="11" t="str">
        <x:v>—</x:v>
      </x:c>
      <x:c r="AB26" s="11"/>
      <x:c r="AC26" s="11" t="str">
        <x:v>front_cone_stun</x:v>
      </x:c>
    </x:row>
    <x:row r="27" ht="38" customHeight="1">
      <x:c r="A27" s="15" t="str">
        <x:v>human_king</x:v>
      </x:c>
      <x:c r="B27" s="15" t="str">
        <x:v>人王</x:v>
      </x:c>
      <x:c r="C27" s="15" t="str">
        <x:v>人族</x:v>
      </x:c>
      <x:c r="D27" s="15" t="str">
        <x:v>人</x:v>
      </x:c>
      <x:c r="E27" s="15" t="n">
        <x:v>3</x:v>
      </x:c>
      <x:c r="F27" s="15" t="n">
        <x:v>50</x:v>
      </x:c>
      <x:c r="G27" s="15" t="n">
        <x:v>720</x:v>
      </x:c>
      <x:c r="H27" s="15" t="n">
        <x:f>ROUND(G27*1.5,0)</x:f>
        <x:v>1080</x:v>
      </x:c>
      <x:c r="I27" s="15" t="n">
        <x:f>ROUND(G27*3,0)</x:f>
        <x:v>2160</x:v>
      </x:c>
      <x:c r="J27" s="15" t="n">
        <x:f>ROUND(G27*(3*1.15),0)</x:f>
        <x:v>2484</x:v>
      </x:c>
      <x:c r="K27" s="15" t="n">
        <x:v>55</x:v>
      </x:c>
      <x:c r="L27" s="15" t="n">
        <x:f>ROUND(K27*1.5,0)</x:f>
        <x:v>83</x:v>
      </x:c>
      <x:c r="M27" s="15" t="n">
        <x:f>ROUND(K27*3,0)</x:f>
        <x:v>165</x:v>
      </x:c>
      <x:c r="N27" s="15" t="n">
        <x:f>ROUND(K27*(3*1.15),0)</x:f>
        <x:v>190</x:v>
      </x:c>
      <x:c r="O27" s="15" t="n">
        <x:v>7</x:v>
      </x:c>
      <x:c r="P27" s="15" t="n">
        <x:f>ROUND(O27*1.5,0)</x:f>
        <x:v>11</x:v>
      </x:c>
      <x:c r="Q27" s="15" t="n">
        <x:f>ROUND(O27*3,0)</x:f>
        <x:v>21</x:v>
      </x:c>
      <x:c r="R27" s="15" t="n">
        <x:f>ROUND(O27*(3*1.15),0)</x:f>
        <x:v>24</x:v>
      </x:c>
      <x:c r="S27" s="15" t="n">
        <x:v>0.6</x:v>
      </x:c>
      <x:c r="T27" s="15" t="n">
        <x:v>1.5</x:v>
      </x:c>
      <x:c r="U27" s="15" t="n">
        <x:v>68</x:v>
      </x:c>
      <x:c r="V27" s="15" t="n">
        <x:v>1.2</x:v>
      </x:c>
      <x:c r="W27" s="15" t="n">
        <x:v>66</x:v>
      </x:c>
      <x:c r="X27" s="15" t="str">
        <x:v>7%</x:v>
      </x:c>
      <x:c r="Y27" s="15" t="n">
        <x:v>1.8</x:v>
      </x:c>
      <x:c r="Z27" s="15" t="str">
        <x:v>—</x:v>
      </x:c>
      <x:c r="AA27" s="15" t="str">
        <x:v>—</x:v>
      </x:c>
      <x:c r="AB27" s="15" t="str">
        <x:v>是</x:v>
      </x:c>
      <x:c r="AC27" s="15" t="str">
        <x:v>unique_king_growth</x:v>
      </x:c>
    </x:row>
    <x:row r="28" ht="38" customHeight="1">
      <x:c r="A28" s="11" t="str">
        <x:v>undead_poison</x:v>
      </x:c>
      <x:c r="B28" s="11" t="str">
        <x:v>毒灵</x:v>
      </x:c>
      <x:c r="C28" s="11" t="str">
        <x:v>亡灵</x:v>
      </x:c>
      <x:c r="D28" s="11" t="str">
        <x:v>人</x:v>
      </x:c>
      <x:c r="E28" s="11" t="n">
        <x:v>1</x:v>
      </x:c>
      <x:c r="F28" s="11" t="n">
        <x:v>20</x:v>
      </x:c>
      <x:c r="G28" s="11" t="n">
        <x:v>660</x:v>
      </x:c>
      <x:c r="H28" s="11" t="n">
        <x:f>ROUND(G28*1.5,0)</x:f>
        <x:v>990</x:v>
      </x:c>
      <x:c r="I28" s="11" t="n">
        <x:f>ROUND(G28*3,0)</x:f>
        <x:v>1980</x:v>
      </x:c>
      <x:c r="J28" s="11" t="n">
        <x:f>ROUND(G28*(3*1.15),0)</x:f>
        <x:v>2277</x:v>
      </x:c>
      <x:c r="K28" s="11" t="n">
        <x:v>33</x:v>
      </x:c>
      <x:c r="L28" s="11" t="n">
        <x:f>ROUND(K28*1.5,0)</x:f>
        <x:v>50</x:v>
      </x:c>
      <x:c r="M28" s="11" t="n">
        <x:f>ROUND(K28*3,0)</x:f>
        <x:v>99</x:v>
      </x:c>
      <x:c r="N28" s="11" t="n">
        <x:f>ROUND(K28*(3*1.15),0)</x:f>
        <x:v>114</x:v>
      </x:c>
      <x:c r="O28" s="11" t="n">
        <x:v>5</x:v>
      </x:c>
      <x:c r="P28" s="11" t="n">
        <x:f>ROUND(O28*1.5,0)</x:f>
        <x:v>8</x:v>
      </x:c>
      <x:c r="Q28" s="11" t="n">
        <x:f>ROUND(O28*3,0)</x:f>
        <x:v>15</x:v>
      </x:c>
      <x:c r="R28" s="11" t="n">
        <x:f>ROUND(O28*(3*1.15),0)</x:f>
        <x:v>17</x:v>
      </x:c>
      <x:c r="S28" s="11" t="n">
        <x:v>1</x:v>
      </x:c>
      <x:c r="T28" s="11" t="n">
        <x:v>1</x:v>
      </x:c>
      <x:c r="U28" s="11" t="n">
        <x:v>32</x:v>
      </x:c>
      <x:c r="V28" s="11" t="n">
        <x:v>3.3</x:v>
      </x:c>
      <x:c r="W28" s="11" t="n">
        <x:v>181.5</x:v>
      </x:c>
      <x:c r="X28" s="11" t="str">
        <x:v>5%</x:v>
      </x:c>
      <x:c r="Y28" s="11" t="n">
        <x:v>1.5</x:v>
      </x:c>
      <x:c r="Z28" s="11" t="str">
        <x:v>—</x:v>
      </x:c>
      <x:c r="AA28" s="11" t="str">
        <x:v>—</x:v>
      </x:c>
      <x:c r="AB28" s="11"/>
      <x:c r="AC28" s="11" t="str">
        <x:v>poison_attack</x:v>
      </x:c>
    </x:row>
    <x:row r="29" ht="38" customHeight="1">
      <x:c r="A29" s="15" t="str">
        <x:v>undead_small</x:v>
      </x:c>
      <x:c r="B29" s="15" t="str">
        <x:v>小灵</x:v>
      </x:c>
      <x:c r="C29" s="15" t="str">
        <x:v>亡灵</x:v>
      </x:c>
      <x:c r="D29" s="15" t="str">
        <x:v>天</x:v>
      </x:c>
      <x:c r="E29" s="15" t="n">
        <x:v>1</x:v>
      </x:c>
      <x:c r="F29" s="15" t="n">
        <x:v>10</x:v>
      </x:c>
      <x:c r="G29" s="15" t="n">
        <x:v>600</x:v>
      </x:c>
      <x:c r="H29" s="15" t="n">
        <x:f>ROUND(G29*1.5,0)</x:f>
        <x:v>900</x:v>
      </x:c>
      <x:c r="I29" s="15" t="n">
        <x:f>ROUND(G29*3,0)</x:f>
        <x:v>1800</x:v>
      </x:c>
      <x:c r="J29" s="15" t="n">
        <x:f>ROUND(G29*(3*1.5),0)</x:f>
        <x:v>2700</x:v>
      </x:c>
      <x:c r="K29" s="15" t="n">
        <x:v>24</x:v>
      </x:c>
      <x:c r="L29" s="15" t="n">
        <x:f>ROUND(K29*1.5,0)</x:f>
        <x:v>36</x:v>
      </x:c>
      <x:c r="M29" s="15" t="n">
        <x:f>ROUND(K29*3,0)</x:f>
        <x:v>72</x:v>
      </x:c>
      <x:c r="N29" s="15" t="n">
        <x:f>ROUND(K29*(3*1.5),0)</x:f>
        <x:v>108</x:v>
      </x:c>
      <x:c r="O29" s="15" t="n">
        <x:v>2</x:v>
      </x:c>
      <x:c r="P29" s="15" t="n">
        <x:f>ROUND(O29*1.5,0)</x:f>
        <x:v>3</x:v>
      </x:c>
      <x:c r="Q29" s="15" t="n">
        <x:f>ROUND(O29*3,0)</x:f>
        <x:v>6</x:v>
      </x:c>
      <x:c r="R29" s="15" t="n">
        <x:f>ROUND(O29*(3*1.5),0)</x:f>
        <x:v>9</x:v>
      </x:c>
      <x:c r="S29" s="15" t="n">
        <x:v>1.1</x:v>
      </x:c>
      <x:c r="T29" s="15" t="n">
        <x:v>1</x:v>
      </x:c>
      <x:c r="U29" s="15" t="n">
        <x:v>32</x:v>
      </x:c>
      <x:c r="V29" s="15" t="n">
        <x:v>3.45</x:v>
      </x:c>
      <x:c r="W29" s="15" t="n">
        <x:v>189.75</x:v>
      </x:c>
      <x:c r="X29" s="15" t="str">
        <x:v>5%</x:v>
      </x:c>
      <x:c r="Y29" s="15" t="n">
        <x:v>1.5</x:v>
      </x:c>
      <x:c r="Z29" s="15" t="str">
        <x:v>—</x:v>
      </x:c>
      <x:c r="AA29" s="15" t="str">
        <x:v>—</x:v>
      </x:c>
      <x:c r="AB29" s="15"/>
      <x:c r="AC29" s="15" t="str">
        <x:v>none</x:v>
      </x:c>
    </x:row>
    <x:row r="30" ht="38" customHeight="1">
      <x:c r="A30" s="11" t="str">
        <x:v>undead_bomb</x:v>
      </x:c>
      <x:c r="B30" s="11" t="str">
        <x:v>自爆灵</x:v>
      </x:c>
      <x:c r="C30" s="11" t="str">
        <x:v>亡灵</x:v>
      </x:c>
      <x:c r="D30" s="11" t="str">
        <x:v>人</x:v>
      </x:c>
      <x:c r="E30" s="11" t="n">
        <x:v>2</x:v>
      </x:c>
      <x:c r="F30" s="11" t="n">
        <x:v>30</x:v>
      </x:c>
      <x:c r="G30" s="11" t="n">
        <x:v>600</x:v>
      </x:c>
      <x:c r="H30" s="11" t="n">
        <x:f>ROUND(G30*1.5,0)</x:f>
        <x:v>900</x:v>
      </x:c>
      <x:c r="I30" s="11" t="n">
        <x:f>ROUND(G30*3,0)</x:f>
        <x:v>1800</x:v>
      </x:c>
      <x:c r="J30" s="11" t="n">
        <x:f>ROUND(G30*(3*1.15),0)</x:f>
        <x:v>2070</x:v>
      </x:c>
      <x:c r="K30" s="11" t="n">
        <x:v>145</x:v>
      </x:c>
      <x:c r="L30" s="11" t="n">
        <x:f>ROUND(K30*1.5,0)</x:f>
        <x:v>218</x:v>
      </x:c>
      <x:c r="M30" s="11" t="n">
        <x:f>ROUND(K30*3,0)</x:f>
        <x:v>435</x:v>
      </x:c>
      <x:c r="N30" s="11" t="n">
        <x:f>ROUND(K30*(3*1.15),0)</x:f>
        <x:v>500</x:v>
      </x:c>
      <x:c r="O30" s="11" t="n">
        <x:v>0</x:v>
      </x:c>
      <x:c r="P30" s="11" t="n">
        <x:f>ROUND(O30*1.5,0)</x:f>
        <x:v>0</x:v>
      </x:c>
      <x:c r="Q30" s="11" t="n">
        <x:f>ROUND(O30*3,0)</x:f>
        <x:v>0</x:v>
      </x:c>
      <x:c r="R30" s="11" t="n">
        <x:f>ROUND(O30*(3*1.15),0)</x:f>
        <x:v>0</x:v>
      </x:c>
      <x:c r="S30" s="11" t="n">
        <x:v>0.7</x:v>
      </x:c>
      <x:c r="T30" s="11" t="n">
        <x:v>1</x:v>
      </x:c>
      <x:c r="U30" s="11" t="n">
        <x:v>32</x:v>
      </x:c>
      <x:c r="V30" s="11" t="n">
        <x:v>3</x:v>
      </x:c>
      <x:c r="W30" s="11" t="n">
        <x:v>165</x:v>
      </x:c>
      <x:c r="X30" s="11" t="str">
        <x:v>8%</x:v>
      </x:c>
      <x:c r="Y30" s="11" t="n">
        <x:v>1.6</x:v>
      </x:c>
      <x:c r="Z30" s="11" t="str">
        <x:v>—</x:v>
      </x:c>
      <x:c r="AA30" s="11" t="str">
        <x:v>—</x:v>
      </x:c>
      <x:c r="AB30" s="11"/>
      <x:c r="AC30" s="11" t="str">
        <x:v>death_poison_explosion</x:v>
      </x:c>
    </x:row>
    <x:row r="31" ht="38" customHeight="1">
      <x:c r="A31" s="15" t="str">
        <x:v>undead_fly</x:v>
      </x:c>
      <x:c r="B31" s="15" t="str">
        <x:v>飞灵</x:v>
      </x:c>
      <x:c r="C31" s="15" t="str">
        <x:v>亡灵</x:v>
      </x:c>
      <x:c r="D31" s="15" t="str">
        <x:v>天</x:v>
      </x:c>
      <x:c r="E31" s="15" t="n">
        <x:v>2</x:v>
      </x:c>
      <x:c r="F31" s="15" t="n">
        <x:v>30</x:v>
      </x:c>
      <x:c r="G31" s="15" t="n">
        <x:v>760</x:v>
      </x:c>
      <x:c r="H31" s="15" t="n">
        <x:f>ROUND(G31*1.5,0)</x:f>
        <x:v>1140</x:v>
      </x:c>
      <x:c r="I31" s="15" t="n">
        <x:f>ROUND(G31*3,0)</x:f>
        <x:v>2280</x:v>
      </x:c>
      <x:c r="J31" s="15" t="n">
        <x:f>ROUND(G31*(3*1.15),0)</x:f>
        <x:v>2622</x:v>
      </x:c>
      <x:c r="K31" s="15" t="n">
        <x:v>66</x:v>
      </x:c>
      <x:c r="L31" s="15" t="n">
        <x:f>ROUND(K31*1.5,0)</x:f>
        <x:v>99</x:v>
      </x:c>
      <x:c r="M31" s="15" t="n">
        <x:f>ROUND(K31*3,0)</x:f>
        <x:v>198</x:v>
      </x:c>
      <x:c r="N31" s="15" t="n">
        <x:f>ROUND(K31*(3*1.15),0)</x:f>
        <x:v>228</x:v>
      </x:c>
      <x:c r="O31" s="15" t="n">
        <x:v>4</x:v>
      </x:c>
      <x:c r="P31" s="15" t="n">
        <x:f>ROUND(O31*1.5,0)</x:f>
        <x:v>6</x:v>
      </x:c>
      <x:c r="Q31" s="15" t="n">
        <x:f>ROUND(O31*3,0)</x:f>
        <x:v>12</x:v>
      </x:c>
      <x:c r="R31" s="15" t="n">
        <x:f>ROUND(O31*(3*1.15),0)</x:f>
        <x:v>14</x:v>
      </x:c>
      <x:c r="S31" s="15" t="n">
        <x:v>1.2</x:v>
      </x:c>
      <x:c r="T31" s="15" t="n">
        <x:v>1</x:v>
      </x:c>
      <x:c r="U31" s="15" t="n">
        <x:v>32</x:v>
      </x:c>
      <x:c r="V31" s="15" t="n">
        <x:v>3.55</x:v>
      </x:c>
      <x:c r="W31" s="15" t="n">
        <x:v>195.25</x:v>
      </x:c>
      <x:c r="X31" s="15" t="str">
        <x:v>10%</x:v>
      </x:c>
      <x:c r="Y31" s="15" t="n">
        <x:v>1.6</x:v>
      </x:c>
      <x:c r="Z31" s="15" t="n">
        <x:v>0.25</x:v>
      </x:c>
      <x:c r="AA31" s="15" t="n">
        <x:v>0.4</x:v>
      </x:c>
      <x:c r="AB31" s="15"/>
      <x:c r="AC31" s="15" t="str">
        <x:v>poison_attack</x:v>
      </x:c>
    </x:row>
    <x:row r="32" ht="38" customHeight="1">
      <x:c r="A32" s="11" t="str">
        <x:v>undead_parasite</x:v>
      </x:c>
      <x:c r="B32" s="11" t="str">
        <x:v>寄生灵</x:v>
      </x:c>
      <x:c r="C32" s="11" t="str">
        <x:v>亡灵</x:v>
      </x:c>
      <x:c r="D32" s="11" t="str">
        <x:v>人</x:v>
      </x:c>
      <x:c r="E32" s="11" t="n">
        <x:v>2</x:v>
      </x:c>
      <x:c r="F32" s="11" t="n">
        <x:v>30</x:v>
      </x:c>
      <x:c r="G32" s="11" t="n">
        <x:v>840</x:v>
      </x:c>
      <x:c r="H32" s="11" t="n">
        <x:f>ROUND(G32*1.5,0)</x:f>
        <x:v>1260</x:v>
      </x:c>
      <x:c r="I32" s="11" t="n">
        <x:f>ROUND(G32*3,0)</x:f>
        <x:v>2520</x:v>
      </x:c>
      <x:c r="J32" s="11" t="n">
        <x:f>ROUND(G32*(3*1.15),0)</x:f>
        <x:v>2898</x:v>
      </x:c>
      <x:c r="K32" s="11" t="n">
        <x:v>57</x:v>
      </x:c>
      <x:c r="L32" s="11" t="n">
        <x:f>ROUND(K32*1.5,0)</x:f>
        <x:v>86</x:v>
      </x:c>
      <x:c r="M32" s="11" t="n">
        <x:f>ROUND(K32*3,0)</x:f>
        <x:v>171</x:v>
      </x:c>
      <x:c r="N32" s="11" t="n">
        <x:f>ROUND(K32*(3*1.15),0)</x:f>
        <x:v>197</x:v>
      </x:c>
      <x:c r="O32" s="11" t="n">
        <x:v>7</x:v>
      </x:c>
      <x:c r="P32" s="11" t="n">
        <x:f>ROUND(O32*1.5,0)</x:f>
        <x:v>11</x:v>
      </x:c>
      <x:c r="Q32" s="11" t="n">
        <x:f>ROUND(O32*3,0)</x:f>
        <x:v>21</x:v>
      </x:c>
      <x:c r="R32" s="11" t="n">
        <x:f>ROUND(O32*(3*1.15),0)</x:f>
        <x:v>24</x:v>
      </x:c>
      <x:c r="S32" s="11" t="n">
        <x:v>0.9</x:v>
      </x:c>
      <x:c r="T32" s="11" t="n">
        <x:v>1</x:v>
      </x:c>
      <x:c r="U32" s="11" t="n">
        <x:v>32</x:v>
      </x:c>
      <x:c r="V32" s="11" t="n">
        <x:v>3.15</x:v>
      </x:c>
      <x:c r="W32" s="11" t="n">
        <x:v>173.25</x:v>
      </x:c>
      <x:c r="X32" s="11" t="str">
        <x:v>8%</x:v>
      </x:c>
      <x:c r="Y32" s="11" t="n">
        <x:v>1.6</x:v>
      </x:c>
      <x:c r="Z32" s="11" t="str">
        <x:v>—</x:v>
      </x:c>
      <x:c r="AA32" s="11" t="str">
        <x:v>—</x:v>
      </x:c>
      <x:c r="AB32" s="11"/>
      <x:c r="AC32" s="11" t="str">
        <x:v>parasite_on_kill</x:v>
      </x:c>
    </x:row>
    <x:row r="33" ht="38" customHeight="1">
      <x:c r="A33" s="15" t="str">
        <x:v>undead_spike</x:v>
      </x:c>
      <x:c r="B33" s="15" t="str">
        <x:v>刺灵</x:v>
      </x:c>
      <x:c r="C33" s="15" t="str">
        <x:v>亡灵</x:v>
      </x:c>
      <x:c r="D33" s="15" t="str">
        <x:v>天</x:v>
      </x:c>
      <x:c r="E33" s="15" t="n">
        <x:v>2</x:v>
      </x:c>
      <x:c r="F33" s="15" t="n">
        <x:v>30</x:v>
      </x:c>
      <x:c r="G33" s="15" t="n">
        <x:v>800</x:v>
      </x:c>
      <x:c r="H33" s="15" t="n">
        <x:f>ROUND(G33*1.5,0)</x:f>
        <x:v>1200</x:v>
      </x:c>
      <x:c r="I33" s="15" t="n">
        <x:f>ROUND(G33*3,0)</x:f>
        <x:v>2400</x:v>
      </x:c>
      <x:c r="J33" s="15" t="n">
        <x:f>ROUND(G33*(3*1.15),0)</x:f>
        <x:v>2760</x:v>
      </x:c>
      <x:c r="K33" s="15" t="n">
        <x:v>62</x:v>
      </x:c>
      <x:c r="L33" s="15" t="n">
        <x:f>ROUND(K33*1.5,0)</x:f>
        <x:v>93</x:v>
      </x:c>
      <x:c r="M33" s="15" t="n">
        <x:f>ROUND(K33*3,0)</x:f>
        <x:v>186</x:v>
      </x:c>
      <x:c r="N33" s="15" t="n">
        <x:f>ROUND(K33*(3*1.15),0)</x:f>
        <x:v>214</x:v>
      </x:c>
      <x:c r="O33" s="15" t="n">
        <x:v>6</x:v>
      </x:c>
      <x:c r="P33" s="15" t="n">
        <x:f>ROUND(O33*1.5,0)</x:f>
        <x:v>9</x:v>
      </x:c>
      <x:c r="Q33" s="15" t="n">
        <x:f>ROUND(O33*3,0)</x:f>
        <x:v>18</x:v>
      </x:c>
      <x:c r="R33" s="15" t="n">
        <x:f>ROUND(O33*(3*1.15),0)</x:f>
        <x:v>21</x:v>
      </x:c>
      <x:c r="S33" s="15" t="n">
        <x:v>1.1</x:v>
      </x:c>
      <x:c r="T33" s="15" t="n">
        <x:v>4</x:v>
      </x:c>
      <x:c r="U33" s="15" t="n">
        <x:v>248</x:v>
      </x:c>
      <x:c r="V33" s="15" t="n">
        <x:v>3.25</x:v>
      </x:c>
      <x:c r="W33" s="15" t="n">
        <x:v>178.75</x:v>
      </x:c>
      <x:c r="X33" s="15" t="str">
        <x:v>15%</x:v>
      </x:c>
      <x:c r="Y33" s="15" t="n">
        <x:v>1.6</x:v>
      </x:c>
      <x:c r="Z33" s="15" t="str">
        <x:v>—</x:v>
      </x:c>
      <x:c r="AA33" s="15" t="str">
        <x:v>—</x:v>
      </x:c>
      <x:c r="AB33" s="15"/>
      <x:c r="AC33" s="15" t="str">
        <x:v>defense_down_attack</x:v>
      </x:c>
    </x:row>
    <x:row r="34" ht="38" customHeight="1">
      <x:c r="A34" s="11" t="str">
        <x:v>undead_titan</x:v>
      </x:c>
      <x:c r="B34" s="11" t="str">
        <x:v>巨甲灵</x:v>
      </x:c>
      <x:c r="C34" s="11" t="str">
        <x:v>亡灵</x:v>
      </x:c>
      <x:c r="D34" s="11" t="str">
        <x:v>地</x:v>
      </x:c>
      <x:c r="E34" s="11" t="n">
        <x:v>2</x:v>
      </x:c>
      <x:c r="F34" s="11" t="n">
        <x:v>30</x:v>
      </x:c>
      <x:c r="G34" s="11" t="n">
        <x:v>1500</x:v>
      </x:c>
      <x:c r="H34" s="11" t="n">
        <x:f>ROUND(G34*1.5,0)</x:f>
        <x:v>2250</x:v>
      </x:c>
      <x:c r="I34" s="11" t="n">
        <x:f>ROUND(G34*3,0)</x:f>
        <x:v>4500</x:v>
      </x:c>
      <x:c r="J34" s="11" t="n">
        <x:f>ROUND(G34*(3*1.15),0)</x:f>
        <x:v>5175</x:v>
      </x:c>
      <x:c r="K34" s="11" t="n">
        <x:v>50</x:v>
      </x:c>
      <x:c r="L34" s="11" t="n">
        <x:f>ROUND(K34*1.5,0)</x:f>
        <x:v>75</x:v>
      </x:c>
      <x:c r="M34" s="11" t="n">
        <x:f>ROUND(K34*3,0)</x:f>
        <x:v>150</x:v>
      </x:c>
      <x:c r="N34" s="11" t="n">
        <x:f>ROUND(K34*(3*1.15),0)</x:f>
        <x:v>173</x:v>
      </x:c>
      <x:c r="O34" s="11" t="n">
        <x:v>21</x:v>
      </x:c>
      <x:c r="P34" s="11" t="n">
        <x:f>ROUND(O34*1.5,0)</x:f>
        <x:v>32</x:v>
      </x:c>
      <x:c r="Q34" s="11" t="n">
        <x:f>ROUND(O34*3,0)</x:f>
        <x:v>63</x:v>
      </x:c>
      <x:c r="R34" s="11" t="n">
        <x:f>ROUND(O34*(3*1.15),0)</x:f>
        <x:v>72</x:v>
      </x:c>
      <x:c r="S34" s="11" t="n">
        <x:v>0.9</x:v>
      </x:c>
      <x:c r="T34" s="11" t="n">
        <x:v>1</x:v>
      </x:c>
      <x:c r="U34" s="11" t="n">
        <x:v>32</x:v>
      </x:c>
      <x:c r="V34" s="11" t="n">
        <x:v>2.8</x:v>
      </x:c>
      <x:c r="W34" s="11" t="n">
        <x:v>154</x:v>
      </x:c>
      <x:c r="X34" s="11" t="str">
        <x:v>5%</x:v>
      </x:c>
      <x:c r="Y34" s="11" t="n">
        <x:v>1.5</x:v>
      </x:c>
      <x:c r="Z34" s="11" t="str">
        <x:v>—</x:v>
      </x:c>
      <x:c r="AA34" s="11" t="str">
        <x:v>—</x:v>
      </x:c>
      <x:c r="AB34" s="11"/>
      <x:c r="AC34" s="11" t="str">
        <x:v>poison_reflect_armor_stack</x:v>
      </x:c>
    </x:row>
    <x:row r="35" ht="38" customHeight="1">
      <x:c r="A35" s="15" t="str">
        <x:v>undead_mother</x:v>
      </x:c>
      <x:c r="B35" s="15" t="str">
        <x:v>母灵</x:v>
      </x:c>
      <x:c r="C35" s="15" t="str">
        <x:v>亡灵</x:v>
      </x:c>
      <x:c r="D35" s="15" t="str">
        <x:v>地</x:v>
      </x:c>
      <x:c r="E35" s="15" t="n">
        <x:v>3</x:v>
      </x:c>
      <x:c r="F35" s="15" t="n">
        <x:v>50</x:v>
      </x:c>
      <x:c r="G35" s="15" t="n">
        <x:v>1600</x:v>
      </x:c>
      <x:c r="H35" s="15" t="n">
        <x:f>ROUND(G35*1.5,0)</x:f>
        <x:v>2400</x:v>
      </x:c>
      <x:c r="I35" s="15" t="n">
        <x:f>ROUND(G35*3,0)</x:f>
        <x:v>4800</x:v>
      </x:c>
      <x:c r="J35" s="15" t="n">
        <x:f>ROUND(G35*(3*1.15),0)</x:f>
        <x:v>5520</x:v>
      </x:c>
      <x:c r="K35" s="15" t="n">
        <x:v>110</x:v>
      </x:c>
      <x:c r="L35" s="15" t="n">
        <x:f>ROUND(K35*1.5,0)</x:f>
        <x:v>165</x:v>
      </x:c>
      <x:c r="M35" s="15" t="n">
        <x:f>ROUND(K35*3,0)</x:f>
        <x:v>330</x:v>
      </x:c>
      <x:c r="N35" s="15" t="n">
        <x:f>ROUND(K35*(3*1.15),0)</x:f>
        <x:v>379</x:v>
      </x:c>
      <x:c r="O35" s="15" t="n">
        <x:v>18</x:v>
      </x:c>
      <x:c r="P35" s="15" t="n">
        <x:f>ROUND(O35*1.5,0)</x:f>
        <x:v>27</x:v>
      </x:c>
      <x:c r="Q35" s="15" t="n">
        <x:f>ROUND(O35*3,0)</x:f>
        <x:v>54</x:v>
      </x:c>
      <x:c r="R35" s="15" t="n">
        <x:f>ROUND(O35*(3*1.15),0)</x:f>
        <x:v>62</x:v>
      </x:c>
      <x:c r="S35" s="15" t="n">
        <x:v>0.82</x:v>
      </x:c>
      <x:c r="T35" s="15" t="n">
        <x:v>4</x:v>
      </x:c>
      <x:c r="U35" s="15" t="n">
        <x:v>248</x:v>
      </x:c>
      <x:c r="V35" s="15" t="n">
        <x:v>3</x:v>
      </x:c>
      <x:c r="W35" s="15" t="n">
        <x:v>165</x:v>
      </x:c>
      <x:c r="X35" s="15" t="str">
        <x:v>10%</x:v>
      </x:c>
      <x:c r="Y35" s="15" t="n">
        <x:v>1.75</x:v>
      </x:c>
      <x:c r="Z35" s="15" t="str">
        <x:v>—</x:v>
      </x:c>
      <x:c r="AA35" s="15" t="str">
        <x:v>—</x:v>
      </x:c>
      <x:c r="AB35" s="15" t="str">
        <x:v>是</x:v>
      </x:c>
      <x:c r="AC35" s="15" t="str">
        <x:v>unique_death_execute</x:v>
      </x:c>
    </x:row>
    <x:row r="36" ht="38" customHeight="1">
      <x:c r="A36" s="11" t="str">
        <x:v>crimson</x:v>
      </x:c>
      <x:c r="B36" s="11" t="str">
        <x:v>赤卫</x:v>
      </x:c>
      <x:c r="C36" s="11" t="str">
        <x:v>赤族</x:v>
      </x:c>
      <x:c r="D36" s="11" t="str">
        <x:v>地</x:v>
      </x:c>
      <x:c r="E36" s="11" t="n">
        <x:v>1</x:v>
      </x:c>
      <x:c r="F36" s="11" t="n">
        <x:v>20</x:v>
      </x:c>
      <x:c r="G36" s="11" t="n">
        <x:v>650</x:v>
      </x:c>
      <x:c r="H36" s="11" t="n">
        <x:f>ROUND(G36*1.5,0)</x:f>
        <x:v>975</x:v>
      </x:c>
      <x:c r="I36" s="11" t="n">
        <x:f>ROUND(G36*3,0)</x:f>
        <x:v>1950</x:v>
      </x:c>
      <x:c r="J36" s="11" t="n">
        <x:f>ROUND(G36*(3*1.15),0)</x:f>
        <x:v>2243</x:v>
      </x:c>
      <x:c r="K36" s="11" t="n">
        <x:v>31</x:v>
      </x:c>
      <x:c r="L36" s="11" t="n">
        <x:f>ROUND(K36*1.5,0)</x:f>
        <x:v>47</x:v>
      </x:c>
      <x:c r="M36" s="11" t="n">
        <x:f>ROUND(K36*3,0)</x:f>
        <x:v>93</x:v>
      </x:c>
      <x:c r="N36" s="11" t="n">
        <x:f>ROUND(K36*(3*1.15),0)</x:f>
        <x:v>107</x:v>
      </x:c>
      <x:c r="O36" s="11" t="n">
        <x:v>7</x:v>
      </x:c>
      <x:c r="P36" s="11" t="n">
        <x:f>ROUND(O36*1.5,0)</x:f>
        <x:v>11</x:v>
      </x:c>
      <x:c r="Q36" s="11" t="n">
        <x:f>ROUND(O36*3,0)</x:f>
        <x:v>21</x:v>
      </x:c>
      <x:c r="R36" s="11" t="n">
        <x:f>ROUND(O36*(3*1.15),0)</x:f>
        <x:v>24</x:v>
      </x:c>
      <x:c r="S36" s="11" t="n">
        <x:v>0.9</x:v>
      </x:c>
      <x:c r="T36" s="11" t="n">
        <x:v>1</x:v>
      </x:c>
      <x:c r="U36" s="11" t="n">
        <x:v>32</x:v>
      </x:c>
      <x:c r="V36" s="11" t="n">
        <x:v>3.1</x:v>
      </x:c>
      <x:c r="W36" s="11" t="n">
        <x:v>170.5</x:v>
      </x:c>
      <x:c r="X36" s="11" t="str">
        <x:v>5%</x:v>
      </x:c>
      <x:c r="Y36" s="11" t="n">
        <x:v>1.5</x:v>
      </x:c>
      <x:c r="Z36" s="11" t="str">
        <x:v>—</x:v>
      </x:c>
      <x:c r="AA36" s="11" t="str">
        <x:v>—</x:v>
      </x:c>
      <x:c r="AB36" s="11"/>
      <x:c r="AC36" s="11" t="str">
        <x:v>block_guard</x:v>
      </x:c>
    </x:row>
    <x:row r="37" ht="38" customHeight="1">
      <x:c r="A37" s="15" t="str">
        <x:v>dancer</x:v>
      </x:c>
      <x:c r="B37" s="15" t="str">
        <x:v>赤舞者</x:v>
      </x:c>
      <x:c r="C37" s="15" t="str">
        <x:v>赤族</x:v>
      </x:c>
      <x:c r="D37" s="15" t="str">
        <x:v>人</x:v>
      </x:c>
      <x:c r="E37" s="15" t="n">
        <x:v>1</x:v>
      </x:c>
      <x:c r="F37" s="15" t="n">
        <x:v>20</x:v>
      </x:c>
      <x:c r="G37" s="15" t="n">
        <x:v>540</x:v>
      </x:c>
      <x:c r="H37" s="15" t="n">
        <x:f>ROUND(G37*1.5,0)</x:f>
        <x:v>810</x:v>
      </x:c>
      <x:c r="I37" s="15" t="n">
        <x:f>ROUND(G37*3,0)</x:f>
        <x:v>1620</x:v>
      </x:c>
      <x:c r="J37" s="15" t="n">
        <x:f>ROUND(G37*(3*1.15),0)</x:f>
        <x:v>1863</x:v>
      </x:c>
      <x:c r="K37" s="15" t="n">
        <x:v>28</x:v>
      </x:c>
      <x:c r="L37" s="15" t="n">
        <x:f>ROUND(K37*1.5,0)</x:f>
        <x:v>42</x:v>
      </x:c>
      <x:c r="M37" s="15" t="n">
        <x:f>ROUND(K37*3,0)</x:f>
        <x:v>84</x:v>
      </x:c>
      <x:c r="N37" s="15" t="n">
        <x:f>ROUND(K37*(3*1.15),0)</x:f>
        <x:v>97</x:v>
      </x:c>
      <x:c r="O37" s="15" t="n">
        <x:v>3</x:v>
      </x:c>
      <x:c r="P37" s="15" t="n">
        <x:f>ROUND(O37*1.5,0)</x:f>
        <x:v>5</x:v>
      </x:c>
      <x:c r="Q37" s="15" t="n">
        <x:f>ROUND(O37*3,0)</x:f>
        <x:v>9</x:v>
      </x:c>
      <x:c r="R37" s="15" t="n">
        <x:f>ROUND(O37*(3*1.15),0)</x:f>
        <x:v>10</x:v>
      </x:c>
      <x:c r="S37" s="15" t="n">
        <x:v>0.95</x:v>
      </x:c>
      <x:c r="T37" s="15" t="n">
        <x:v>2</x:v>
      </x:c>
      <x:c r="U37" s="15" t="n">
        <x:v>104</x:v>
      </x:c>
      <x:c r="V37" s="15" t="n">
        <x:v>3.2</x:v>
      </x:c>
      <x:c r="W37" s="15" t="n">
        <x:v>176</x:v>
      </x:c>
      <x:c r="X37" s="15" t="str">
        <x:v>5%</x:v>
      </x:c>
      <x:c r="Y37" s="15" t="n">
        <x:v>1.5</x:v>
      </x:c>
      <x:c r="Z37" s="15" t="str">
        <x:v>—</x:v>
      </x:c>
      <x:c r="AA37" s="15" t="str">
        <x:v>—</x:v>
      </x:c>
      <x:c r="AB37" s="15"/>
      <x:c r="AC37" s="15" t="str">
        <x:v>random_ally_buff</x:v>
      </x:c>
    </x:row>
    <x:row r="38" ht="38" customHeight="1">
      <x:c r="A38" s="11" t="str">
        <x:v>drumer</x:v>
      </x:c>
      <x:c r="B38" s="11" t="str">
        <x:v>战鼓使</x:v>
      </x:c>
      <x:c r="C38" s="11" t="str">
        <x:v>赤族</x:v>
      </x:c>
      <x:c r="D38" s="11" t="str">
        <x:v>人</x:v>
      </x:c>
      <x:c r="E38" s="11" t="n">
        <x:v>2</x:v>
      </x:c>
      <x:c r="F38" s="11" t="n">
        <x:v>30</x:v>
      </x:c>
      <x:c r="G38" s="11" t="n">
        <x:v>980</x:v>
      </x:c>
      <x:c r="H38" s="11" t="n">
        <x:f>ROUND(G38*1.5,0)</x:f>
        <x:v>1470</x:v>
      </x:c>
      <x:c r="I38" s="11" t="n">
        <x:f>ROUND(G38*3,0)</x:f>
        <x:v>2940</x:v>
      </x:c>
      <x:c r="J38" s="11" t="n">
        <x:f>ROUND(G38*(3*1.15),0)</x:f>
        <x:v>3381</x:v>
      </x:c>
      <x:c r="K38" s="11" t="n">
        <x:v>52</x:v>
      </x:c>
      <x:c r="L38" s="11" t="n">
        <x:f>ROUND(K38*1.5,0)</x:f>
        <x:v>78</x:v>
      </x:c>
      <x:c r="M38" s="11" t="n">
        <x:f>ROUND(K38*3,0)</x:f>
        <x:v>156</x:v>
      </x:c>
      <x:c r="N38" s="11" t="n">
        <x:f>ROUND(K38*(3*1.15),0)</x:f>
        <x:v>179</x:v>
      </x:c>
      <x:c r="O38" s="11" t="n">
        <x:v>9</x:v>
      </x:c>
      <x:c r="P38" s="11" t="n">
        <x:f>ROUND(O38*1.5,0)</x:f>
        <x:v>14</x:v>
      </x:c>
      <x:c r="Q38" s="11" t="n">
        <x:f>ROUND(O38*3,0)</x:f>
        <x:v>27</x:v>
      </x:c>
      <x:c r="R38" s="11" t="n">
        <x:f>ROUND(O38*(3*1.15),0)</x:f>
        <x:v>31</x:v>
      </x:c>
      <x:c r="S38" s="11" t="n">
        <x:v>1</x:v>
      </x:c>
      <x:c r="T38" s="11" t="n">
        <x:v>1</x:v>
      </x:c>
      <x:c r="U38" s="11" t="n">
        <x:v>32</x:v>
      </x:c>
      <x:c r="V38" s="11" t="n">
        <x:v>3.15</x:v>
      </x:c>
      <x:c r="W38" s="11" t="n">
        <x:v>173.25</x:v>
      </x:c>
      <x:c r="X38" s="11" t="str">
        <x:v>8%</x:v>
      </x:c>
      <x:c r="Y38" s="11" t="n">
        <x:v>1.6</x:v>
      </x:c>
      <x:c r="Z38" s="11" t="str">
        <x:v>—</x:v>
      </x:c>
      <x:c r="AA38" s="11" t="str">
        <x:v>—</x:v>
      </x:c>
      <x:c r="AB38" s="11"/>
      <x:c r="AC38" s="11" t="str">
        <x:v>team_random_stack</x:v>
      </x:c>
    </x:row>
    <x:row r="39" ht="38" customHeight="1">
      <x:c r="A39" s="15" t="str">
        <x:v>hunter</x:v>
      </x:c>
      <x:c r="B39" s="15" t="str">
        <x:v>血猎者</x:v>
      </x:c>
      <x:c r="C39" s="15" t="str">
        <x:v>赤族</x:v>
      </x:c>
      <x:c r="D39" s="15" t="str">
        <x:v>天</x:v>
      </x:c>
      <x:c r="E39" s="15" t="n">
        <x:v>2</x:v>
      </x:c>
      <x:c r="F39" s="15" t="n">
        <x:v>30</x:v>
      </x:c>
      <x:c r="G39" s="15" t="n">
        <x:v>760</x:v>
      </x:c>
      <x:c r="H39" s="15" t="n">
        <x:f>ROUND(G39*1.5,0)</x:f>
        <x:v>1140</x:v>
      </x:c>
      <x:c r="I39" s="15" t="n">
        <x:f>ROUND(G39*3,0)</x:f>
        <x:v>2280</x:v>
      </x:c>
      <x:c r="J39" s="15" t="n">
        <x:f>ROUND(G39*(3*1.15),0)</x:f>
        <x:v>2622</x:v>
      </x:c>
      <x:c r="K39" s="15" t="n">
        <x:v>56</x:v>
      </x:c>
      <x:c r="L39" s="15" t="n">
        <x:f>ROUND(K39*1.5,0)</x:f>
        <x:v>84</x:v>
      </x:c>
      <x:c r="M39" s="15" t="n">
        <x:f>ROUND(K39*3,0)</x:f>
        <x:v>168</x:v>
      </x:c>
      <x:c r="N39" s="15" t="n">
        <x:f>ROUND(K39*(3*1.15),0)</x:f>
        <x:v>193</x:v>
      </x:c>
      <x:c r="O39" s="15" t="n">
        <x:v>4</x:v>
      </x:c>
      <x:c r="P39" s="15" t="n">
        <x:f>ROUND(O39*1.5,0)</x:f>
        <x:v>6</x:v>
      </x:c>
      <x:c r="Q39" s="15" t="n">
        <x:f>ROUND(O39*3,0)</x:f>
        <x:v>12</x:v>
      </x:c>
      <x:c r="R39" s="15" t="n">
        <x:f>ROUND(O39*(3*1.15),0)</x:f>
        <x:v>14</x:v>
      </x:c>
      <x:c r="S39" s="15" t="n">
        <x:v>0.8</x:v>
      </x:c>
      <x:c r="T39" s="15" t="n">
        <x:v>4</x:v>
      </x:c>
      <x:c r="U39" s="15" t="n">
        <x:v>248</x:v>
      </x:c>
      <x:c r="V39" s="15" t="n">
        <x:v>3.25</x:v>
      </x:c>
      <x:c r="W39" s="15" t="n">
        <x:v>178.75</x:v>
      </x:c>
      <x:c r="X39" s="15" t="str">
        <x:v>8%</x:v>
      </x:c>
      <x:c r="Y39" s="15" t="n">
        <x:v>1.6</x:v>
      </x:c>
      <x:c r="Z39" s="15" t="str">
        <x:v>—</x:v>
      </x:c>
      <x:c r="AA39" s="15" t="str">
        <x:v>—</x:v>
      </x:c>
      <x:c r="AB39" s="15"/>
      <x:c r="AC39" s="15" t="str">
        <x:v>current_hp_strike</x:v>
      </x:c>
    </x:row>
    <x:row r="40" ht="38" customHeight="1">
      <x:c r="A40" s="11" t="str">
        <x:v>armbreaker</x:v>
      </x:c>
      <x:c r="B40" s="11" t="str">
        <x:v>破甲者</x:v>
      </x:c>
      <x:c r="C40" s="11" t="str">
        <x:v>赤族</x:v>
      </x:c>
      <x:c r="D40" s="11" t="str">
        <x:v>地</x:v>
      </x:c>
      <x:c r="E40" s="11" t="n">
        <x:v>2</x:v>
      </x:c>
      <x:c r="F40" s="11" t="n">
        <x:v>30</x:v>
      </x:c>
      <x:c r="G40" s="11" t="n">
        <x:v>1180</x:v>
      </x:c>
      <x:c r="H40" s="11" t="n">
        <x:f>ROUND(G40*1.5,0)</x:f>
        <x:v>1770</x:v>
      </x:c>
      <x:c r="I40" s="11" t="n">
        <x:f>ROUND(G40*3,0)</x:f>
        <x:v>3540</x:v>
      </x:c>
      <x:c r="J40" s="11" t="n">
        <x:f>ROUND(G40*(3*1.15),0)</x:f>
        <x:v>4071</x:v>
      </x:c>
      <x:c r="K40" s="11" t="n">
        <x:v>54</x:v>
      </x:c>
      <x:c r="L40" s="11" t="n">
        <x:f>ROUND(K40*1.5,0)</x:f>
        <x:v>81</x:v>
      </x:c>
      <x:c r="M40" s="11" t="n">
        <x:f>ROUND(K40*3,0)</x:f>
        <x:v>162</x:v>
      </x:c>
      <x:c r="N40" s="11" t="n">
        <x:f>ROUND(K40*(3*1.15),0)</x:f>
        <x:v>186</x:v>
      </x:c>
      <x:c r="O40" s="11" t="n">
        <x:v>12</x:v>
      </x:c>
      <x:c r="P40" s="11" t="n">
        <x:f>ROUND(O40*1.5,0)</x:f>
        <x:v>18</x:v>
      </x:c>
      <x:c r="Q40" s="11" t="n">
        <x:f>ROUND(O40*3,0)</x:f>
        <x:v>36</x:v>
      </x:c>
      <x:c r="R40" s="11" t="n">
        <x:f>ROUND(O40*(3*1.15),0)</x:f>
        <x:v>41</x:v>
      </x:c>
      <x:c r="S40" s="11" t="n">
        <x:v>0.9</x:v>
      </x:c>
      <x:c r="T40" s="11" t="n">
        <x:v>1</x:v>
      </x:c>
      <x:c r="U40" s="11" t="n">
        <x:v>32</x:v>
      </x:c>
      <x:c r="V40" s="11" t="n">
        <x:v>3.05</x:v>
      </x:c>
      <x:c r="W40" s="11" t="n">
        <x:v>167.75</x:v>
      </x:c>
      <x:c r="X40" s="11" t="str">
        <x:v>8%</x:v>
      </x:c>
      <x:c r="Y40" s="11" t="n">
        <x:v>1.6</x:v>
      </x:c>
      <x:c r="Z40" s="11" t="str">
        <x:v>—</x:v>
      </x:c>
      <x:c r="AA40" s="11" t="str">
        <x:v>—</x:v>
      </x:c>
      <x:c r="AB40" s="11"/>
      <x:c r="AC40" s="11" t="str">
        <x:v>stacking_def_break</x:v>
      </x:c>
    </x:row>
    <x:row r="41" ht="38" customHeight="1">
      <x:c r="A41" s="15" t="str">
        <x:v>Icey</x:v>
      </x:c>
      <x:c r="B41" s="15" t="str">
        <x:v>霜印使</x:v>
      </x:c>
      <x:c r="C41" s="15" t="str">
        <x:v>赤族</x:v>
      </x:c>
      <x:c r="D41" s="15" t="str">
        <x:v>天</x:v>
      </x:c>
      <x:c r="E41" s="15" t="n">
        <x:v>2</x:v>
      </x:c>
      <x:c r="F41" s="15" t="n">
        <x:v>30</x:v>
      </x:c>
      <x:c r="G41" s="15" t="n">
        <x:v>780</x:v>
      </x:c>
      <x:c r="H41" s="15" t="n">
        <x:f>ROUND(G41*1.5,0)</x:f>
        <x:v>1170</x:v>
      </x:c>
      <x:c r="I41" s="15" t="n">
        <x:f>ROUND(G41*3,0)</x:f>
        <x:v>2340</x:v>
      </x:c>
      <x:c r="J41" s="15" t="n">
        <x:f>ROUND(G41*(3*1.15),0)</x:f>
        <x:v>2691</x:v>
      </x:c>
      <x:c r="K41" s="15" t="n">
        <x:v>68</x:v>
      </x:c>
      <x:c r="L41" s="15" t="n">
        <x:f>ROUND(K41*1.5,0)</x:f>
        <x:v>102</x:v>
      </x:c>
      <x:c r="M41" s="15" t="n">
        <x:f>ROUND(K41*3,0)</x:f>
        <x:v>204</x:v>
      </x:c>
      <x:c r="N41" s="15" t="n">
        <x:f>ROUND(K41*(3*1.15),0)</x:f>
        <x:v>235</x:v>
      </x:c>
      <x:c r="O41" s="15" t="n">
        <x:v>4</x:v>
      </x:c>
      <x:c r="P41" s="15" t="n">
        <x:f>ROUND(O41*1.5,0)</x:f>
        <x:v>6</x:v>
      </x:c>
      <x:c r="Q41" s="15" t="n">
        <x:f>ROUND(O41*3,0)</x:f>
        <x:v>12</x:v>
      </x:c>
      <x:c r="R41" s="15" t="n">
        <x:f>ROUND(O41*(3*1.15),0)</x:f>
        <x:v>14</x:v>
      </x:c>
      <x:c r="S41" s="15" t="n">
        <x:v>0.85</x:v>
      </x:c>
      <x:c r="T41" s="15" t="n">
        <x:v>4</x:v>
      </x:c>
      <x:c r="U41" s="15" t="n">
        <x:v>248</x:v>
      </x:c>
      <x:c r="V41" s="15" t="n">
        <x:v>3.2</x:v>
      </x:c>
      <x:c r="W41" s="15" t="n">
        <x:v>176</x:v>
      </x:c>
      <x:c r="X41" s="15" t="str">
        <x:v>8%</x:v>
      </x:c>
      <x:c r="Y41" s="15" t="n">
        <x:v>1.6</x:v>
      </x:c>
      <x:c r="Z41" s="15" t="str">
        <x:v>—</x:v>
      </x:c>
      <x:c r="AA41" s="15" t="str">
        <x:v>—</x:v>
      </x:c>
      <x:c r="AB41" s="15"/>
      <x:c r="AC41" s="15" t="str">
        <x:v>frost_status</x:v>
      </x:c>
    </x:row>
    <x:row r="42" ht="38" customHeight="1">
      <x:c r="A42" s="11" t="str">
        <x:v>skypierce</x:v>
      </x:c>
      <x:c r="B42" s="11" t="str">
        <x:v>穿云弩手</x:v>
      </x:c>
      <x:c r="C42" s="11" t="str">
        <x:v>赤族</x:v>
      </x:c>
      <x:c r="D42" s="11" t="str">
        <x:v>天</x:v>
      </x:c>
      <x:c r="E42" s="11" t="n">
        <x:v>3</x:v>
      </x:c>
      <x:c r="F42" s="11" t="n">
        <x:v>50</x:v>
      </x:c>
      <x:c r="G42" s="11" t="n">
        <x:v>1500</x:v>
      </x:c>
      <x:c r="H42" s="11" t="n">
        <x:f>ROUND(G42*1.5,0)</x:f>
        <x:v>2250</x:v>
      </x:c>
      <x:c r="I42" s="11" t="n">
        <x:f>ROUND(G42*3,0)</x:f>
        <x:v>4500</x:v>
      </x:c>
      <x:c r="J42" s="11" t="n">
        <x:f>ROUND(G42*(3*1.15),0)</x:f>
        <x:v>5175</x:v>
      </x:c>
      <x:c r="K42" s="11" t="n">
        <x:v>104</x:v>
      </x:c>
      <x:c r="L42" s="11" t="n">
        <x:f>ROUND(K42*1.5,0)</x:f>
        <x:v>156</x:v>
      </x:c>
      <x:c r="M42" s="11" t="n">
        <x:f>ROUND(K42*3,0)</x:f>
        <x:v>312</x:v>
      </x:c>
      <x:c r="N42" s="11" t="n">
        <x:f>ROUND(K42*(3*1.15),0)</x:f>
        <x:v>359</x:v>
      </x:c>
      <x:c r="O42" s="11" t="n">
        <x:v>10</x:v>
      </x:c>
      <x:c r="P42" s="11" t="n">
        <x:f>ROUND(O42*1.5,0)</x:f>
        <x:v>15</x:v>
      </x:c>
      <x:c r="Q42" s="11" t="n">
        <x:f>ROUND(O42*3,0)</x:f>
        <x:v>30</x:v>
      </x:c>
      <x:c r="R42" s="11" t="n">
        <x:f>ROUND(O42*(3*1.15),0)</x:f>
        <x:v>35</x:v>
      </x:c>
      <x:c r="S42" s="11" t="n">
        <x:v>0.86</x:v>
      </x:c>
      <x:c r="T42" s="11" t="n">
        <x:v>2</x:v>
      </x:c>
      <x:c r="U42" s="11" t="n">
        <x:v>104</x:v>
      </x:c>
      <x:c r="V42" s="11" t="n">
        <x:v>3.1</x:v>
      </x:c>
      <x:c r="W42" s="11" t="n">
        <x:v>170.5</x:v>
      </x:c>
      <x:c r="X42" s="11" t="str">
        <x:v>10%</x:v>
      </x:c>
      <x:c r="Y42" s="11" t="n">
        <x:v>1.75</x:v>
      </x:c>
      <x:c r="Z42" s="11" t="str">
        <x:v>—</x:v>
      </x:c>
      <x:c r="AA42" s="11" t="str">
        <x:v>—</x:v>
      </x:c>
      <x:c r="AB42" s="11"/>
      <x:c r="AC42" s="11" t="str">
        <x:v>line_pierce</x:v>
      </x:c>
    </x:row>
    <x:row r="43" ht="38" customHeight="1">
      <x:c r="A43" s="15" t="str">
        <x:v>lattern</x:v>
      </x:c>
      <x:c r="B43" s="15" t="str">
        <x:v>赤灯使</x:v>
      </x:c>
      <x:c r="C43" s="15" t="str">
        <x:v>赤族</x:v>
      </x:c>
      <x:c r="D43" s="15" t="str">
        <x:v>地</x:v>
      </x:c>
      <x:c r="E43" s="15" t="n">
        <x:v>3</x:v>
      </x:c>
      <x:c r="F43" s="15" t="n">
        <x:v>50</x:v>
      </x:c>
      <x:c r="G43" s="15" t="n">
        <x:v>1720</x:v>
      </x:c>
      <x:c r="H43" s="15" t="n">
        <x:f>ROUND(G43*1.5,0)</x:f>
        <x:v>2580</x:v>
      </x:c>
      <x:c r="I43" s="15" t="n">
        <x:f>ROUND(G43*3,0)</x:f>
        <x:v>5160</x:v>
      </x:c>
      <x:c r="J43" s="15" t="n">
        <x:f>ROUND(G43*(3*1.15),0)</x:f>
        <x:v>5934</x:v>
      </x:c>
      <x:c r="K43" s="15" t="n">
        <x:v>82</x:v>
      </x:c>
      <x:c r="L43" s="15" t="n">
        <x:f>ROUND(K43*1.5,0)</x:f>
        <x:v>123</x:v>
      </x:c>
      <x:c r="M43" s="15" t="n">
        <x:f>ROUND(K43*3,0)</x:f>
        <x:v>246</x:v>
      </x:c>
      <x:c r="N43" s="15" t="n">
        <x:f>ROUND(K43*(3*1.15),0)</x:f>
        <x:v>283</x:v>
      </x:c>
      <x:c r="O43" s="15" t="n">
        <x:v>16</x:v>
      </x:c>
      <x:c r="P43" s="15" t="n">
        <x:f>ROUND(O43*1.5,0)</x:f>
        <x:v>24</x:v>
      </x:c>
      <x:c r="Q43" s="15" t="n">
        <x:f>ROUND(O43*3,0)</x:f>
        <x:v>48</x:v>
      </x:c>
      <x:c r="R43" s="15" t="n">
        <x:f>ROUND(O43*(3*1.15),0)</x:f>
        <x:v>55</x:v>
      </x:c>
      <x:c r="S43" s="15" t="n">
        <x:v>0.78</x:v>
      </x:c>
      <x:c r="T43" s="15" t="n">
        <x:v>2</x:v>
      </x:c>
      <x:c r="U43" s="15" t="n">
        <x:v>104</x:v>
      </x:c>
      <x:c r="V43" s="15" t="n">
        <x:v>3</x:v>
      </x:c>
      <x:c r="W43" s="15" t="n">
        <x:v>165</x:v>
      </x:c>
      <x:c r="X43" s="15" t="str">
        <x:v>10%</x:v>
      </x:c>
      <x:c r="Y43" s="15" t="n">
        <x:v>1.75</x:v>
      </x:c>
      <x:c r="Z43" s="15" t="str">
        <x:v>—</x:v>
      </x:c>
      <x:c r="AA43" s="15" t="str">
        <x:v>—</x:v>
      </x:c>
      <x:c r="AB43" s="15" t="str">
        <x:v>是</x:v>
      </x:c>
      <x:c r="AC43" s="15" t="str">
        <x:v>aoe_silence</x:v>
      </x:c>
    </x:row>
  </x:sheetData>
  <x:mergeCells>
    <x:mergeCell ref="A1:AC1"/>
    <x:mergeCell ref="A2:AC2"/>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19" hidden="0" customWidth="1"/>
    <x:col min="2" max="2" width="16" hidden="0" customWidth="1"/>
    <x:col min="3" max="3" width="19" hidden="0" customWidth="1"/>
    <x:col min="4" max="4" width="24" hidden="0" customWidth="1"/>
    <x:col min="5" max="5" width="22" hidden="0" customWidth="1"/>
    <x:col min="6" max="6" width="17" hidden="0" customWidth="1"/>
    <x:col min="7" max="7" width="95" hidden="0" customWidth="1"/>
    <x:col min="8" max="8" width="55" hidden="0" customWidth="1"/>
    <x:col min="9" max="9" width="55" hidden="0" customWidth="1"/>
    <x:col min="10" max="10" width="18" hidden="0" customWidth="1"/>
    <x:col min="11" max="11" width="27" hidden="0" customWidth="1"/>
    <x:col min="12" max="12" width="80" hidden="0" customWidth="1"/>
    <x:col min="13" max="13" width="95" hidden="0" customWidth="1"/>
    <x:col min="14" max="14" width="20" hidden="0" customWidth="1"/>
  </x:cols>
  <x:sheetData>
    <x:row r="1" ht="34" customHeight="1">
      <x:c r="A1" s="2" t="str">
        <x:v>02_棋子技能</x:v>
      </x:c>
      <x:c r="B1" s="2"/>
      <x:c r="C1" s="2"/>
      <x:c r="D1" s="2"/>
      <x:c r="E1" s="2"/>
      <x:c r="F1" s="2"/>
      <x:c r="G1" s="2"/>
      <x:c r="H1" s="2"/>
      <x:c r="I1" s="2"/>
      <x:c r="J1" s="2"/>
      <x:c r="K1" s="2"/>
      <x:c r="L1" s="2"/>
      <x:c r="M1" s="2"/>
      <x:c r="N1" s="2"/>
    </x:row>
    <x:row r="2" ht="32" customHeight="1">
      <x:c r="A2" s="4" t="str">
        <x:v>1–3★ 中文正文直接取用户指定新表；4★ 完整中文句由当前 Godot 格式化器按新表对应覆盖参数产生，并保留差异列供复核。</x:v>
      </x:c>
      <x:c r="B2" s="4"/>
      <x:c r="C2" s="4"/>
      <x:c r="D2" s="4"/>
      <x:c r="E2" s="4"/>
      <x:c r="F2" s="4"/>
      <x:c r="G2" s="4"/>
      <x:c r="H2" s="4"/>
      <x:c r="I2" s="4"/>
      <x:c r="J2" s="4"/>
      <x:c r="K2" s="4"/>
      <x:c r="L2" s="4"/>
      <x:c r="M2" s="4"/>
      <x:c r="N2" s="4"/>
    </x:row>
    <x:row r="3" ht="28" customHeight="1">
      <x:c r="A3" s="7" t="str">
        <x:v>ID</x:v>
      </x:c>
      <x:c r="B3" s="7" t="str">
        <x:v>名称</x:v>
      </x:c>
      <x:c r="C3" s="7" t="str">
        <x:v>技能名</x:v>
      </x:c>
      <x:c r="D3" s="7" t="str">
        <x:v>技能ID</x:v>
      </x:c>
      <x:c r="E3" s="7" t="str">
        <x:v>触发方式</x:v>
      </x:c>
      <x:c r="F3" s="7" t="str">
        <x:v>冷却(实测秒)</x:v>
      </x:c>
      <x:c r="G3" s="7" t="str">
        <x:v>效果说明</x:v>
      </x:c>
      <x:c r="H3" s="7" t="str">
        <x:v>1~3★ 技能数值</x:v>
      </x:c>
      <x:c r="I3" s="7" t="str">
        <x:v>4★ 变化（运行时逐字段比对）</x:v>
      </x:c>
      <x:c r="J3" s="7" t="str">
        <x:v>60秒真实释放次数 1★→4★</x:v>
      </x:c>
      <x:c r="K3" s="7" t="str">
        <x:v>10秒原始输出 1★/2★/3★/4★</x:v>
      </x:c>
      <x:c r="L3" s="7" t="str">
        <x:v>游戏内图鉴文案(1★)</x:v>
      </x:c>
      <x:c r="M3" s="7" t="str">
        <x:v>4★ 完整中文说明</x:v>
      </x:c>
      <x:c r="N3" s="7" t="str">
        <x:v>状态</x:v>
      </x:c>
    </x:row>
    <x:row r="4" ht="62" customHeight="1">
      <x:c r="A4" s="11" t="str">
        <x:v>dark_imp</x:v>
      </x:c>
      <x:c r="B4" s="11" t="str">
        <x:v>魔童</x:v>
      </x:c>
      <x:c r="C4" s="11" t="str">
        <x:v>诅咒攻击</x:v>
      </x:c>
      <x:c r="D4" s="11" t="str">
        <x:v>curse_attack</x:v>
      </x:c>
      <x:c r="E4" s="11" t="str">
        <x:v>普攻附带（被动）</x:v>
      </x:c>
      <x:c r="F4" s="11" t="str">
        <x:v>—</x:v>
      </x:c>
      <x:c r="G4" s="11" t="str">
        <x:v>诅咒攻击：普通攻击附带减攻8%与攻速降低8%，持续4.0秒；暗2会增强效果。</x:v>
      </x:c>
      <x:c r="H4" s="11" t="str">
        <x:v>aspd_down = 0.08
attack_down = 0.08
duration = 4
max_stacks = 2
model_idle_animation = res://assets/models/units/dark_imp_motong/dark_imp_motong_idle_zombie.fbx</x:v>
      </x:c>
      <x:c r="I4" s="11" t="str">
        <x:v>aspd_down: 0.08 → 0.32
attack_down: 0.08 → 0.32</x:v>
      </x:c>
      <x:c r="J4" s="11" t="str">
        <x:v>0 → 0</x:v>
      </x:c>
      <x:c r="K4" s="11" t="str">
        <x:v>370/560/1110/1280</x:v>
      </x:c>
      <x:c r="L4" s="11" t="str">
        <x:v>Curse Strike: Normal attacks reduce target ATK by 8% and AS by 8% for 4.0s.</x:v>
      </x:c>
      <x:c r="M4" s="11" t="str">
        <x:v>诅咒攻击：普通攻击附带减攻32%与攻速降低32%，持续4.0秒。</x:v>
      </x:c>
      <x:c r="N4" s="11" t="str">
        <x:v>已按指定新表提取</x:v>
      </x:c>
    </x:row>
    <x:row r="5" ht="38" customHeight="1">
      <x:c r="A5" s="15" t="str">
        <x:v>dark_mage</x:v>
      </x:c>
      <x:c r="B5" s="15" t="str">
        <x:v>暗影法师</x:v>
      </x:c>
      <x:c r="C5" s="15" t="str">
        <x:v>沉默箭</x:v>
      </x:c>
      <x:c r="D5" s="15" t="str">
        <x:v>silence_bolt</x:v>
      </x:c>
      <x:c r="E5" s="15" t="str">
        <x:v>主动·冷却</x:v>
      </x:c>
      <x:c r="F5" s="15" t="str">
        <x:v>6 → 4★ 4</x:v>
      </x:c>
      <x:c r="G5" s="15" t="str">
        <x:v>沉默箭（冷却6.0秒）：沉默最近敌人3.0秒，并造成自身攻击170%伤害。</x:v>
      </x:c>
      <x:c r="H5" s="15" t="str">
        <x:v>damage_atk_pct = 1.7
silence_sec = 3
skill_cd = 6</x:v>
      </x:c>
      <x:c r="I5" s="15" t="str">
        <x:v>damage_atk_pct: 1.7 → 3.4
skill_cd: 6 → 4</x:v>
      </x:c>
      <x:c r="J5" s="15" t="str">
        <x:v>10 → 15</x:v>
      </x:c>
      <x:c r="K5" s="15" t="str">
        <x:v>618/928/1856/3186</x:v>
      </x:c>
      <x:c r="L5" s="15" t="str">
        <x:v>Silence Bolt (CD 6.0s): Silence the nearest enemy for 3.0s and deal 170% ATK damage.</x:v>
      </x:c>
      <x:c r="M5" s="15" t="str">
        <x:v>沉默箭（冷却4.0秒）：沉默最近敌人3.0秒，并造成自身攻击340%伤害。</x:v>
      </x:c>
      <x:c r="N5" s="15" t="str">
        <x:v>已按指定新表提取</x:v>
      </x:c>
    </x:row>
    <x:row r="6" ht="38" customHeight="1">
      <x:c r="A6" s="11" t="str">
        <x:v>dark_fear</x:v>
      </x:c>
      <x:c r="B6" s="11" t="str">
        <x:v>恐惧魔</x:v>
      </x:c>
      <x:c r="C6" s="11" t="str">
        <x:v>恐惧</x:v>
      </x:c>
      <x:c r="D6" s="11" t="str">
        <x:v>fear</x:v>
      </x:c>
      <x:c r="E6" s="11" t="str">
        <x:v>主动·冷却</x:v>
      </x:c>
      <x:c r="F6" s="11" t="str">
        <x:v>6 → 4★ 4</x:v>
      </x:c>
      <x:c r="G6" s="11" t="str">
        <x:v>恐惧效果：1–3★ 为 2 秒，4★ 为 3 秒；实际状态为 fear。</x:v>
      </x:c>
      <x:c r="H6" s="11" t="str">
        <x:v>fear_sec = 2
skill_cd = 6</x:v>
      </x:c>
      <x:c r="I6" s="11" t="str">
        <x:v>fear_sec: 2 → 3
skill_cd: 6 → 4</x:v>
      </x:c>
      <x:c r="J6" s="11" t="str">
        <x:v>10 → 15</x:v>
      </x:c>
      <x:c r="K6" s="11" t="str">
        <x:v>583/880/1749/1900</x:v>
      </x:c>
      <x:c r="L6" s="11" t="str">
        <x:v>Fear (CD 6.0s): Make the nearest enemy retreat for 2.0s, then resume approaching its target.</x:v>
      </x:c>
      <x:c r="M6" s="11" t="str">
        <x:v>恐惧（冷却4.0秒）：使最近敌人向后逃跑3.0秒，结束后重新接近目标。</x:v>
      </x:c>
      <x:c r="N6" s="11" t="str">
        <x:v>已按指定新表提取</x:v>
      </x:c>
    </x:row>
    <x:row r="7" ht="38" customHeight="1">
      <x:c r="A7" s="15" t="str">
        <x:v>dark_queen</x:v>
      </x:c>
      <x:c r="B7" s="15" t="str">
        <x:v>痛苦女王</x:v>
      </x:c>
      <x:c r="C7" s="15" t="str">
        <x:v>痛苦凝视</x:v>
      </x:c>
      <x:c r="D7" s="15" t="str">
        <x:v>same_target_damage_stack</x:v>
      </x:c>
      <x:c r="E7" s="15" t="str">
        <x:v>普攻附带（被动）</x:v>
      </x:c>
      <x:c r="F7" s="15" t="str">
        <x:v>—</x:v>
      </x:c>
      <x:c r="G7" s="15" t="str">
        <x:v>痛苦凝视：持续攻击同一目标时，每层伤害+20%，最多4层；换目标重置。</x:v>
      </x:c>
      <x:c r="H7" s="15" t="str">
        <x:v>max_stacks = 4
stack_damage = 0.2</x:v>
      </x:c>
      <x:c r="I7" s="15" t="str">
        <x:v>max_stacks: 4 → 6
stack_damage: 0.2 → 0.35</x:v>
      </x:c>
      <x:c r="J7" s="15" t="str">
        <x:v>0 → 0</x:v>
      </x:c>
      <x:c r="K7" s="15" t="str">
        <x:v>1143/1719/3434/5795</x:v>
      </x:c>
      <x:c r="L7" s="15" t="str">
        <x:v>Agonizing Gaze: Consecutive attacks on the same target deal +20% damage per stack (max 4 stacks). Resets on target switch.</x:v>
      </x:c>
      <x:c r="M7" s="15" t="str">
        <x:v>痛苦凝视：持续攻击同一目标时，每层伤害+35%，最多6层；换目标重置。</x:v>
      </x:c>
      <x:c r="N7" s="15" t="str">
        <x:v>已按指定新表提取</x:v>
      </x:c>
    </x:row>
    <x:row r="8" ht="38" customHeight="1">
      <x:c r="A8" s="11" t="str">
        <x:v>dark_scythe</x:v>
      </x:c>
      <x:c r="B8" s="11" t="str">
        <x:v>偷袭者</x:v>
      </x:c>
      <x:c r="C8" s="11" t="str">
        <x:v>暗影突袭</x:v>
      </x:c>
      <x:c r="D8" s="11" t="str">
        <x:v>blink_low_def_backline</x:v>
      </x:c>
      <x:c r="E8" s="11" t="str">
        <x:v>主动·冷却</x:v>
      </x:c>
      <x:c r="F8" s="11" t="str">
        <x:v>—</x:v>
      </x:c>
      <x:c r="G8" s="11" t="str">
        <x:v>暗影突袭（冷却时间5.0秒）：瞬移到低防后排敌人身边，造成自身攻击250%伤害；击杀后刷新冷却。</x:v>
      </x:c>
      <x:c r="H8" s="11" t="str">
        <x:v>damage_atk_pct = 2.5
refresh_on_kill = true</x:v>
      </x:c>
      <x:c r="I8" s="11" t="str">
        <x:v>damage_atk_pct: 2.5 → 5
def_down_pct: — → 0.25</x:v>
      </x:c>
      <x:c r="J8" s="11" t="str">
        <x:v>12 → 12</x:v>
      </x:c>
      <x:c r="K8" s="11" t="str">
        <x:v>1637/2455/4910/7174</x:v>
      </x:c>
      <x:c r="L8" s="11" t="str">
        <x:v>Shadow Ambush: Blink to the lowest-DEF backline enemy and deal 250% ATK damage. Cooldown resets on kill.</x:v>
      </x:c>
      <x:c r="M8" s="11" t="str">
        <x:v>暗影突袭（冷却时间5.0秒）：瞬移到低防后排敌人身边，造成自身攻击500%伤害；击杀后刷新冷却。</x:v>
      </x:c>
      <x:c r="N8" s="11" t="str">
        <x:v>已按指定新表提取</x:v>
      </x:c>
    </x:row>
    <x:row r="9" ht="38" customHeight="1">
      <x:c r="A9" s="15" t="str">
        <x:v>dark_suc</x:v>
      </x:c>
      <x:c r="B9" s="15" t="str">
        <x:v>魅魔</x:v>
      </x:c>
      <x:c r="C9" s="15" t="str">
        <x:v>暗影击晕</x:v>
      </x:c>
      <x:c r="D9" s="15" t="str">
        <x:v>stun</x:v>
      </x:c>
      <x:c r="E9" s="15" t="str">
        <x:v>主动·冷却</x:v>
      </x:c>
      <x:c r="F9" s="15" t="str">
        <x:v>5 → 4★ 3.5</x:v>
      </x:c>
      <x:c r="G9" s="15" t="str">
        <x:v>眩晕目标，并造成自身攻击 ×1.5 的技能伤害。</x:v>
      </x:c>
      <x:c r="H9" s="15" t="str">
        <x:v>damage_atk_pct = 1.5
skill_cd = 5
stun_sec = 1.5</x:v>
      </x:c>
      <x:c r="I9" s="15" t="str">
        <x:v>skill_cd: 5 → 3.5
stun_sec: 1.5 → 2</x:v>
      </x:c>
      <x:c r="J9" s="15" t="str">
        <x:v>12 → 18</x:v>
      </x:c>
      <x:c r="K9" s="15" t="str">
        <x:v>832/1248/2496/3206</x:v>
      </x:c>
      <x:c r="L9" s="15" t="str">
        <x:v>Shadow Stun (CD 5.0s): Stun the nearest enemy for 1.5s and deal 150% ATK damage.</x:v>
      </x:c>
      <x:c r="M9" s="15" t="str">
        <x:v>暗影击晕（冷却3.5秒）：眩晕最近敌人2.0秒，并造成自身攻击150%伤害。</x:v>
      </x:c>
      <x:c r="N9" s="15" t="str">
        <x:v>已按指定新表提取</x:v>
      </x:c>
    </x:row>
    <x:row r="10" ht="62" customHeight="1">
      <x:c r="A10" s="11" t="str">
        <x:v>dark_doom</x:v>
      </x:c>
      <x:c r="B10" s="11" t="str">
        <x:v>末日守卫</x:v>
      </x:c>
      <x:c r="C10" s="11" t="str">
        <x:v>血链</x:v>
      </x:c>
      <x:c r="D10" s="11" t="str">
        <x:v>shared_hp_link</x:v>
      </x:c>
      <x:c r="E10" s="11" t="str">
        <x:v>主动·每1秒判定（整场只成功1次）</x:v>
      </x:c>
      <x:c r="F10" s="11" t="str">
        <x:v>—</x:v>
      </x:c>
      <x:c r="G10" s="11" t="str">
        <x:v>血链：连接最近非Boss，非唯一棋子且星级不高于自身的敌人并使其变为我方棋子；双方共享受到的生命损失。任一方死亡后清除连接，本回合不再释放。</x:v>
      </x:c>
      <x:c r="H10" s="11" t="str">
        <x:v>unique_on_board = true
until_target_death = true</x:v>
      </x:c>
      <x:c r="I10" s="11" t="str">
        <x:v>link_regen_pct: — → 0.04</x:v>
      </x:c>
      <x:c r="J10" s="11" t="str">
        <x:v>1 → 1</x:v>
      </x:c>
      <x:c r="K10" s="11" t="str">
        <x:v>0/0/0/0</x:v>
      </x:c>
      <x:c r="L10" s="11" t="str">
        <x:v>Blood Chain: Link to the nearest non-Boss, non-unique enemy whose star is no higher than your own, and convert them to your side. Both share HP loss. Link breaks on either death and will not reactivate this round.</x:v>
      </x:c>
      <x:c r="M10" s="11" t="str">
        <x:v>血链：连接最近非Boss，非唯一棋子且星级不高于自身的敌人并使其变为我方棋子；双方共享受到的生命损失；连接期间每秒回4%最大生命。任一方死亡后清除连接，本回合不再释放。</x:v>
      </x:c>
      <x:c r="N10" s="11" t="str">
        <x:v>已按指定新表提取</x:v>
      </x:c>
    </x:row>
    <x:row r="11" ht="38" customHeight="1">
      <x:c r="A11" s="15" t="str">
        <x:v>dark_dragon</x:v>
      </x:c>
      <x:c r="B11" s="15" t="str">
        <x:v>黑龙</x:v>
      </x:c>
      <x:c r="C11" s="15" t="str">
        <x:v>黑洞</x:v>
      </x:c>
      <x:c r="D11" s="15" t="str">
        <x:v>black_hole</x:v>
      </x:c>
      <x:c r="E11" s="15" t="str">
        <x:v>主动·冷却</x:v>
      </x:c>
      <x:c r="F11" s="15" t="str">
        <x:v>—</x:v>
      </x:c>
      <x:c r="G11" s="15" t="str">
        <x:v>黑洞（冷却8.0秒）：牵引周围敌人，眩晕1.0秒，并造成自身攻击220%伤害。</x:v>
      </x:c>
      <x:c r="H11" s="15" t="str">
        <x:v>damage_atk_pct = 2.2
pull_sec = 1
unique_on_board = true</x:v>
      </x:c>
      <x:c r="I11" s="15" t="str">
        <x:v>damage_atk_pct: 2.2 → 4.4
pull_sec: 1 → 2</x:v>
      </x:c>
      <x:c r="J11" s="15" t="str">
        <x:v>8 → 8</x:v>
      </x:c>
      <x:c r="K11" s="15" t="str">
        <x:v>1562/2343/4686/6745</x:v>
      </x:c>
      <x:c r="L11" s="15" t="str">
        <x:v>Black Hole (CD 8.0s): Pull surrounding enemies, stun for 1.0s, and deal 220% ATK damage.</x:v>
      </x:c>
      <x:c r="M11" s="15" t="str">
        <x:v>黑洞（冷却8.0秒）：牵引周围敌人，眩晕2.0秒，并造成自身攻击440%伤害。</x:v>
      </x:c>
      <x:c r="N11" s="15" t="str">
        <x:v>已按指定新表提取</x:v>
      </x:c>
    </x:row>
    <x:row r="12" ht="38" customHeight="1">
      <x:c r="A12" s="11" t="str">
        <x:v>god_priest</x:v>
      </x:c>
      <x:c r="B12" s="11" t="str">
        <x:v>神侍</x:v>
      </x:c>
      <x:c r="C12" s="11" t="str">
        <x:v>星辉祈愿</x:v>
      </x:c>
      <x:c r="D12" s="11" t="str">
        <x:v>lowest_ally_heal</x:v>
      </x:c>
      <x:c r="E12" s="11" t="str">
        <x:v>主动·冷却</x:v>
      </x:c>
      <x:c r="F12" s="11" t="str">
        <x:v>4</x:v>
      </x:c>
      <x:c r="G12" s="11" t="str">
        <x:v>星辉祈愿（冷却4.0秒）：治疗生命比例最低的友军，回复其最大生命6%；有25%概率清除负面状态。</x:v>
      </x:c>
      <x:c r="H12" s="11" t="str">
        <x:v>cleanse_chance = 0.25
heal_pct = 0.06
skill_cd = 4</x:v>
      </x:c>
      <x:c r="I12" s="11" t="str">
        <x:v>cleanse_chance: 0.25 → 0.5
heal_pct: 0.06 → 0.24</x:v>
      </x:c>
      <x:c r="J12" s="11" t="str">
        <x:v>15 → 15</x:v>
      </x:c>
      <x:c r="K12" s="11" t="str">
        <x:v>310/470/930/1070</x:v>
      </x:c>
      <x:c r="L12" s="11" t="str">
        <x:v>Starlight Prayer (CD 4.0s): Heal the ally with the lowest HP ratio by 6% of their max HP; 25% chance to cleanse debuffs.</x:v>
      </x:c>
      <x:c r="M12" s="11" t="str">
        <x:v>星辉祈愿（冷却4.0秒）：治疗生命比例最低的友军，回复其最大生命24%；有50%概率清除负面状态。</x:v>
      </x:c>
      <x:c r="N12" s="11" t="str">
        <x:v>已按指定新表提取</x:v>
      </x:c>
    </x:row>
    <x:row r="13" ht="38" customHeight="1">
      <x:c r="A13" s="15" t="str">
        <x:v>god_priestess</x:v>
      </x:c>
      <x:c r="B13" s="15" t="str">
        <x:v>大祭司</x:v>
      </x:c>
      <x:c r="C13" s="15" t="str">
        <x:v>神赐祝福</x:v>
      </x:c>
      <x:c r="D13" s="15" t="str">
        <x:v>nearest_ally_bless</x:v>
      </x:c>
      <x:c r="E13" s="15" t="str">
        <x:v>主动·冷却</x:v>
      </x:c>
      <x:c r="F13" s="15" t="str">
        <x:v>6 → 4★ 4.5</x:v>
      </x:c>
      <x:c r="G13" s="15" t="str">
        <x:v>神赐祝福（冷却6.0秒）：强化最近友军，攻击+8%、攻速+0.15，并清除负面状态。</x:v>
      </x:c>
      <x:c r="H13" s="15" t="str">
        <x:v>aspd_bonus = 0.15
atk_bonus = 0.08
skill_cd = 6</x:v>
      </x:c>
      <x:c r="I13" s="15" t="str">
        <x:v>aspd_bonus: 0.15 → 0.45
atk_bonus: 0.08 → 0.32
skill_cd: 6 → 4.5</x:v>
      </x:c>
      <x:c r="J13" s="15" t="str">
        <x:v>10 → 14</x:v>
      </x:c>
      <x:c r="K13" s="15" t="str">
        <x:v>234/351/702/810</x:v>
      </x:c>
      <x:c r="L13" s="15" t="str">
        <x:v>Divine Blessing (CD 6.0s): Buff the nearest ally — ATK +8%, AS +0.15 — and cleanse their debuffs.</x:v>
      </x:c>
      <x:c r="M13" s="15" t="str">
        <x:v>神赐祝福（冷却4.5秒）：强化最近友军，攻击+32%、攻速+0.45，并清除负面状态。</x:v>
      </x:c>
      <x:c r="N13" s="15" t="str">
        <x:v>已按指定新表提取</x:v>
      </x:c>
    </x:row>
    <x:row r="14" ht="38" customHeight="1">
      <x:c r="A14" s="11" t="str">
        <x:v>god_angel</x:v>
      </x:c>
      <x:c r="B14" s="11" t="str">
        <x:v>天使</x:v>
      </x:c>
      <x:c r="C14" s="11" t="str">
        <x:v>光环治疗</x:v>
      </x:c>
      <x:c r="D14" s="11" t="str">
        <x:v>nearby_ally_heal_buff</x:v>
      </x:c>
      <x:c r="E14" s="11" t="str">
        <x:v>主动·冷却</x:v>
      </x:c>
      <x:c r="F14" s="11" t="str">
        <x:v>7 → 4★ 5</x:v>
      </x:c>
      <x:c r="G14" s="11" t="str">
        <x:v>光环治疗（冷却7.0秒）：治疗自身周围友军最大生命15%，并给攻击+10%、攻速+0.15，同时清除负面状态；开场冷却2.0秒。</x:v>
      </x:c>
      <x:c r="H14" s="11" t="str">
        <x:v>aspd_bonus = 0.15
atk_bonus = 0.1
heal_pct = 0.15
opening_cd = 2
skill_cd = 7</x:v>
      </x:c>
      <x:c r="I14" s="11" t="str">
        <x:v>aspd_bonus: 0.15 → 0.45
atk_bonus: 0.1 → 0.4
control_immune_sec: — → 2
heal_pct: 0.15 → 0.4
skill_cd: 7 → 5</x:v>
      </x:c>
      <x:c r="J14" s="11" t="str">
        <x:v>9 → 12</x:v>
      </x:c>
      <x:c r="K14" s="11" t="str">
        <x:v>557/831/1663/3395</x:v>
      </x:c>
      <x:c r="L14" s="11" t="str">
        <x:v>Halo Heal (CD 7.0s): Heal nearby allies for 15% max HP; grant ATK +10% and AS +0.15 and cleanse debuffs; initial cooldown 2.0s.</x:v>
      </x:c>
      <x:c r="M14" s="11" t="str">
        <x:v>光环治疗（冷却5.0秒）：治疗自身周围友军最大生命40%，并给攻击+40%、攻速+0.45，同时清除负面状态；开场冷却2.0秒。</x:v>
      </x:c>
      <x:c r="N14" s="11" t="str">
        <x:v>已按指定新表提取</x:v>
      </x:c>
    </x:row>
    <x:row r="15" ht="38" customHeight="1">
      <x:c r="A15" s="15" t="str">
        <x:v>god_arbiter</x:v>
      </x:c>
      <x:c r="B15" s="15" t="str">
        <x:v>裁决者</x:v>
      </x:c>
      <x:c r="C15" s="15" t="str">
        <x:v>审判打击</x:v>
      </x:c>
      <x:c r="D15" s="15" t="str">
        <x:v>judgement_strike</x:v>
      </x:c>
      <x:c r="E15" s="15" t="str">
        <x:v>主动·冷却</x:v>
      </x:c>
      <x:c r="F15" s="15" t="str">
        <x:v>3 → 4★ 2</x:v>
      </x:c>
      <x:c r="G15" s="15" t="str">
        <x:v>审判打击（冷却3.0秒）：对最近敌人造成自身攻击220%伤害；每次释放自身防御叠加+6%，最多5层。</x:v>
      </x:c>
      <x:c r="H15" s="15" t="str">
        <x:v>damage_atk_pct = 2.2
def_stack_pct = 0.06
max_stacks = 5
skill_cd = 3</x:v>
      </x:c>
      <x:c r="I15" s="15" t="str">
        <x:v>damage_atk_pct: 2.2 → 4.4
def_stack_pct: 0.06 → 0.2
skill_cd: 3 → 2</x:v>
      </x:c>
      <x:c r="J15" s="15" t="str">
        <x:v>20 → 30</x:v>
      </x:c>
      <x:c r="K15" s="15" t="str">
        <x:v>1324/1996/3980/8353</x:v>
      </x:c>
      <x:c r="L15" s="15" t="str">
        <x:v>Judgement Strike (CD 3.0s): Deal 220% ATK damage to the nearest enemy; each cast permanently stacks own DEF +6% (max 5 stacks).</x:v>
      </x:c>
      <x:c r="M15" s="15" t="str">
        <x:v>审判打击（冷却2.0秒）：对最近敌人造成自身攻击440%伤害；每次释放自身防御叠加+20%，最多5层。</x:v>
      </x:c>
      <x:c r="N15" s="15" t="str">
        <x:v>已按指定新表提取</x:v>
      </x:c>
    </x:row>
    <x:row r="16" ht="38" customHeight="1">
      <x:c r="A16" s="11" t="str">
        <x:v>god_aurora</x:v>
      </x:c>
      <x:c r="B16" s="11" t="str">
        <x:v>极光射手</x:v>
      </x:c>
      <x:c r="C16" s="11" t="str">
        <x:v>圣枪裁决</x:v>
      </x:c>
      <x:c r="D16" s="11" t="str">
        <x:v>true_damage_attack</x:v>
      </x:c>
      <x:c r="E16" s="11" t="str">
        <x:v>普攻附带（被动）</x:v>
      </x:c>
      <x:c r="F16" s="11" t="str">
        <x:v>—</x:v>
      </x:c>
      <x:c r="G16" s="11" t="str">
        <x:v>圣枪裁决：普通攻击额外造成自身攻击18%真实伤害。</x:v>
      </x:c>
      <x:c r="H16" s="11" t="str">
        <x:v>true_damage_pct = 0.18</x:v>
      </x:c>
      <x:c r="I16" s="11" t="str">
        <x:v>third_hit_double: — → true
true_damage_pct: 0.18 → 0.45</x:v>
      </x:c>
      <x:c r="J16" s="11" t="str">
        <x:v>0 → 0</x:v>
      </x:c>
      <x:c r="K16" s="11" t="str">
        <x:v>1092/1644/3276/5108</x:v>
      </x:c>
      <x:c r="L16" s="11" t="str">
        <x:v>Holy Lance: Normal attacks deal bonus true damage equal to 18% ATK.</x:v>
      </x:c>
      <x:c r="M16" s="11" t="str">
        <x:v>圣枪裁决：普通攻击额外造成自身攻击45%真实伤害。</x:v>
      </x:c>
      <x:c r="N16" s="11" t="str">
        <x:v>已按指定新表提取</x:v>
      </x:c>
    </x:row>
    <x:row r="17" ht="38" customHeight="1">
      <x:c r="A17" s="15" t="str">
        <x:v>god_guard</x:v>
      </x:c>
      <x:c r="B17" s="15" t="str">
        <x:v>光之卫士</x:v>
      </x:c>
      <x:c r="C17" s="15" t="str">
        <x:v>守护嘲讽</x:v>
      </x:c>
      <x:c r="D17" s="15" t="str">
        <x:v>guardian_shield_taunt</x:v>
      </x:c>
      <x:c r="E17" s="15" t="str">
        <x:v>开场一次（被动）</x:v>
      </x:c>
      <x:c r="F17" s="15" t="str">
        <x:v>—</x:v>
      </x:c>
      <x:c r="G17" s="15" t="str">
        <x:v>守护嘲讽：战斗开始获得最大生命20%护盾，并让周围敌人优先攻击自己。</x:v>
      </x:c>
      <x:c r="H17" s="15" t="str">
        <x:v>start_shield_pct = 0.2
taunt_radius = 180</x:v>
      </x:c>
      <x:c r="I17" s="15" t="str">
        <x:v>shield_control_immune: — → true
start_shield_pct: 0.2 → 0.4
taunt_radius: 180 → 240</x:v>
      </x:c>
      <x:c r="J17" s="15" t="str">
        <x:v>0 → 0</x:v>
      </x:c>
      <x:c r="K17" s="15" t="str">
        <x:v>368/552/1104/1272</x:v>
      </x:c>
      <x:c r="L17" s="15" t="str">
        <x:v>Guardian Taunt: Gain a shield equal to 20% max HP at battle start; force nearby enemies to target this unit.</x:v>
      </x:c>
      <x:c r="M17" s="15" t="str">
        <x:v>守护嘲讽：战斗开始获得最大生命40%护盾，并让周围敌人优先攻击自己。</x:v>
      </x:c>
      <x:c r="N17" s="15" t="str">
        <x:v>已按指定新表提取</x:v>
      </x:c>
    </x:row>
    <x:row r="18" ht="38" customHeight="1">
      <x:c r="A18" s="11" t="str">
        <x:v>god_archangel</x:v>
      </x:c>
      <x:c r="B18" s="11" t="str">
        <x:v>大天使</x:v>
      </x:c>
      <x:c r="C18" s="11" t="str">
        <x:v>天使庇护</x:v>
      </x:c>
      <x:c r="D18" s="11" t="str">
        <x:v>random_ally_damage_reduction</x:v>
      </x:c>
      <x:c r="E18" s="11" t="str">
        <x:v>主动·冷却</x:v>
      </x:c>
      <x:c r="F18" s="11" t="str">
        <x:v>6 → 4★ 4</x:v>
      </x:c>
      <x:c r="G18" s="11" t="str">
        <x:v>天使庇护（冷却6.0秒）：随机友军获得50%减伤，持续6.0秒。</x:v>
      </x:c>
      <x:c r="H18" s="11" t="str">
        <x:v>damage_reduction = 0.5
duration = 6
skill_cd = 6
unique_on_board = true</x:v>
      </x:c>
      <x:c r="I18" s="11" t="str">
        <x:v>damage_reduction: 0.5 → 0.65
duration: 6 → 8
skill_cd: 6 → 4</x:v>
      </x:c>
      <x:c r="J18" s="11" t="str">
        <x:v>10 → 15</x:v>
      </x:c>
      <x:c r="K18" s="11" t="str">
        <x:v>712/1073/2135/2646</x:v>
      </x:c>
      <x:c r="L18" s="11" t="str">
        <x:v>Angel's Guard (CD 6.0s): Grant a random ally 50% damage reduction for 6.0s.</x:v>
      </x:c>
      <x:c r="M18" s="11" t="str">
        <x:v>天使庇护（冷却4.0秒）：随机友军获得65%减伤，持续8.0秒。</x:v>
      </x:c>
      <x:c r="N18" s="11" t="str">
        <x:v>已按指定新表提取</x:v>
      </x:c>
    </x:row>
    <x:row r="19" ht="62" customHeight="1">
      <x:c r="A19" s="15" t="str">
        <x:v>god_king</x:v>
      </x:c>
      <x:c r="B19" s="15" t="str">
        <x:v>神王</x:v>
      </x:c>
      <x:c r="C19" s="15" t="str">
        <x:v>神王裁决</x:v>
      </x:c>
      <x:c r="D19" s="15" t="str">
        <x:v>global_divine_blast</x:v>
      </x:c>
      <x:c r="E19" s="15" t="str">
        <x:v>主动·冷却</x:v>
      </x:c>
      <x:c r="F19" s="15" t="str">
        <x:v>8 → 4★ 6</x:v>
      </x:c>
      <x:c r="G19" s="15" t="str">
        <x:v>神王裁决（冷却8.0秒）：攻击神王所在战线内所有可攻击敌人，在2.0秒内分5次造成自身攻击160%加目标最大生命8%的伤害。</x:v>
      </x:c>
      <x:c r="H19" s="15" t="str">
        <x:v>damage_atk_pct = 1.6
damage_tick_count = 5
damage_tick_interval = 0.5
max_hp_bonus_pct = 0.08
skill_cd = 8
unique_on_board = true</x:v>
      </x:c>
      <x:c r="I19" s="15" t="str">
        <x:v>damage_atk_pct: 1.6 → 3.2
max_hp_bonus_pct: 0.08 → 0.16
skill_cd: 8 → 6</x:v>
      </x:c>
      <x:c r="J19" s="15" t="str">
        <x:v>8 → 7</x:v>
      </x:c>
      <x:c r="K19" s="15" t="str">
        <x:v>4204/4873/6855/12246</x:v>
      </x:c>
      <x:c r="L19" s="15" t="str">
        <x:v>Divine Judgement (CD 8.0s): Strike all attackable enemies in God King's lane, dealing 160% ATK + 8% of each target's max HP over 5 hits in 2.0s.</x:v>
      </x:c>
      <x:c r="M19" s="15" t="str">
        <x:v>神王裁决（冷却6.0秒）：攻击神王所在战线内所有可攻击敌人，在2.0秒内分5次造成自身攻击320%加目标最大生命16%的伤害。</x:v>
      </x:c>
      <x:c r="N19" s="15" t="str">
        <x:v>已按指定新表提取</x:v>
      </x:c>
    </x:row>
    <x:row r="20" ht="38" customHeight="1">
      <x:c r="A20" s="11" t="str">
        <x:v>human_merchant</x:v>
      </x:c>
      <x:c r="B20" s="11" t="str">
        <x:v>商人</x:v>
      </x:c>
      <x:c r="C20" s="11" t="str">
        <x:v>战后经商</x:v>
      </x:c>
      <x:c r="D20" s="11" t="str">
        <x:v>post_battle_gold_by_star</x:v>
      </x:c>
      <x:c r="E20" s="11" t="str">
        <x:v>战后结算</x:v>
      </x:c>
      <x:c r="F20" s="11" t="str">
        <x:v>—</x:v>
      </x:c>
      <x:c r="G20" s="11" t="str">
        <x:v>战后经商：参与战斗后，按星级获得金币。1星+10，2星+20，3星+30，4星+40。</x:v>
      </x:c>
      <x:c r="H20" s="11"/>
      <x:c r="I20" s="11" t="str">
        <x:v>无</x:v>
      </x:c>
      <x:c r="J20" s="11" t="str">
        <x:v>0 → 0</x:v>
      </x:c>
      <x:c r="K20" s="11" t="str">
        <x:v>306/462/915/1050</x:v>
      </x:c>
      <x:c r="L20" s="11" t="str">
        <x:v>Trade: After each battle, gain gold by star level (★1 → +10G, ★2 → +20G, ★3 → +30G, ★4 → +40G).</x:v>
      </x:c>
      <x:c r="M20" s="11" t="str">
        <x:v>战后经商：参与战斗后，按星级获得金币。1星+10，2星+20，3星+30，4星+40。</x:v>
      </x:c>
      <x:c r="N20" s="11" t="str">
        <x:v>已按指定新表提取</x:v>
      </x:c>
    </x:row>
    <x:row r="21" ht="38" customHeight="1">
      <x:c r="A21" s="15" t="str">
        <x:v>human_militia</x:v>
      </x:c>
      <x:c r="B21" s="15" t="str">
        <x:v>民兵</x:v>
      </x:c>
      <x:c r="C21" s="15" t="str">
        <x:v>缴械攻击</x:v>
      </x:c>
      <x:c r="D21" s="15" t="str">
        <x:v>attack_interrupt</x:v>
      </x:c>
      <x:c r="E21" s="15" t="str">
        <x:v>普攻附带（概率）</x:v>
      </x:c>
      <x:c r="F21" s="15" t="str">
        <x:v>—</x:v>
      </x:c>
      <x:c r="G21" s="15" t="str">
        <x:v>缴械攻击：普通攻击有12%概率缴械目标（1 秒内无法普攻）。</x:v>
      </x:c>
      <x:c r="H21" s="15" t="str">
        <x:v>interrupt_chance = 0.12</x:v>
      </x:c>
      <x:c r="I21" s="15" t="str">
        <x:v>interrupt_chance: 0.12 → 0.2
stun_sec: — → 0.5</x:v>
      </x:c>
      <x:c r="J21" s="15" t="str">
        <x:v>0 → 0</x:v>
      </x:c>
      <x:c r="K21" s="15" t="str">
        <x:v>422/638/1262/1454</x:v>
      </x:c>
      <x:c r="L21" s="15" t="str">
        <x:v>Disarm Strike: Normal attacks have a 12% chance to disarm the target (cannot use normal attacks for 1s).</x:v>
      </x:c>
      <x:c r="M21" s="15" t="str">
        <x:v>缴械攻击：普通攻击有20%概率眩晕目标0.5秒。</x:v>
      </x:c>
      <x:c r="N21" s="15" t="str">
        <x:v>已按指定新表提取</x:v>
      </x:c>
    </x:row>
    <x:row r="22" ht="38" customHeight="1">
      <x:c r="A22" s="11" t="str">
        <x:v>human_archer</x:v>
      </x:c>
      <x:c r="B22" s="11" t="str">
        <x:v>弓箭手</x:v>
      </x:c>
      <x:c r="C22" s="11" t="str">
        <x:v>连射</x:v>
      </x:c>
      <x:c r="D22" s="11" t="str">
        <x:v>every_fourth_combo</x:v>
      </x:c>
      <x:c r="E22" s="11" t="str">
        <x:v>第N次普攻（被动）</x:v>
      </x:c>
      <x:c r="F22" s="11" t="str">
        <x:v>—</x:v>
      </x:c>
      <x:c r="G22" s="11" t="str">
        <x:v>连射：每第4次普通攻击额外造成自身攻击150%伤害。</x:v>
      </x:c>
      <x:c r="H22" s="11" t="str">
        <x:v>combo_atk_pct = 1.5
every = 4</x:v>
      </x:c>
      <x:c r="I22" s="11" t="str">
        <x:v>combo_atk_pct: 1.5 → 3
every: 4 → 3</x:v>
      </x:c>
      <x:c r="J22" s="11" t="str">
        <x:v>0 → 0</x:v>
      </x:c>
      <x:c r="K22" s="11" t="str">
        <x:v>1365/2049/4095/6364</x:v>
      </x:c>
      <x:c r="L22" s="11" t="str">
        <x:v>Rapid Fire: Every 4 attacks, deal bonus 150% ATK damage.</x:v>
      </x:c>
      <x:c r="M22" s="11" t="str">
        <x:v>连射：每第3次普通攻击额外造成自身攻击300%伤害。</x:v>
      </x:c>
      <x:c r="N22" s="11" t="str">
        <x:v>已按指定新表提取</x:v>
      </x:c>
    </x:row>
    <x:row r="23" ht="38" customHeight="1">
      <x:c r="A23" s="15" t="str">
        <x:v>human_cleric</x:v>
      </x:c>
      <x:c r="B23" s="15" t="str">
        <x:v>牧师</x:v>
      </x:c>
      <x:c r="C23" s="15" t="str">
        <x:v>战歌</x:v>
      </x:c>
      <x:c r="D23" s="15" t="str">
        <x:v>every_fifth_group_heal</x:v>
      </x:c>
      <x:c r="E23" s="15" t="str">
        <x:v>第N次普攻（被动）</x:v>
      </x:c>
      <x:c r="F23" s="15" t="str">
        <x:v>—</x:v>
      </x:c>
      <x:c r="G23" s="15" t="str">
        <x:v>战歌：每第5次普通攻击治疗周围友军最大生命15%。</x:v>
      </x:c>
      <x:c r="H23" s="15" t="str">
        <x:v>every = 5
heal_pct = 0.15</x:v>
      </x:c>
      <x:c r="I23" s="15" t="str">
        <x:v>every: 5 → 4
heal_pct: 0.15 → 0.4</x:v>
      </x:c>
      <x:c r="J23" s="15" t="str">
        <x:v>0 → 0</x:v>
      </x:c>
      <x:c r="K23" s="15" t="str">
        <x:v>567/849/1698/1960</x:v>
      </x:c>
      <x:c r="L23" s="15" t="str">
        <x:v>War Song: Every 5 attacks, heal nearby allies for 15% of their max HP.</x:v>
      </x:c>
      <x:c r="M23" s="15" t="str">
        <x:v>战歌：每第4次普通攻击治疗周围友军最大生命40%。</x:v>
      </x:c>
      <x:c r="N23" s="15" t="str">
        <x:v>已按指定新表提取</x:v>
      </x:c>
    </x:row>
    <x:row r="24" ht="62" customHeight="1">
      <x:c r="A24" s="11" t="str">
        <x:v>human_death_servant</x:v>
      </x:c>
      <x:c r="B24" s="11" t="str">
        <x:v>死侍</x:v>
      </x:c>
      <x:c r="C24" s="11" t="str">
        <x:v>死侍契约</x:v>
      </x:c>
      <x:c r="D24" s="11" t="str">
        <x:v>left_neighbor_sacrifice</x:v>
      </x:c>
      <x:c r="E24" s="11" t="str">
        <x:v>开场一次 + 被绑棋子首次死亡</x:v>
      </x:c>
      <x:c r="F24" s="11" t="str">
        <x:v>—</x:v>
      </x:c>
      <x:c r="G24" s="11" t="str">
        <x:v>死侍契约：周围一圈友军防御+3持续5.0秒；战斗开始绑定左侧棋子，该棋子首次死亡时死侍代替其死亡并使其满血复活。</x:v>
      </x:c>
      <x:c r="H24" s="11" t="str">
        <x:v>ally_def_bonus = 3
ally_def_duration = 5</x:v>
      </x:c>
      <x:c r="I24" s="11" t="str">
        <x:v>ally_def_duration: 5 → 8
ally_def_pct: — → 0.4</x:v>
      </x:c>
      <x:c r="J24" s="11" t="str">
        <x:v>0 → 0</x:v>
      </x:c>
      <x:c r="K24" s="11" t="str">
        <x:v>3/3/3/3</x:v>
      </x:c>
      <x:c r="L24" s="11" t="str">
        <x:v>Death Pact: Grant surrounding allies DEF +3 for 5.0s. At battle start, bind to the left neighbour — when that unit first dies, this unit sacrifices itself in their place, reviving them at full HP.</x:v>
      </x:c>
      <x:c r="M24" s="11" t="str">
        <x:v>死侍契约：周围一圈友军防御+40%持续8.0秒；战斗开始绑定左右两侧棋子，其中先死亡的棋子首次阵亡时由死侍代替其死亡并使其满血复活（死侍仅能牺牲一次）。</x:v>
      </x:c>
      <x:c r="N24" s="11" t="str">
        <x:v>已按指定新表提取</x:v>
      </x:c>
    </x:row>
    <x:row r="25" ht="38" customHeight="1">
      <x:c r="A25" s="15" t="str">
        <x:v>human_mage</x:v>
      </x:c>
      <x:c r="B25" s="15" t="str">
        <x:v>法师</x:v>
      </x:c>
      <x:c r="C25" s="15" t="str">
        <x:v>随机法术</x:v>
      </x:c>
      <x:c r="D25" s="15" t="str">
        <x:v>random_attribute_bolt</x:v>
      </x:c>
      <x:c r="E25" s="15" t="str">
        <x:v>主动·冷却</x:v>
      </x:c>
      <x:c r="F25" s="15" t="str">
        <x:v>2.5 → 4★ 2</x:v>
      </x:c>
      <x:c r="G25" s="15" t="str">
        <x:v>随机法术：无普攻，每2.5秒对随机敌人造成攻击300%的随机属性伤害。</x:v>
      </x:c>
      <x:c r="H25" s="15" t="str">
        <x:v>damage_atk_pct = 3
no_basic_attack = true
skill_cd = 2.5</x:v>
      </x:c>
      <x:c r="I25" s="15" t="str">
        <x:v>damage_atk_pct: 3 → 6
double_element_chance: — → 0.2
skill_cd: 2.5 → 2</x:v>
      </x:c>
      <x:c r="J25" s="15" t="str">
        <x:v>24 → 30</x:v>
      </x:c>
      <x:c r="K25" s="15" t="str">
        <x:v>3322/3782/5164/11238</x:v>
      </x:c>
      <x:c r="L25" s="15" t="str">
        <x:v>Random Spell: No basic attack. Every 2.5s, deal 300% ATK random-element damage to a random enemy.</x:v>
      </x:c>
      <x:c r="M25" s="15" t="str">
        <x:v>随机法术：无普攻，每2.0秒对随机敌人造成攻击600%的随机属性伤害，并有20%概率触发双重施法。</x:v>
      </x:c>
      <x:c r="N25" s="15" t="str">
        <x:v>已按指定新表提取</x:v>
      </x:c>
    </x:row>
    <x:row r="26" ht="38" customHeight="1">
      <x:c r="A26" s="11" t="str">
        <x:v>human_swordsman</x:v>
      </x:c>
      <x:c r="B26" s="11" t="str">
        <x:v>剑士</x:v>
      </x:c>
      <x:c r="C26" s="11" t="str">
        <x:v>盾击</x:v>
      </x:c>
      <x:c r="D26" s="11" t="str">
        <x:v>front_cone_stun</x:v>
      </x:c>
      <x:c r="E26" s="11" t="str">
        <x:v>主动·冷却</x:v>
      </x:c>
      <x:c r="F26" s="11" t="str">
        <x:v>—</x:v>
      </x:c>
      <x:c r="G26" s="11" t="str">
        <x:v>盾击（冷却5.0秒）：攻击最近敌人，造成自身攻击150%伤害并眩晕1.0秒。</x:v>
      </x:c>
      <x:c r="H26" s="11" t="str">
        <x:v>damage_atk_pct = 1.5
stun_sec = 1</x:v>
      </x:c>
      <x:c r="I26" s="11" t="str">
        <x:v>damage_atk_pct: 1.5 → 3
stun_sec: 1 → 2</x:v>
      </x:c>
      <x:c r="J26" s="11" t="str">
        <x:v>12 → 12</x:v>
      </x:c>
      <x:c r="K26" s="11" t="str">
        <x:v>882/1326/2649/3714</x:v>
      </x:c>
      <x:c r="L26" s="11" t="str">
        <x:v>Shield Bash (CD 5.0s): Strike the nearest enemy for 150% ATK damage and stun for 1.0s.</x:v>
      </x:c>
      <x:c r="M26" s="11" t="str">
        <x:v>盾击（冷却5.0秒）：攻击最近敌人，造成自身攻击300%伤害并眩晕2.0秒。</x:v>
      </x:c>
      <x:c r="N26" s="11" t="str">
        <x:v>已按指定新表提取</x:v>
      </x:c>
    </x:row>
    <x:row r="27" ht="62" customHeight="1">
      <x:c r="A27" s="15" t="str">
        <x:v>human_king</x:v>
      </x:c>
      <x:c r="B27" s="15" t="str">
        <x:v>人王</x:v>
      </x:c>
      <x:c r="C27" s="15" t="str">
        <x:v>人王唯一技</x:v>
      </x:c>
      <x:c r="D27" s="15" t="str">
        <x:v>unique_king_growth</x:v>
      </x:c>
      <x:c r="E27" s="15" t="str">
        <x:v>战后结算（需存活）</x:v>
      </x:c>
      <x:c r="F27" s="15" t="str">
        <x:v>—</x:v>
      </x:c>
      <x:c r="G27" s="15" t="str">
        <x:v>人王唯一技：棋盘上只能存在一只人王。若参战且战后仍存活，全属性永久x1.2（上限5层）；若死亡则从棋盘移除；升星继承三只材料中成长最高的人王数值。</x:v>
      </x:c>
      <x:c r="H27" s="15" t="str">
        <x:v>max_stacks = 5
post_battle_all_stat_growth = 0.2
remove_on_death = true
unique_on_board = true</x:v>
      </x:c>
      <x:c r="I27" s="15" t="str">
        <x:v>max_stacks: 5 → 8
post_battle_all_stat_growth: 0.2 → 0.3</x:v>
      </x:c>
      <x:c r="J27" s="15" t="str">
        <x:v>0 → 0</x:v>
      </x:c>
      <x:c r="K27" s="15" t="str">
        <x:v>418/630/1254/1444</x:v>
      </x:c>
      <x:c r="L27" s="15" t="str">
        <x:v>Human King Unique (one on board): If this unit survives a battle, HP/ATK/DEF permanently ×1.2 (cap 5 stacks). If it dies, it is removed from the board. On upgrade, inherit the highest growth value from the three materials.</x:v>
      </x:c>
      <x:c r="M27" s="15" t="str">
        <x:v>人王唯一技：棋盘上只能存在一只人王。若参战且战后仍存活，生命、攻击、防御永久x1.3（上限8层）；若死亡则从棋盘移除；升星继承三只材料中成长最高的人王数值。</x:v>
      </x:c>
      <x:c r="N27" s="15" t="str">
        <x:v>已按指定新表提取</x:v>
      </x:c>
    </x:row>
    <x:row r="28" ht="38" customHeight="1">
      <x:c r="A28" s="11" t="str">
        <x:v>undead_poison</x:v>
      </x:c>
      <x:c r="B28" s="11" t="str">
        <x:v>毒灵</x:v>
      </x:c>
      <x:c r="C28" s="11" t="str">
        <x:v>毒击</x:v>
      </x:c>
      <x:c r="D28" s="11" t="str">
        <x:v>poison_attack</x:v>
      </x:c>
      <x:c r="E28" s="11" t="str">
        <x:v>普攻附带（被动）</x:v>
      </x:c>
      <x:c r="F28" s="11" t="str">
        <x:v>—</x:v>
      </x:c>
      <x:c r="G28" s="11" t="str">
        <x:v>毒击：普通攻击附带中毒，每秒造成目标最大生命3%伤害，持续4.0秒；灵4毒伤x2。</x:v>
      </x:c>
      <x:c r="H28" s="11" t="str">
        <x:v>poison_duration = 4
poison_pct_max_hp = 0.03</x:v>
      </x:c>
      <x:c r="I28" s="11" t="str">
        <x:v>poison_duration: 4 → 6
poison_pct_max_hp: 0.03 → 0.06</x:v>
      </x:c>
      <x:c r="J28" s="11" t="str">
        <x:v>0 → 0</x:v>
      </x:c>
      <x:c r="K28" s="11" t="str">
        <x:v>11730/11900/12390/20000</x:v>
      </x:c>
      <x:c r="L28" s="11" t="str">
        <x:v>Poison Strike: Normal attacks apply poison — 3% max HP per second for 4.0s. Up to 2 stacks tick separately.</x:v>
      </x:c>
      <x:c r="M28" s="11" t="str">
        <x:v>毒击：普通攻击附带中毒，每秒造成目标最大生命6%伤害，持续6.0秒；最多2层，分别扣血。</x:v>
      </x:c>
      <x:c r="N28" s="11" t="str">
        <x:v>已按指定新表提取</x:v>
      </x:c>
    </x:row>
    <x:row r="29" ht="38" customHeight="1">
      <x:c r="A29" s="15" t="str">
        <x:v>undead_small</x:v>
      </x:c>
      <x:c r="B29" s="15" t="str">
        <x:v>小灵</x:v>
      </x:c>
      <x:c r="C29" s="15" t="str">
        <x:v>无</x:v>
      </x:c>
      <x:c r="D29" s="15" t="str">
        <x:v>none</x:v>
      </x:c>
      <x:c r="E29" s="15" t="str">
        <x:v>无</x:v>
      </x:c>
      <x:c r="F29" s="15" t="str">
        <x:v>—</x:v>
      </x:c>
      <x:c r="G29" s="15" t="str">
        <x:v>无主动技能。</x:v>
      </x:c>
      <x:c r="H29" s="15" t="str">
        <x:v>star4_multiplier = 1.5</x:v>
      </x:c>
      <x:c r="I29" s="15" t="str">
        <x:v>无</x:v>
      </x:c>
      <x:c r="J29" s="15" t="str">
        <x:v>0 → 0</x:v>
      </x:c>
      <x:c r="K29" s="15" t="str">
        <x:v>240/360/720/1080</x:v>
      </x:c>
      <x:c r="L29" s="15" t="str">
        <x:v>No active skill.</x:v>
      </x:c>
      <x:c r="M29" s="15" t="str">
        <x:v>无主动技能。</x:v>
      </x:c>
      <x:c r="N29" s="15" t="str">
        <x:v>已按指定新表提取</x:v>
      </x:c>
    </x:row>
    <x:row r="30" ht="38" customHeight="1">
      <x:c r="A30" s="11" t="str">
        <x:v>undead_bomb</x:v>
      </x:c>
      <x:c r="B30" s="11" t="str">
        <x:v>自爆灵</x:v>
      </x:c>
      <x:c r="C30" s="11" t="str">
        <x:v>死亡毒爆</x:v>
      </x:c>
      <x:c r="D30" s="11" t="str">
        <x:v>death_poison_explosion</x:v>
      </x:c>
      <x:c r="E30" s="11" t="str">
        <x:v>自身死亡时</x:v>
      </x:c>
      <x:c r="F30" s="11" t="str">
        <x:v>—</x:v>
      </x:c>
      <x:c r="G30" s="11" t="str">
        <x:v>死亡毒爆：死亡时对周围敌人造成自身攻击250%真实伤害，并施加中毒。</x:v>
      </x:c>
      <x:c r="H30" s="11" t="str">
        <x:v>damage_atk_pct = 2.5</x:v>
      </x:c>
      <x:c r="I30" s="11" t="str">
        <x:v>damage_atk_pct: 2.5 → 5</x:v>
      </x:c>
      <x:c r="J30" s="11" t="str">
        <x:v>0 → 0</x:v>
      </x:c>
      <x:c r="K30" s="11" t="str">
        <x:v>1102/1657/3306/3800</x:v>
      </x:c>
      <x:c r="L30" s="11" t="str">
        <x:v>Death Poison Burst: On death, deal 250% ATK true damage to surrounding enemies and apply poison (up to 2 separate damage stacks).</x:v>
      </x:c>
      <x:c r="M30" s="11" t="str">
        <x:v>死亡毒爆：死亡时对周围敌人造成自身攻击500%真实伤害，并施加中毒（最多2层，分别扣血）。</x:v>
      </x:c>
      <x:c r="N30" s="11" t="str">
        <x:v>已按指定新表提取</x:v>
      </x:c>
    </x:row>
    <x:row r="31" ht="38" customHeight="1">
      <x:c r="A31" s="15" t="str">
        <x:v>undead_fly</x:v>
      </x:c>
      <x:c r="B31" s="15" t="str">
        <x:v>飞灵</x:v>
      </x:c>
      <x:c r="C31" s="15" t="str">
        <x:v>毒击</x:v>
      </x:c>
      <x:c r="D31" s="15" t="str">
        <x:v>poison_attack</x:v>
      </x:c>
      <x:c r="E31" s="15" t="str">
        <x:v>普攻附带（被动）</x:v>
      </x:c>
      <x:c r="F31" s="15" t="str">
        <x:v>—</x:v>
      </x:c>
      <x:c r="G31" s="15" t="str">
        <x:v>毒击：普通攻击附带中毒，每秒造成目标最大生命3%伤害，持续4.0秒；灵4毒伤x2。</x:v>
      </x:c>
      <x:c r="H31" s="15" t="str">
        <x:v>poison_duration = 4
poison_pct_max_hp = 0.03</x:v>
      </x:c>
      <x:c r="I31" s="15" t="str">
        <x:v>dodge: 0.25 → 0.4
poison_duration: 4 → 6
poison_pct_max_hp: 0.03 → 0.06</x:v>
      </x:c>
      <x:c r="J31" s="15" t="str">
        <x:v>0 → 0</x:v>
      </x:c>
      <x:c r="K31" s="15" t="str">
        <x:v>13392/13788/14976/20000</x:v>
      </x:c>
      <x:c r="L31" s="15" t="str">
        <x:v>Poison Strike: Normal attacks apply poison — 3% max HP per second for 4.0s. Up to 2 stacks tick separately.</x:v>
      </x:c>
      <x:c r="M31" s="15" t="str">
        <x:v>毒击：普通攻击附带中毒，每秒造成目标最大生命6%伤害，持续6.0秒；最多2层，分别扣血。</x:v>
      </x:c>
      <x:c r="N31" s="15" t="str">
        <x:v>已按指定新表提取</x:v>
      </x:c>
    </x:row>
    <x:row r="32" ht="38" customHeight="1">
      <x:c r="A32" s="11" t="str">
        <x:v>undead_parasite</x:v>
      </x:c>
      <x:c r="B32" s="11" t="str">
        <x:v>寄生灵</x:v>
      </x:c>
      <x:c r="C32" s="11" t="str">
        <x:v>寄生</x:v>
      </x:c>
      <x:c r="D32" s="11" t="str">
        <x:v>parasite_on_kill</x:v>
      </x:c>
      <x:c r="E32" s="11" t="str">
        <x:v>普攻标记 + 目标死亡时</x:v>
      </x:c>
      <x:c r="F32" s="11" t="str">
        <x:v>—</x:v>
      </x:c>
      <x:c r="G32" s="11" t="str">
        <x:v>寄生：普攻标记非 Boss 敌人，被标记敌人死亡时，召唤该敌人的分身，生命为原目标20%，攻防为原目标50%。</x:v>
      </x:c>
      <x:c r="H32" s="11" t="str">
        <x:v>clone_atk_def_pct = 0.5
clone_hp_pct = 0.2</x:v>
      </x:c>
      <x:c r="I32" s="11" t="str">
        <x:v>clone_atk_def_pct: 0.5 → 0.75
clone_hp_pct: 0.2 → 0.5</x:v>
      </x:c>
      <x:c r="J32" s="11" t="str">
        <x:v>0 → 0</x:v>
      </x:c>
      <x:c r="K32" s="11" t="str">
        <x:v>547/826/1642/1891</x:v>
      </x:c>
      <x:c r="L32" s="11" t="str">
        <x:v>Parasite: When a basic attack kills a non-Boss enemy, summon its clone at 20% HP and 50% ATK/DEF.</x:v>
      </x:c>
      <x:c r="M32" s="11" t="str">
        <x:v>寄生：普攻标记非 Boss 敌人，被标记敌人死亡时，召唤该敌人的分身，生命为原目标50%，攻防为原目标75%。</x:v>
      </x:c>
      <x:c r="N32" s="11" t="str">
        <x:v>已按指定新表提取</x:v>
      </x:c>
    </x:row>
    <x:row r="33" ht="38" customHeight="1">
      <x:c r="A33" s="15" t="str">
        <x:v>undead_spike</x:v>
      </x:c>
      <x:c r="B33" s="15" t="str">
        <x:v>刺灵</x:v>
      </x:c>
      <x:c r="C33" s="15" t="str">
        <x:v>腐蚀攻击</x:v>
      </x:c>
      <x:c r="D33" s="15" t="str">
        <x:v>defense_down_attack</x:v>
      </x:c>
      <x:c r="E33" s="15" t="str">
        <x:v>普攻附带（被动）</x:v>
      </x:c>
      <x:c r="F33" s="15" t="str">
        <x:v>—</x:v>
      </x:c>
      <x:c r="G33" s="15" t="str">
        <x:v>腐蚀攻击：普通攻击降低目标防御30%，持续5.0秒；暗2会增强效果。</x:v>
      </x:c>
      <x:c r="H33" s="15" t="str">
        <x:v>def_down_pct = 0.3
duration = 5</x:v>
      </x:c>
      <x:c r="I33" s="15" t="str">
        <x:v>def_down_pct: 0.3 → 0.6
duration: 5 → 8</x:v>
      </x:c>
      <x:c r="J33" s="15" t="str">
        <x:v>0 → 0</x:v>
      </x:c>
      <x:c r="K33" s="15" t="str">
        <x:v>694/1042/2084/2396</x:v>
      </x:c>
      <x:c r="L33" s="15" t="str">
        <x:v>Corrosive Strike: Normal attacks reduce target DEF by 30% for 5.0s.</x:v>
      </x:c>
      <x:c r="M33" s="15" t="str">
        <x:v>腐蚀攻击：普通攻击降低目标防御60%，持续8.0秒。</x:v>
      </x:c>
      <x:c r="N33" s="15" t="str">
        <x:v>已按指定新表提取</x:v>
      </x:c>
    </x:row>
    <x:row r="34" ht="62" customHeight="1">
      <x:c r="A34" s="11" t="str">
        <x:v>undead_titan</x:v>
      </x:c>
      <x:c r="B34" s="11" t="str">
        <x:v>巨甲灵</x:v>
      </x:c>
      <x:c r="C34" s="11" t="str">
        <x:v>毒甲</x:v>
      </x:c>
      <x:c r="D34" s="11" t="str">
        <x:v>poison_reflect_armor_stack</x:v>
      </x:c>
      <x:c r="E34" s="11" t="str">
        <x:v>被命中时（被动）</x:v>
      </x:c>
      <x:c r="F34" s="11" t="str">
        <x:v>—</x:v>
      </x:c>
      <x:c r="G34" s="11" t="str">
        <x:v>毒甲：受伤后反弹本次伤害15%真实伤害并使攻击者中毒；自身防御每次+14%，最多10层。</x:v>
      </x:c>
      <x:c r="H34" s="11" t="str">
        <x:v>armor_per_hit_pct = 0.14
max_stacks = 10
reflect_taken_damage_pct = 0.15</x:v>
      </x:c>
      <x:c r="I34" s="11" t="str">
        <x:v>armor_per_hit_pct: 0.14 → 0.28
reflect_taken_damage_pct: 0.15 → 0.3</x:v>
      </x:c>
      <x:c r="J34" s="11" t="str">
        <x:v>0 → 0</x:v>
      </x:c>
      <x:c r="K34" s="11" t="str">
        <x:v>6453/6678/7353/7560</x:v>
      </x:c>
      <x:c r="L34" s="11" t="str">
        <x:v>Toxic Armor: On taking damage, reflect 15% as true damage and poison the attacker (up to 2 separate damage stacks). Own DEF stacks +14% per hit (max 10 stacks).</x:v>
      </x:c>
      <x:c r="M34" s="11" t="str">
        <x:v>毒甲：受伤后反弹本次伤害30%真实伤害并使攻击者中毒（最多2层，分别扣血）；自身防御每次+28%，最多10层。</x:v>
      </x:c>
      <x:c r="N34" s="11" t="str">
        <x:v>已按指定新表提取</x:v>
      </x:c>
    </x:row>
    <x:row r="35" ht="62" customHeight="1">
      <x:c r="A35" s="15" t="str">
        <x:v>undead_mother</x:v>
      </x:c>
      <x:c r="B35" s="15" t="str">
        <x:v>母灵</x:v>
      </x:c>
      <x:c r="C35" s="15" t="str">
        <x:v>母灵处决</x:v>
      </x:c>
      <x:c r="D35" s="15" t="str">
        <x:v>unique_death_execute</x:v>
      </x:c>
      <x:c r="E35" s="15" t="str">
        <x:v>己方每击杀N个敌人</x:v>
      </x:c>
      <x:c r="F35" s="15" t="str">
        <x:v>—</x:v>
      </x:c>
      <x:c r="G35" s="15" t="str">
        <x:v>母灵：每名玩家最多1只；3v3中多个玩家的母灵可同时生效且各自独立计数。每5个非母灵处决造成的敌军死亡触发一次；1阶/佣兵50%、2阶35%、3阶10%即死，Boss改为20%最大生命伤害。</x:v>
      </x:c>
      <x:c r="H35" s="15" t="str">
        <x:v>boss_max_hp_damage = 0.2
death_threshold = 5
tier1_or_merc_chance = 0.5
tier2_chance = 0.35
tier3_chance = 0.1
unique_on_board = true</x:v>
      </x:c>
      <x:c r="I35" s="15" t="str">
        <x:v>boss_max_hp_damage: 0.2 → 0.3
death_threshold: 5 → 4
tier1_or_merc_chance: 0.5 → 0.55
tier2_chance: 0.35 → 0.35</x:v>
      </x:c>
      <x:c r="J35" s="15" t="str">
        <x:v>0 → 0</x:v>
      </x:c>
      <x:c r="K35" s="15" t="str">
        <x:v>963/1444/2888/3316</x:v>
      </x:c>
      <x:c r="L35" s="15" t="str">
        <x:v>Matron: each player can field 1; in 3v3, each player's Matron works at the same time and counts independently. Every 5 enemy deaths not caused by Matron execute: Tier 1/Merc 50%, Tier 2 35%, Tier 3 10%; vs Boss deal 20% max HP instead.</x:v>
      </x:c>
      <x:c r="M35" s="15" t="str">
        <x:v>母灵：每名玩家最多1只；3v3中多个玩家的母灵可同时生效且各自独立计数。每4个非母灵处决造成的敌军死亡触发一次；1阶/佣兵55%、2阶35%、3阶10%即死，Boss改为30%最大生命伤害。</x:v>
      </x:c>
      <x:c r="N35" s="15" t="str">
        <x:v>已按指定新表提取</x:v>
      </x:c>
    </x:row>
    <x:row r="36" ht="38" customHeight="1">
      <x:c r="A36" s="11" t="str">
        <x:v>crimson</x:v>
      </x:c>
      <x:c r="B36" s="11" t="str">
        <x:v>赤卫</x:v>
      </x:c>
      <x:c r="C36" s="11" t="str">
        <x:v>赤卫格挡</x:v>
      </x:c>
      <x:c r="D36" s="11" t="str">
        <x:v>block_guard</x:v>
      </x:c>
      <x:c r="E36" s="11" t="str">
        <x:v>受击被动</x:v>
      </x:c>
      <x:c r="F36" s="11" t="str">
        <x:v>—</x:v>
      </x:c>
      <x:c r="G36" s="11" t="str">
        <x:v>直接普攻或技能命中时有 20% 概率完全格挡，4★ 为 30%；持续伤害跳数不触发。</x:v>
      </x:c>
      <x:c r="H36" s="11" t="str">
        <x:v>block_chance = 0.2</x:v>
      </x:c>
      <x:c r="I36" s="11" t="str">
        <x:v>block_chance: 0.2 → 0.3</x:v>
      </x:c>
      <x:c r="J36" s="11" t="str">
        <x:v>0 → 0</x:v>
      </x:c>
      <x:c r="K36" s="11" t="str">
        <x:v>279/423/837/963</x:v>
      </x:c>
      <x:c r="L36" s="11" t="str">
        <x:v>Crimson Guard: 20% chance to fully block each direct basic or skill hit; damage-over-time ticks do not trigger it.</x:v>
      </x:c>
      <x:c r="M36" s="11" t="str">
        <x:v>赤卫格挡：每次受到普攻或技能直击时，有30%概率完全格挡；持续伤害不触发。</x:v>
      </x:c>
      <x:c r="N36" s="11" t="str">
        <x:v>已按指定新表提取</x:v>
      </x:c>
    </x:row>
    <x:row r="37" ht="62" customHeight="1">
      <x:c r="A37" s="15" t="str">
        <x:v>dancer</x:v>
      </x:c>
      <x:c r="B37" s="15" t="str">
        <x:v>赤舞者</x:v>
      </x:c>
      <x:c r="C37" s="15" t="str">
        <x:v>赤舞</x:v>
      </x:c>
      <x:c r="D37" s="15" t="str">
        <x:v>random_ally_buff</x:v>
      </x:c>
      <x:c r="E37" s="15" t="str">
        <x:v>主动·冷却</x:v>
      </x:c>
      <x:c r="F37" s="15" t="str">
        <x:v>5</x:v>
      </x:c>
      <x:c r="G37" s="15" t="str">
        <x:v>每 5 秒选 1 名友军，随机令技能剩余冷却 -2 秒，或攻击 / 攻速 +20% 持续 3 秒；4★ 选 2 名。</x:v>
      </x:c>
      <x:c r="H37" s="15" t="str">
        <x:v>ally_count = 1
buff_duration = 3
buff_pct = 0.2
skill_cd = 5</x:v>
      </x:c>
      <x:c r="I37" s="15" t="str">
        <x:v>ally_count: 1 → 2</x:v>
      </x:c>
      <x:c r="J37" s="15" t="str">
        <x:v>12 → 12</x:v>
      </x:c>
      <x:c r="K37" s="15" t="str">
        <x:v>294/441/882/1019</x:v>
      </x:c>
      <x:c r="L37" s="15" t="str">
        <x:v>Crimson Dance (CD 5.0s): Choose 1 distinct random allies. Each gets one random effect: 2s off remaining skill cooldown, +20% ATK, or +20% attack speed for 3.0s. Same-type buffs refresh.</x:v>
      </x:c>
      <x:c r="M37" s="15" t="str">
        <x:v>赤舞祝福（冷却5.0秒）：随机选择2名不同友军（优先其他存活队友，人数不足时可选自身），各随机获得一种效果：技能剩余冷却-2秒、攻击+20%或攻速+20%，增益持续3.0秒，同类刷新不叠加。</x:v>
      </x:c>
      <x:c r="N37" s="15" t="str">
        <x:v>已按指定新表提取</x:v>
      </x:c>
    </x:row>
    <x:row r="38" ht="62" customHeight="1">
      <x:c r="A38" s="11" t="str">
        <x:v>drumer</x:v>
      </x:c>
      <x:c r="B38" s="11" t="str">
        <x:v>战鼓使</x:v>
      </x:c>
      <x:c r="C38" s="11" t="str">
        <x:v>战鼓</x:v>
      </x:c>
      <x:c r="D38" s="11" t="str">
        <x:v>team_random_stack</x:v>
      </x:c>
      <x:c r="E38" s="11" t="str">
        <x:v>普攻被动</x:v>
      </x:c>
      <x:c r="F38" s="11" t="str">
        <x:v>—</x:v>
      </x:c>
      <x:c r="G38" s="11" t="str">
        <x:v>普攻命中使符合条件的友军攻击和攻速各 +5%，最多 15 层，持续 3 秒且每次刷新；每击有 1/3 概率治疗友军最大生命 5%；4★ 每层 +8%。</x:v>
      </x:c>
      <x:c r="H38" s="11" t="str">
        <x:v>heal_pct = 0.05
max_stacks = 15
stack_duration = 3
stack_pct = 0.05</x:v>
      </x:c>
      <x:c r="I38" s="11" t="str">
        <x:v>stack_pct: 0.05 → 0.08</x:v>
      </x:c>
      <x:c r="J38" s="11" t="str">
        <x:v>0 → 0</x:v>
      </x:c>
      <x:c r="K38" s="11" t="str">
        <x:v>879/1319/2637/4189</x:v>
      </x:c>
      <x:c r="L38" s="11" t="str">
        <x:v>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x:v>
      </x:c>
      <x:c r="M38" s="11" t="str">
        <x:v>战鼓共振：每次普攻命中使可作用的存活友军同时叠加攻击+8%和攻速+8%，各最多15层；每次叠加刷新该棋子全部战鼓层的3.0秒持续时间。分路战斗先作用本路，开放并连通后可跨路；另有1/3概率立刻回复可作用友军最大生命5%。</x:v>
      </x:c>
      <x:c r="N38" s="11" t="str">
        <x:v>已按指定新表提取</x:v>
      </x:c>
    </x:row>
    <x:row r="39" ht="38" customHeight="1">
      <x:c r="A39" s="15" t="str">
        <x:v>hunter</x:v>
      </x:c>
      <x:c r="B39" s="15" t="str">
        <x:v>血猎者</x:v>
      </x:c>
      <x:c r="C39" s="15" t="str">
        <x:v>血猎</x:v>
      </x:c>
      <x:c r="D39" s="15" t="str">
        <x:v>current_hp_strike</x:v>
      </x:c>
      <x:c r="E39" s="15" t="str">
        <x:v>普攻被动</x:v>
      </x:c>
      <x:c r="F39" s="15" t="str">
        <x:v>—</x:v>
      </x:c>
      <x:c r="G39" s="15" t="str">
        <x:v>普攻附加目标受击前当前生命 10% 伤害，Boss 为 5%，不暴击；4★ 增加低血处决。</x:v>
      </x:c>
      <x:c r="H39" s="15" t="str">
        <x:v>boss_hp_pct = 0.05
current_hp_pct = 0.1</x:v>
      </x:c>
      <x:c r="I39" s="15" t="str">
        <x:v>execute_atk_pct: — → 0.5
execute_threshold: — → 0.3</x:v>
      </x:c>
      <x:c r="J39" s="15" t="str">
        <x:v>0 → 0</x:v>
      </x:c>
      <x:c r="K39" s="15" t="str">
        <x:v>11709/11870/12347/12490</x:v>
      </x:c>
      <x:c r="L39" s="15" t="str">
        <x:v>Blood Hunt: Basics deal extra damage equal to 10% of the target's pre-hit current HP (5% against bosses); the extra damage cannot crit.</x:v>
      </x:c>
      <x:c r="M39" s="15" t="str">
        <x:v>血猎：普攻额外造成目标受击前当前生命10%的伤害，Boss为5%；额外伤害不暴击。目标受击前生命低于30%时，再造成自身攻击50%伤害。</x:v>
      </x:c>
      <x:c r="N39" s="15" t="str">
        <x:v>已按指定新表提取</x:v>
      </x:c>
    </x:row>
    <x:row r="40" ht="38" customHeight="1">
      <x:c r="A40" s="11" t="str">
        <x:v>armbreaker</x:v>
      </x:c>
      <x:c r="B40" s="11" t="str">
        <x:v>破甲者</x:v>
      </x:c>
      <x:c r="C40" s="11" t="str">
        <x:v>破甲</x:v>
      </x:c>
      <x:c r="D40" s="11" t="str">
        <x:v>stacking_def_break</x:v>
      </x:c>
      <x:c r="E40" s="11" t="str">
        <x:v>普攻被动</x:v>
      </x:c>
      <x:c r="F40" s="11" t="str">
        <x:v>—</x:v>
      </x:c>
      <x:c r="G40" s="11" t="str">
        <x:v>每次普攻命中永久降低目标防御 2 点，可叠至零；4★ 每次降低 4 点。</x:v>
      </x:c>
      <x:c r="H40" s="11" t="str">
        <x:v>break_amount = 2
break_chance = 1</x:v>
      </x:c>
      <x:c r="I40" s="11" t="str">
        <x:v>break_amount: 2 → 4</x:v>
      </x:c>
      <x:c r="J40" s="11" t="str">
        <x:v>0 → 0</x:v>
      </x:c>
      <x:c r="K40" s="11" t="str">
        <x:v>486/729/1458/1674</x:v>
      </x:c>
      <x:c r="L40" s="11" t="str">
        <x:v>Armor Break: Each landed basic has a 100% chance to permanently reduce target DEF by 2, stacking down to zero.</x:v>
      </x:c>
      <x:c r="M40" s="11" t="str">
        <x:v>破甲：每次普攻命中有100%概率使目标防御永久降低4点，可叠加，最低为0。</x:v>
      </x:c>
      <x:c r="N40" s="11" t="str">
        <x:v>已按指定新表提取</x:v>
      </x:c>
    </x:row>
    <x:row r="41" ht="62" customHeight="1">
      <x:c r="A41" s="15" t="str">
        <x:v>Icey</x:v>
      </x:c>
      <x:c r="B41" s="15" t="str">
        <x:v>霜印使</x:v>
      </x:c>
      <x:c r="C41" s="15" t="str">
        <x:v>霜印</x:v>
      </x:c>
      <x:c r="D41" s="15" t="str">
        <x:v>frost_status</x:v>
      </x:c>
      <x:c r="E41" s="15" t="str">
        <x:v>主动·冷却</x:v>
      </x:c>
      <x:c r="F41" s="15" t="str">
        <x:v>6</x:v>
      </x:c>
      <x:c r="G41" s="15" t="str">
        <x:v>每 6 秒对目标周围两格敌人造成攻击 110% 伤害并附加 3 秒冰弱：受伤 +25%，Boss +13%；4★ 伤害 150%、持续 5 秒。</x:v>
      </x:c>
      <x:c r="H41" s="15" t="str">
        <x:v>aoe_radius = 144
damage_atk_pct = 1.1
ice_duration = 3
ice_vulnerable_pct = 0.25
skill_cd = 6</x:v>
      </x:c>
      <x:c r="I41" s="15" t="str">
        <x:v>damage_atk_pct: 1.1 → 1.5
ice_duration: 3 → 5</x:v>
      </x:c>
      <x:c r="J41" s="15" t="str">
        <x:v>10 → 10</x:v>
      </x:c>
      <x:c r="K41" s="15" t="str">
        <x:v>888/1333/2661/3434</x:v>
      </x:c>
      <x:c r="L41" s="15" t="str">
        <x:v>Frost Mark (CD 6.0s): Deal 110% ATK skill damage to each enemy within two cells of the target and apply Ice Vulnerable for 3.0s. Damage taken +25% (+13% for bosses).</x:v>
      </x:c>
      <x:c r="M41" s="15" t="str">
        <x:v>霜印（冷却6.0秒）：以当前目标为中心，对2格范围内每名敌人造成自身攻击150%技能伤害，并附加冰易伤5.0秒，使其受到的伤害+25%（Boss为+13%）。</x:v>
      </x:c>
      <x:c r="N41" s="15" t="str">
        <x:v>已按指定新表提取</x:v>
      </x:c>
    </x:row>
    <x:row r="42" ht="38" customHeight="1">
      <x:c r="A42" s="11" t="str">
        <x:v>skypierce</x:v>
      </x:c>
      <x:c r="B42" s="11" t="str">
        <x:v>穿云弩手</x:v>
      </x:c>
      <x:c r="C42" s="11" t="str">
        <x:v>穿云连射</x:v>
      </x:c>
      <x:c r="D42" s="11" t="str">
        <x:v>line_pierce</x:v>
      </x:c>
      <x:c r="E42" s="11" t="str">
        <x:v>普攻被动</x:v>
      </x:c>
      <x:c r="F42" s="11" t="str">
        <x:v>—</x:v>
      </x:c>
      <x:c r="G42" s="11" t="str">
        <x:v>普攻最多穿透一线 4 个目标，依次造成攻击 100% / 80% / 60% / 40% 伤害；4★ 衰减改为每目标 10%。分别结算防御和属性。</x:v>
      </x:c>
      <x:c r="H42" s="11" t="str">
        <x:v>pierce_falloff = 0.2
pierce_targets = 4</x:v>
      </x:c>
      <x:c r="I42" s="11" t="str">
        <x:v>pierce_falloff: 0.2 → 0.1</x:v>
      </x:c>
      <x:c r="J42" s="11" t="str">
        <x:v>0 → 0</x:v>
      </x:c>
      <x:c r="K42" s="11" t="str">
        <x:v>1014/1521/3042/3500</x:v>
      </x:c>
      <x:c r="L42" s="11" t="str">
        <x:v>Skypierce: Basics strike up to 4 enemies in a line for 100%, 80%, 60%, and 40% ATK damage. DEF and element are calculated separately.</x:v>
      </x:c>
      <x:c r="M42" s="11" t="str">
        <x:v>穿云：普攻沿直线最多命中4名敌人，第1至第4名分别受到自身攻击的100%、90%、80%、70%伤害，各自计算防御与元素克制。</x:v>
      </x:c>
      <x:c r="N42" s="11" t="str">
        <x:v>已按指定新表提取</x:v>
      </x:c>
    </x:row>
    <x:row r="43" ht="62" customHeight="1">
      <x:c r="A43" s="15" t="str">
        <x:v>lattern</x:v>
      </x:c>
      <x:c r="B43" s="15" t="str">
        <x:v>赤灯使</x:v>
      </x:c>
      <x:c r="C43" s="15" t="str">
        <x:v>赤灯沉默</x:v>
      </x:c>
      <x:c r="D43" s="15" t="str">
        <x:v>aoe_silence</x:v>
      </x:c>
      <x:c r="E43" s="15" t="str">
        <x:v>主动·冷却</x:v>
      </x:c>
      <x:c r="F43" s="15" t="str">
        <x:v>10 → 4★ 9</x:v>
      </x:c>
      <x:c r="G43" s="15" t="str">
        <x:v>开场沉默可选中路线的所有敌人 3 秒，期间攻速 -30%；4★ 沉默 4 秒、冷却 9 秒。</x:v>
      </x:c>
      <x:c r="H43" s="15" t="str">
        <x:v>silence_duration = 3
skill_cd = 10
skill_global = true
unique_on_board = true</x:v>
      </x:c>
      <x:c r="I43" s="15" t="str">
        <x:v>silence_duration: 3 → 4
skill_cd: 10 → 9</x:v>
      </x:c>
      <x:c r="J43" s="15" t="str">
        <x:v>6 → 7</x:v>
      </x:c>
      <x:c r="K43" s="15" t="str">
        <x:v>718/1076/2153/2476</x:v>
      </x:c>
      <x:c r="L43" s="15" t="str">
        <x:v>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x:v>
      </x:c>
      <x:c r="M43" s="15" t="str">
        <x:v>赤灯禁言（冷却9.0秒）：开战立即释放，使当前可攻击路线的所有敌人沉默4.0秒；沉默期间无法释放主动技能，攻速降低30%，普攻与被动正常。本路清空后，后续施法可按分路规则影响其他路（Boss控制时长减半）。</x:v>
      </x:c>
      <x:c r="N43" s="15" t="str">
        <x:v>已按指定新表提取</x:v>
      </x:c>
    </x:row>
  </x:sheetData>
  <x:mergeCells>
    <x:mergeCell ref="A1:N1"/>
    <x:mergeCell ref="A2:N2"/>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0" hidden="0" customWidth="1"/>
    <x:col min="2" max="2" width="13" hidden="0" customWidth="1"/>
    <x:col min="3" max="3" width="17" hidden="0" customWidth="1"/>
    <x:col min="4" max="4" width="24" hidden="0" customWidth="1"/>
    <x:col min="5" max="5" width="11" hidden="0" customWidth="1"/>
    <x:col min="6" max="6" width="100" hidden="0" customWidth="1"/>
    <x:col min="7" max="7" width="48" hidden="0" customWidth="1"/>
    <x:col min="8" max="8" width="13" hidden="0" customWidth="1"/>
    <x:col min="9" max="9" width="35" hidden="0" customWidth="1"/>
    <x:col min="10" max="10" width="23" hidden="0" customWidth="1"/>
    <x:col min="11" max="11" width="15" hidden="0" customWidth="1"/>
    <x:col min="12" max="12" width="15" hidden="0" customWidth="1"/>
    <x:col min="13" max="13" width="19" hidden="0" customWidth="1"/>
    <x:col min="14" max="14" width="62" hidden="0" customWidth="1"/>
  </x:cols>
  <x:sheetData>
    <x:row r="1" ht="34" customHeight="1">
      <x:c r="A1" s="2" t="str">
        <x:v>03_宠物与商城</x:v>
      </x:c>
      <x:c r="B1" s="2"/>
      <x:c r="C1" s="2"/>
      <x:c r="D1" s="2"/>
      <x:c r="E1" s="2"/>
      <x:c r="F1" s="2"/>
      <x:c r="G1" s="2"/>
      <x:c r="H1" s="2"/>
      <x:c r="I1" s="2"/>
      <x:c r="J1" s="2"/>
      <x:c r="K1" s="2"/>
      <x:c r="L1" s="2"/>
      <x:c r="M1" s="2"/>
      <x:c r="N1" s="2"/>
    </x:row>
    <x:row r="2" ht="32" customHeight="1">
      <x:c r="A2" s="4" t="str">
        <x:v>编辑 E 列效果百分比时，同步修改 F、N 列的说明百分比；工具会阻止文案与效果不一致。商品价格仍由 data/shop.json 管理。</x:v>
      </x:c>
      <x:c r="B2" s="4"/>
      <x:c r="C2" s="4"/>
      <x:c r="D2" s="4"/>
      <x:c r="E2" s="4"/>
      <x:c r="F2" s="4"/>
      <x:c r="G2" s="4"/>
      <x:c r="H2" s="4"/>
      <x:c r="I2" s="4"/>
      <x:c r="J2" s="4"/>
      <x:c r="K2" s="4"/>
      <x:c r="L2" s="4"/>
      <x:c r="M2" s="4"/>
      <x:c r="N2" s="4"/>
    </x:row>
    <x:row r="3" ht="28" customHeight="1">
      <x:c r="A3" s="7" t="str">
        <x:v>宠物 ID</x:v>
      </x:c>
      <x:c r="B3" s="7" t="str">
        <x:v>名称</x:v>
      </x:c>
      <x:c r="C3" s="7" t="str">
        <x:v>英文名</x:v>
      </x:c>
      <x:c r="D3" s="7" t="str">
        <x:v>技能类型</x:v>
      </x:c>
      <x:c r="E3" s="7" t="str">
        <x:v>加成</x:v>
      </x:c>
      <x:c r="F3" s="7" t="str">
        <x:v>完整中文技能说明</x:v>
      </x:c>
      <x:c r="G3" s="7" t="str">
        <x:v>作用对象 / 时机</x:v>
      </x:c>
      <x:c r="H3" s="7" t="str">
        <x:v>初始可选</x:v>
      </x:c>
      <x:c r="I3" s="7" t="str">
        <x:v>来源</x:v>
      </x:c>
      <x:c r="J3" s="7" t="str">
        <x:v>商品 ID</x:v>
      </x:c>
      <x:c r="K3" s="7" t="str">
        <x:v>货币</x:v>
      </x:c>
      <x:c r="L3" s="7" t="str">
        <x:v>本地配置价</x:v>
      </x:c>
      <x:c r="M3" s="7" t="str">
        <x:v>在本地商城上架</x:v>
      </x:c>
      <x:c r="N3" s="7" t="str">
        <x:v>短说明</x:v>
      </x:c>
    </x:row>
    <x:row r="4" ht="38" customHeight="1">
      <x:c r="A4" s="11" t="str">
        <x:v>pet_mushroom</x:v>
      </x:c>
      <x:c r="B4" s="11" t="str">
        <x:v>蘑菇</x:v>
      </x:c>
      <x:c r="C4" s="11" t="str">
        <x:v>Mushroom</x:v>
      </x:c>
      <x:c r="D4" s="11" t="str">
        <x:v>生命加成</x:v>
      </x:c>
      <x:c r="E4" s="11" t="str">
        <x:v>10%</x:v>
      </x:c>
      <x:c r="F4" s="11" t="str">
        <x:v>己方棋子最大生命 +10%。</x:v>
      </x:c>
      <x:c r="G4" s="11" t="str">
        <x:v>己方普通棋子；战斗开场</x:v>
      </x:c>
      <x:c r="H4" s="11" t="str">
        <x:v>是</x:v>
      </x:c>
      <x:c r="I4" s="11" t="str">
        <x:v>pets.json / PetService / LocaleManager</x:v>
      </x:c>
      <x:c r="J4" s="11" t="str">
        <x:v>shop_pet_mushroom</x:v>
      </x:c>
      <x:c r="K4" s="11" t="str">
        <x:v>coin</x:v>
      </x:c>
      <x:c r="L4" s="11" t="n">
        <x:v>500</x:v>
      </x:c>
      <x:c r="M4" s="11" t="str">
        <x:v>是</x:v>
      </x:c>
      <x:c r="N4" s="11" t="str">
        <x:v>己方棋子生命 +10%</x:v>
      </x:c>
    </x:row>
    <x:row r="5" ht="38" customHeight="1">
      <x:c r="A5" s="15" t="str">
        <x:v>pet_cat</x:v>
      </x:c>
      <x:c r="B5" s="15" t="str">
        <x:v>猫</x:v>
      </x:c>
      <x:c r="C5" s="15" t="str">
        <x:v>Cat</x:v>
      </x:c>
      <x:c r="D5" s="15" t="str">
        <x:v>利息</x:v>
      </x:c>
      <x:c r="E5" s="15" t="str">
        <x:v>5%</x:v>
      </x:c>
      <x:c r="F5" s="15" t="str">
        <x:v>金币利息率额外 +5%，与基础及复利宝藏分别计算。</x:v>
      </x:c>
      <x:c r="G5" s="15" t="str">
        <x:v>持有者；战后利息</x:v>
      </x:c>
      <x:c r="H5" s="15" t="str">
        <x:v>是</x:v>
      </x:c>
      <x:c r="I5" s="15" t="str">
        <x:v>pets.json / PetService / LocaleManager</x:v>
      </x:c>
      <x:c r="J5" s="15" t="str">
        <x:v>shop_pet_cat</x:v>
      </x:c>
      <x:c r="K5" s="15" t="str">
        <x:v>coin</x:v>
      </x:c>
      <x:c r="L5" s="15" t="n">
        <x:v>500</x:v>
      </x:c>
      <x:c r="M5" s="15" t="str">
        <x:v>是</x:v>
      </x:c>
      <x:c r="N5" s="15" t="str">
        <x:v>金币利息 +5%</x:v>
      </x:c>
    </x:row>
    <x:row r="6" ht="38" customHeight="1">
      <x:c r="A6" s="11" t="str">
        <x:v>pet_rabbit</x:v>
      </x:c>
      <x:c r="B6" s="11" t="str">
        <x:v>兔子</x:v>
      </x:c>
      <x:c r="C6" s="11" t="str">
        <x:v>Rabbit</x:v>
      </x:c>
      <x:c r="D6" s="11" t="str">
        <x:v>攻击加成</x:v>
      </x:c>
      <x:c r="E6" s="11" t="str">
        <x:v>10%</x:v>
      </x:c>
      <x:c r="F6" s="11" t="str">
        <x:v>己方棋子攻击 +10%。</x:v>
      </x:c>
      <x:c r="G6" s="11" t="str">
        <x:v>己方普通棋子；战斗开场</x:v>
      </x:c>
      <x:c r="H6" s="11" t="str">
        <x:v>是</x:v>
      </x:c>
      <x:c r="I6" s="11" t="str">
        <x:v>pets.json / PetService / LocaleManager</x:v>
      </x:c>
      <x:c r="J6" s="11" t="str">
        <x:v>shop_pet_rabbit</x:v>
      </x:c>
      <x:c r="K6" s="11" t="str">
        <x:v>coin</x:v>
      </x:c>
      <x:c r="L6" s="11" t="n">
        <x:v>500</x:v>
      </x:c>
      <x:c r="M6" s="11" t="str">
        <x:v>是</x:v>
      </x:c>
      <x:c r="N6" s="11" t="str">
        <x:v>己方棋子攻击 +10%</x:v>
      </x:c>
    </x:row>
    <x:row r="7" ht="38" customHeight="1">
      <x:c r="A7" s="15" t="str">
        <x:v>pet_squirrel</x:v>
      </x:c>
      <x:c r="B7" s="15" t="str">
        <x:v>松鼠</x:v>
      </x:c>
      <x:c r="C7" s="15" t="str">
        <x:v>Squirrel</x:v>
      </x:c>
      <x:c r="D7" s="15" t="str">
        <x:v>萝卜采集 / 容量</x:v>
      </x:c>
      <x:c r="E7" s="15" t="str">
        <x:v>20%</x:v>
      </x:c>
      <x:c r="F7" s="15" t="str">
        <x:v>每次萝卜收获额外 +20%，增量向下取整且至少 +1；己方营地萝卜容量 +20%，增量向下取整。</x:v>
      </x:c>
      <x:c r="G7" s="15" t="str">
        <x:v>己方采集和营地容量</x:v>
      </x:c>
      <x:c r="H7" s="15" t="str">
        <x:v>否</x:v>
      </x:c>
      <x:c r="I7" s="15" t="str">
        <x:v>pets.json / PetService / LocaleManager</x:v>
      </x:c>
      <x:c r="J7" s="15" t="str">
        <x:v>draw_pet_squirrel</x:v>
      </x:c>
      <x:c r="K7" s="15" t="str">
        <x:v>diamond</x:v>
      </x:c>
      <x:c r="L7" s="15" t="n">
        <x:v>75</x:v>
      </x:c>
      <x:c r="M7" s="15" t="str">
        <x:v>否</x:v>
      </x:c>
      <x:c r="N7" s="15" t="str">
        <x:v>萝卜采集与营地容量 +20%（采集至少多 1）</x:v>
      </x:c>
    </x:row>
    <x:row r="8" ht="38" customHeight="1">
      <x:c r="A8" s="11" t="str">
        <x:v>pet_tiger</x:v>
      </x:c>
      <x:c r="B8" s="11" t="str">
        <x:v>老虎</x:v>
      </x:c>
      <x:c r="C8" s="11" t="str">
        <x:v>Tiger</x:v>
      </x:c>
      <x:c r="D8" s="11" t="str">
        <x:v>升星成长</x:v>
      </x:c>
      <x:c r="E8" s="11" t="str">
        <x:v>5%</x:v>
      </x:c>
      <x:c r="F8" s="11" t="str">
        <x:v>每次自己的棋子升星永久 +1 层，棋盘和备战区、1–3 阶升星均计；每层使自己所有 1 阶棋子的生命、攻击、防御 +5%，无限累计。后来上场也继承；卖掉棋子不清层数。2–3 阶、队友和敌方不加成。</x:v>
      </x:c>
      <x:c r="G8" s="11" t="str">
        <x:v>自己的一阶棋子；升星永久叠层</x:v>
      </x:c>
      <x:c r="H8" s="11" t="str">
        <x:v>否</x:v>
      </x:c>
      <x:c r="I8" s="11" t="str">
        <x:v>pets.json / PetService / LocaleManager</x:v>
      </x:c>
      <x:c r="J8" s="11" t="str">
        <x:v>draw_pet_tiger</x:v>
      </x:c>
      <x:c r="K8" s="11" t="str">
        <x:v>diamond</x:v>
      </x:c>
      <x:c r="L8" s="11" t="n">
        <x:v>75</x:v>
      </x:c>
      <x:c r="M8" s="11" t="str">
        <x:v>否</x:v>
      </x:c>
      <x:c r="N8" s="11" t="str">
        <x:v>每次升星：一阶棋子生命、攻击、防御 +5%（无限累计）</x:v>
      </x:c>
    </x:row>
  </x:sheetData>
  <x:mergeCells>
    <x:mergeCell ref="A1:N1"/>
    <x:mergeCell ref="A2:N2"/>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18" hidden="0" customWidth="1"/>
    <x:col min="2" max="2" width="13" hidden="0" customWidth="1"/>
    <x:col min="3" max="3" width="30" hidden="0" customWidth="1"/>
    <x:col min="4" max="4" width="110" hidden="0" customWidth="1"/>
    <x:col min="5" max="5" width="34" hidden="0" customWidth="1"/>
    <x:col min="6" max="6" width="26" hidden="0" customWidth="1"/>
  </x:cols>
  <x:sheetData>
    <x:row r="1" ht="34" customHeight="1">
      <x:c r="A1" s="2" t="str">
        <x:v>04_羁绊</x:v>
      </x:c>
      <x:c r="B1" s="2"/>
      <x:c r="C1" s="2"/>
      <x:c r="D1" s="2"/>
      <x:c r="E1" s="2"/>
      <x:c r="F1" s="2"/>
    </x:row>
    <x:row r="2" ht="32" customHeight="1">
      <x:c r="A2" s="4" t="str">
        <x:v>按稳定种族 ID 与人数档提取。灵族按用户确认的双毒、减疗和毒伤玩法订正。</x:v>
      </x:c>
      <x:c r="B2" s="4"/>
      <x:c r="C2" s="4"/>
      <x:c r="D2" s="4"/>
      <x:c r="E2" s="4"/>
      <x:c r="F2" s="4"/>
    </x:row>
    <x:row r="3" ht="28" customHeight="1">
      <x:c r="A3" s="7" t="str">
        <x:v>种族 ID</x:v>
      </x:c>
      <x:c r="B3" s="7" t="str">
        <x:v>门槛</x:v>
      </x:c>
      <x:c r="C3" s="7" t="str">
        <x:v>名称</x:v>
      </x:c>
      <x:c r="D3" s="7" t="str">
        <x:v>中文效果</x:v>
      </x:c>
      <x:c r="E3" s="7" t="str">
        <x:v>状态</x:v>
      </x:c>
      <x:c r="F3" s="7" t="str">
        <x:v>原表位置</x:v>
      </x:c>
    </x:row>
    <x:row r="4" ht="38" customHeight="1">
      <x:c r="A4" s="11" t="str">
        <x:v>god</x:v>
      </x:c>
      <x:c r="B4" s="11" t="n">
        <x:v>1</x:v>
      </x:c>
      <x:c r="C4" s="11" t="str">
        <x:v>神族·死亡净化</x:v>
      </x:c>
      <x:c r="D4" s="11" t="str">
        <x:v>己方任一棋子死亡 → 随机一名己方存活棋子清除全部负面状态</x:v>
      </x:c>
      <x:c r="E4" s="11" t="str">
        <x:v>已审定</x:v>
      </x:c>
      <x:c r="F4" s="11" t="str">
        <x:v>10_种族羁绊!C4</x:v>
      </x:c>
    </x:row>
    <x:row r="5" ht="38" customHeight="1">
      <x:c r="A5" s="15" t="str">
        <x:v>god</x:v>
      </x:c>
      <x:c r="B5" s="15" t="n">
        <x:v>3</x:v>
      </x:c>
      <x:c r="C5" s="15" t="str">
        <x:v>神族·吸血</x:v>
      </x:c>
      <x:c r="D5" s="15" t="str">
        <x:v>仅神族棋子普攻吸血 20%，按实际造成的伤害结算。</x:v>
      </x:c>
      <x:c r="E5" s="15" t="str">
        <x:v>已审定</x:v>
      </x:c>
      <x:c r="F5" s="15" t="str">
        <x:v>10_种族羁绊!C5</x:v>
      </x:c>
    </x:row>
    <x:row r="6" ht="38" customHeight="1">
      <x:c r="A6" s="11" t="str">
        <x:v>god</x:v>
      </x:c>
      <x:c r="B6" s="11" t="n">
        <x:v>7</x:v>
      </x:c>
      <x:c r="C6" s="11" t="str">
        <x:v>神族·神圣脉冲</x:v>
      </x:c>
      <x:c r="D6" s="11" t="str">
        <x:v>神族 ≥7：从开战第 1 秒起每 5 秒，全队普通棋子无敌 1 秒；免普攻与技能伤害，中毒/流血/灼烧仍生效。</x:v>
      </x:c>
      <x:c r="E6" s="11" t="str">
        <x:v>已审定</x:v>
      </x:c>
      <x:c r="F6" s="11" t="str">
        <x:v>10_种族羁绊!C6</x:v>
      </x:c>
    </x:row>
    <x:row r="7" ht="38" customHeight="1">
      <x:c r="A7" s="15" t="str">
        <x:v>dark</x:v>
      </x:c>
      <x:c r="B7" s="15" t="n">
        <x:v>1</x:v>
      </x:c>
      <x:c r="C7" s="15" t="str">
        <x:v>暗族·死亡叠伤</x:v>
      </x:c>
      <x:c r="D7" s="15" t="str">
        <x:v>敌方每死 3 个 → 暗族单位普攻伤害 +6%（线性叠加，代码里没有上限）</x:v>
      </x:c>
      <x:c r="E7" s="15" t="str">
        <x:v>已审定</x:v>
      </x:c>
      <x:c r="F7" s="15" t="str">
        <x:v>10_种族羁绊!C7</x:v>
      </x:c>
    </x:row>
    <x:row r="8" ht="38" customHeight="1">
      <x:c r="A8" s="11" t="str">
        <x:v>dark</x:v>
      </x:c>
      <x:c r="B8" s="11" t="n">
        <x:v>2</x:v>
      </x:c>
      <x:c r="C8" s="11" t="str">
        <x:v>暗族·负面增强</x:v>
      </x:c>
      <x:c r="D8" s="11" t="str">
        <x:v>暗族施加的减攻 / 减速 / 减防效果 +30%。</x:v>
      </x:c>
      <x:c r="E8" s="11" t="str">
        <x:v>已审定</x:v>
      </x:c>
      <x:c r="F8" s="11" t="str">
        <x:v>10_种族羁绊!C9</x:v>
      </x:c>
    </x:row>
    <x:row r="9" ht="38" customHeight="1">
      <x:c r="A9" s="15" t="str">
        <x:v>dark</x:v>
      </x:c>
      <x:c r="B9" s="15" t="n">
        <x:v>5</x:v>
      </x:c>
      <x:c r="C9" s="15" t="str">
        <x:v>暗族·增伤</x:v>
      </x:c>
      <x:c r="D9" s="15" t="str">
        <x:v>暗族单位普攻伤害 +25%</x:v>
      </x:c>
      <x:c r="E9" s="15" t="str">
        <x:v>已审定</x:v>
      </x:c>
      <x:c r="F9" s="15" t="str">
        <x:v>10_种族羁绊!C8</x:v>
      </x:c>
    </x:row>
    <x:row r="10" ht="38" customHeight="1">
      <x:c r="A10" s="11" t="str">
        <x:v>dark</x:v>
      </x:c>
      <x:c r="B10" s="11" t="n">
        <x:v>7</x:v>
      </x:c>
      <x:c r="C10" s="11" t="str">
        <x:v>暗族·汲取</x:v>
      </x:c>
      <x:c r="D10" s="11" t="str">
        <x:v>暗族普攻命中即可叠层：目标攻击 / 防御 / 攻速各 -3%/层；自身各 +3%/层，最多 15 层。</x:v>
      </x:c>
      <x:c r="E10" s="11" t="str">
        <x:v>已审定</x:v>
      </x:c>
      <x:c r="F10" s="11" t="str">
        <x:v>10_种族羁绊!C10</x:v>
      </x:c>
    </x:row>
    <x:row r="11" ht="38" customHeight="1">
      <x:c r="A11" s="15" t="str">
        <x:v>undead</x:v>
      </x:c>
      <x:c r="B11" s="15" t="n">
        <x:v>1</x:v>
      </x:c>
      <x:c r="C11" s="15" t="str">
        <x:v>灵族特性·双毒</x:v>
      </x:c>
      <x:c r="D11" s="15" t="str">
        <x:v>灵族施加的中毒最多叠加 2 层，分别计时和造成伤害。</x:v>
      </x:c>
      <x:c r="E11" s="15" t="str">
        <x:v>已审定</x:v>
      </x:c>
      <x:c r="F11" s="15" t="str">
        <x:v>10_种族羁绊!C12</x:v>
      </x:c>
    </x:row>
    <x:row r="12" ht="38" customHeight="1">
      <x:c r="A12" s="11" t="str">
        <x:v>undead</x:v>
      </x:c>
      <x:c r="B12" s="11" t="n">
        <x:v>2</x:v>
      </x:c>
      <x:c r="C12" s="11" t="str">
        <x:v>灵2·剧毒抑疗</x:v>
      </x:c>
      <x:c r="D12" s="11" t="str">
        <x:v>目标中毒期间，其治疗与吸血获得的生命减少 30%。</x:v>
      </x:c>
      <x:c r="E12" s="11" t="str">
        <x:v>已审定</x:v>
      </x:c>
      <x:c r="F12" s="11" t="str">
        <x:v>10_种族羁绊!C11</x:v>
      </x:c>
    </x:row>
    <x:row r="13" ht="38" customHeight="1">
      <x:c r="A13" s="15" t="str">
        <x:v>undead</x:v>
      </x:c>
      <x:c r="B13" s="15" t="n">
        <x:v>4</x:v>
      </x:c>
      <x:c r="C13" s="15" t="str">
        <x:v>灵4·剧毒</x:v>
      </x:c>
      <x:c r="D13" s="15" t="str">
        <x:v>灵族中毒伤害翻倍。</x:v>
      </x:c>
      <x:c r="E13" s="15" t="str">
        <x:v>已审定</x:v>
      </x:c>
      <x:c r="F13" s="15" t="str">
        <x:v>10_种族羁绊!C11</x:v>
      </x:c>
    </x:row>
    <x:row r="14" ht="38" customHeight="1">
      <x:c r="A14" s="11" t="str">
        <x:v>undead</x:v>
      </x:c>
      <x:c r="B14" s="11" t="n">
        <x:v>7</x:v>
      </x:c>
      <x:c r="C14" s="11" t="str">
        <x:v>灵7·噬毒</x:v>
      </x:c>
      <x:c r="D14" s="11" t="str">
        <x:v>灵族单位攻击已中毒的敌人时，每次回复自身 15% 最大生命。</x:v>
      </x:c>
      <x:c r="E14" s="11" t="str">
        <x:v>已审定</x:v>
      </x:c>
      <x:c r="F14" s="11" t="str">
        <x:v>10_种族羁绊!C13</x:v>
      </x:c>
    </x:row>
    <x:row r="15" ht="38" customHeight="1">
      <x:c r="A15" s="15" t="str">
        <x:v>human</x:v>
      </x:c>
      <x:c r="B15" s="15" t="n">
        <x:v>1</x:v>
      </x:c>
      <x:c r="C15" s="15" t="str">
        <x:v>人族·三连暴</x:v>
      </x:c>
      <x:c r="D15" s="15" t="str">
        <x:v>人族单位每第 3 次普攻必定暴击（写在普攻里，不是羁绊，任何人族棋子都吃）</x:v>
      </x:c>
      <x:c r="E15" s="15" t="str">
        <x:v>已审定</x:v>
      </x:c>
      <x:c r="F15" s="15" t="str">
        <x:v>10_种族羁绊!C16</x:v>
      </x:c>
    </x:row>
    <x:row r="16" ht="38" customHeight="1">
      <x:c r="A16" s="11" t="str">
        <x:v>human</x:v>
      </x:c>
      <x:c r="B16" s="11" t="n">
        <x:v>2</x:v>
      </x:c>
      <x:c r="C16" s="11" t="str">
        <x:v>人族·开场护盾</x:v>
      </x:c>
      <x:c r="D16" s="11" t="str">
        <x:v>开场获得 最大生命×8% 的护盾</x:v>
      </x:c>
      <x:c r="E16" s="11" t="str">
        <x:v>已审定</x:v>
      </x:c>
      <x:c r="F16" s="11" t="str">
        <x:v>10_种族羁绊!C14</x:v>
      </x:c>
    </x:row>
    <x:row r="17" ht="38" customHeight="1">
      <x:c r="A17" s="15" t="str">
        <x:v>human</x:v>
      </x:c>
      <x:c r="B17" s="15" t="n">
        <x:v>7</x:v>
      </x:c>
      <x:c r="C17" s="15" t="str">
        <x:v>人族·死亡集结</x:v>
      </x:c>
      <x:c r="D17" s="15" t="str">
        <x:v>人族 ≥7：己方普通棋子死亡时，同一持有人的存活普通棋子获得一层集结：按开战基础值最大生命/攻击/防御/攻速各 +20%，回复新增生命，暴击率 +20%，暴伤 +10%；可叠层。</x:v>
      </x:c>
      <x:c r="E17" s="15" t="str">
        <x:v>已审定</x:v>
      </x:c>
      <x:c r="F17" s="15" t="str">
        <x:v>10_种族羁绊!C15</x:v>
      </x:c>
    </x:row>
    <x:row r="18" ht="38" customHeight="1">
      <x:c r="A18" s="11" t="str">
        <x:v>crimson</x:v>
      </x:c>
      <x:c r="B18" s="11" t="n">
        <x:v>1</x:v>
      </x:c>
      <x:c r="C18" s="11" t="str">
        <x:v>赤族·符文</x:v>
      </x:c>
      <x:c r="D18" s="11" t="str">
        <x:v>自身效果触发累积符文，最多 9 层；3 层暴击率 +30%，6 层攻速 ×1.6，9 层暴伤 +0.9。</x:v>
      </x:c>
      <x:c r="E18" s="11" t="str">
        <x:v>已审定</x:v>
      </x:c>
      <x:c r="F18" s="11" t="str">
        <x:v>10_种族羁绊!C72</x:v>
      </x:c>
    </x:row>
    <x:row r="19" ht="38" customHeight="1">
      <x:c r="A19" s="15" t="str">
        <x:v>crimson</x:v>
      </x:c>
      <x:c r="B19" s="15" t="n">
        <x:v>2</x:v>
      </x:c>
      <x:c r="C19" s="15" t="str">
        <x:v>赤族·延时</x:v>
      </x:c>
      <x:c r="D19" s="15" t="str">
        <x:v>施加的状态时长 +20%；沉默、眩晕、打断、冰冻类额外延时最多 0.5 秒。</x:v>
      </x:c>
      <x:c r="E19" s="15" t="str">
        <x:v>已审定</x:v>
      </x:c>
      <x:c r="F19" s="15" t="str">
        <x:v>10_种族羁绊!C73</x:v>
      </x:c>
    </x:row>
    <x:row r="20" ht="38" customHeight="1">
      <x:c r="A20" s="11" t="str">
        <x:v>crimson</x:v>
      </x:c>
      <x:c r="B20" s="11" t="n">
        <x:v>4</x:v>
      </x:c>
      <x:c r="C20" s="11" t="str">
        <x:v>赤族·共鸣</x:v>
      </x:c>
      <x:c r="D20" s="11" t="str">
        <x:v>赤族施加状态时自身获得 1 层共鸣，最多 10 层；每层攻击和攻速 +5%，4 秒未刷新即结束。</x:v>
      </x:c>
      <x:c r="E20" s="11" t="str">
        <x:v>已审定</x:v>
      </x:c>
      <x:c r="F20" s="11" t="str">
        <x:v>10_种族羁绊!C74</x:v>
      </x:c>
    </x:row>
    <x:row r="21" ht="38" customHeight="1">
      <x:c r="A21" s="15" t="str">
        <x:v>crimson</x:v>
      </x:c>
      <x:c r="B21" s="15" t="n">
        <x:v>7</x:v>
      </x:c>
      <x:c r="C21" s="15" t="str">
        <x:v>赤族·脉冲</x:v>
      </x:c>
      <x:c r="D21" s="15" t="str">
        <x:v>开战第 2 秒起每 5 秒：赤族单位技能剩余冷却 -1 秒、清除负面、治疗最大生命 6%、获得 1 层脉冲。每层攻击、攻速、暴击率 +10%，最多 5 层。</x:v>
      </x:c>
      <x:c r="E21" s="15" t="str">
        <x:v>已审定</x:v>
      </x:c>
      <x:c r="F21" s="15" t="str">
        <x:v>10_种族羁绊!C75</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3" hidden="0" customWidth="1"/>
    <x:col min="2" max="2" width="16" hidden="0" customWidth="1"/>
    <x:col min="3" max="3" width="12" hidden="0" customWidth="1"/>
    <x:col min="4" max="4" width="11" hidden="0" customWidth="1"/>
    <x:col min="5" max="5" width="12" hidden="0" customWidth="1"/>
    <x:col min="6" max="6" width="12" hidden="0" customWidth="1"/>
    <x:col min="7" max="7" width="12" hidden="0" customWidth="1"/>
    <x:col min="8" max="8" width="12" hidden="0" customWidth="1"/>
    <x:col min="9" max="9" width="12" hidden="0" customWidth="1"/>
    <x:col min="10" max="10" width="15" hidden="0" customWidth="1"/>
    <x:col min="11" max="11" width="13" hidden="0" customWidth="1"/>
    <x:col min="12" max="12" width="17" hidden="0" customWidth="1"/>
    <x:col min="13" max="13" width="13" hidden="0" customWidth="1"/>
    <x:col min="14" max="14" width="24" hidden="0" customWidth="1"/>
    <x:col min="15" max="15" width="19" hidden="0" customWidth="1"/>
    <x:col min="16" max="16" width="23" hidden="0" customWidth="1"/>
    <x:col min="17" max="17" width="25" hidden="0" customWidth="1"/>
    <x:col min="18" max="18" width="26" hidden="0" customWidth="1"/>
    <x:col min="19" max="19" width="15" hidden="0" customWidth="1"/>
    <x:col min="20" max="20" width="60" hidden="0" customWidth="1"/>
  </x:cols>
  <x:sheetData>
    <x:row r="1" ht="34" customHeight="1">
      <x:c r="A1" s="2" t="str">
        <x:v>05_野怪</x:v>
      </x:c>
      <x:c r="B1" s="2"/>
      <x:c r="C1" s="2"/>
      <x:c r="D1" s="2"/>
      <x:c r="E1" s="2"/>
      <x:c r="F1" s="2"/>
      <x:c r="G1" s="2"/>
      <x:c r="H1" s="2"/>
      <x:c r="I1" s="2"/>
      <x:c r="J1" s="2"/>
      <x:c r="K1" s="2"/>
      <x:c r="L1" s="2"/>
      <x:c r="M1" s="2"/>
      <x:c r="N1" s="2"/>
      <x:c r="O1" s="2"/>
      <x:c r="P1" s="2"/>
      <x:c r="Q1" s="2"/>
      <x:c r="R1" s="2"/>
      <x:c r="S1" s="2"/>
      <x:c r="T1" s="2"/>
    </x:row>
    <x:row r="2" ht="32" customHeight="1">
      <x:c r="A2" s="4" t="str">
        <x:v>编辑 E–G 列基础 HP / 攻击 / 防御；回合成长和技能机制由 data/pve/pve_monsters.json 管理。运行前执行同步工具。</x:v>
      </x:c>
      <x:c r="B2" s="4"/>
      <x:c r="C2" s="4"/>
      <x:c r="D2" s="4"/>
      <x:c r="E2" s="4"/>
      <x:c r="F2" s="4"/>
      <x:c r="G2" s="4"/>
      <x:c r="H2" s="4"/>
      <x:c r="I2" s="4"/>
      <x:c r="J2" s="4"/>
      <x:c r="K2" s="4"/>
      <x:c r="L2" s="4"/>
      <x:c r="M2" s="4"/>
      <x:c r="N2" s="4"/>
      <x:c r="O2" s="4"/>
      <x:c r="P2" s="4"/>
      <x:c r="Q2" s="4"/>
      <x:c r="R2" s="4"/>
      <x:c r="S2" s="4"/>
      <x:c r="T2" s="4"/>
    </x:row>
    <x:row r="3" ht="28" customHeight="1">
      <x:c r="A3" s="7" t="str">
        <x:v>ID</x:v>
      </x:c>
      <x:c r="B3" s="7" t="str">
        <x:v>名称</x:v>
      </x:c>
      <x:c r="C3" s="7" t="str">
        <x:v>系列</x:v>
      </x:c>
      <x:c r="D3" s="7" t="str">
        <x:v>属性</x:v>
      </x:c>
      <x:c r="E3" s="7" t="str">
        <x:v>HP</x:v>
      </x:c>
      <x:c r="F3" s="7" t="str">
        <x:v>攻击</x:v>
      </x:c>
      <x:c r="G3" s="7" t="str">
        <x:v>防御</x:v>
      </x:c>
      <x:c r="H3" s="7" t="str">
        <x:v>攻速</x:v>
      </x:c>
      <x:c r="I3" s="7" t="str">
        <x:v>射程px</x:v>
      </x:c>
      <x:c r="J3" s="7" t="str">
        <x:v>移速px/s</x:v>
      </x:c>
      <x:c r="K3" s="7" t="str">
        <x:v>理论DPS</x:v>
      </x:c>
      <x:c r="L3" s="7" t="str">
        <x:v>10秒原始输出</x:v>
      </x:c>
      <x:c r="M3" s="7" t="str">
        <x:v>有效血量</x:v>
      </x:c>
      <x:c r="N3" s="7" t="str">
        <x:v>表里写的 skill_id</x:v>
      </x:c>
      <x:c r="O3" s="7" t="str">
        <x:v>主动技实跑60秒</x:v>
      </x:c>
      <x:c r="P3" s="7" t="str">
        <x:v>普攻挂钩实跑</x:v>
      </x:c>
      <x:c r="Q3" s="7" t="str">
        <x:v>被击/死亡/击杀挂钩</x:v>
      </x:c>
      <x:c r="R3" s="7" t="str">
        <x:v>结论</x:v>
      </x:c>
      <x:c r="S3" s="7" t="str">
        <x:v>被击杀赏金</x:v>
      </x:c>
      <x:c r="T3" s="7" t="str">
        <x:v>游戏内图鉴文案</x:v>
      </x:c>
    </x:row>
    <x:row r="4" ht="38" customHeight="1">
      <x:c r="A4" s="11" t="str">
        <x:v>pve_sky_cloud_eagle</x:v>
      </x:c>
      <x:c r="B4" s="11" t="str">
        <x:v>云羽鹰</x:v>
      </x:c>
      <x:c r="C4" s="11" t="str">
        <x:v>sky</x:v>
      </x:c>
      <x:c r="D4" s="11" t="str">
        <x:v>天</x:v>
      </x:c>
      <x:c r="E4" s="11" t="n">
        <x:v>660</x:v>
      </x:c>
      <x:c r="F4" s="11" t="n">
        <x:v>35</x:v>
      </x:c>
      <x:c r="G4" s="11" t="n">
        <x:v>3</x:v>
      </x:c>
      <x:c r="H4" s="11" t="n">
        <x:v>1.15</x:v>
      </x:c>
      <x:c r="I4" s="11" t="n">
        <x:v>32</x:v>
      </x:c>
      <x:c r="J4" s="11" t="n">
        <x:v>192.5</x:v>
      </x:c>
      <x:c r="K4" s="11" t="n">
        <x:v>40.3</x:v>
      </x:c>
      <x:c r="L4" s="11" t="n">
        <x:v>420</x:v>
      </x:c>
      <x:c r="M4" s="11" t="n">
        <x:v>680</x:v>
      </x:c>
      <x:c r="N4" s="11" t="str">
        <x:v>dive_backline</x:v>
      </x:c>
      <x:c r="O4" s="11" t="str">
        <x:v>0 次</x:v>
      </x:c>
      <x:c r="P4" s="11" t="str">
        <x:v>❌ 只掉血，无任何状态</x:v>
      </x:c>
      <x:c r="Q4" s="11" t="str">
        <x:v>❌ 无</x:v>
      </x:c>
      <x:c r="R4" s="11" t="str">
        <x:v>只会普攻</x:v>
      </x:c>
      <x:c r="S4" s="11" t="str">
        <x:v>15 金</x:v>
      </x:c>
      <x:c r="T4" s="11" t="str">
        <x:v>No active skill.</x:v>
      </x:c>
    </x:row>
    <x:row r="5" ht="38" customHeight="1">
      <x:c r="A5" s="15" t="str">
        <x:v>pve_sky_thunder_spirit</x:v>
      </x:c>
      <x:c r="B5" s="15" t="str">
        <x:v>雷鸣灵</x:v>
      </x:c>
      <x:c r="C5" s="15" t="str">
        <x:v>sky</x:v>
      </x:c>
      <x:c r="D5" s="15" t="str">
        <x:v>天</x:v>
      </x:c>
      <x:c r="E5" s="15" t="n">
        <x:v>600</x:v>
      </x:c>
      <x:c r="F5" s="15" t="n">
        <x:v>26</x:v>
      </x:c>
      <x:c r="G5" s="15" t="n">
        <x:v>4</x:v>
      </x:c>
      <x:c r="H5" s="15" t="n">
        <x:v>1.05</x:v>
      </x:c>
      <x:c r="I5" s="15" t="n">
        <x:v>248</x:v>
      </x:c>
      <x:c r="J5" s="15" t="n">
        <x:v>176</x:v>
      </x:c>
      <x:c r="K5" s="15" t="n">
        <x:v>27.3</x:v>
      </x:c>
      <x:c r="L5" s="15" t="n">
        <x:v>260</x:v>
      </x:c>
      <x:c r="M5" s="15" t="n">
        <x:v>624</x:v>
      </x:c>
      <x:c r="N5" s="15" t="str">
        <x:v>chain_lightning</x:v>
      </x:c>
      <x:c r="O5" s="15" t="str">
        <x:v>0 次</x:v>
      </x:c>
      <x:c r="P5" s="15" t="str">
        <x:v>❌ 只掉血，无任何状态</x:v>
      </x:c>
      <x:c r="Q5" s="15" t="str">
        <x:v>❌ 无</x:v>
      </x:c>
      <x:c r="R5" s="15" t="str">
        <x:v>只会普攻</x:v>
      </x:c>
      <x:c r="S5" s="15" t="str">
        <x:v>15 金</x:v>
      </x:c>
      <x:c r="T5" s="15" t="str">
        <x:v>No active skill.</x:v>
      </x:c>
    </x:row>
    <x:row r="6" ht="38" customHeight="1">
      <x:c r="A6" s="11" t="str">
        <x:v>pve_sky_star_butterfly</x:v>
      </x:c>
      <x:c r="B6" s="11" t="str">
        <x:v>星辉蝶</x:v>
      </x:c>
      <x:c r="C6" s="11" t="str">
        <x:v>sky</x:v>
      </x:c>
      <x:c r="D6" s="11" t="str">
        <x:v>天</x:v>
      </x:c>
      <x:c r="E6" s="11" t="n">
        <x:v>520</x:v>
      </x:c>
      <x:c r="F6" s="11" t="n">
        <x:v>20</x:v>
      </x:c>
      <x:c r="G6" s="11" t="n">
        <x:v>6</x:v>
      </x:c>
      <x:c r="H6" s="11" t="n">
        <x:v>1</x:v>
      </x:c>
      <x:c r="I6" s="11" t="n">
        <x:v>248</x:v>
      </x:c>
      <x:c r="J6" s="11" t="n">
        <x:v>176</x:v>
      </x:c>
      <x:c r="K6" s="11" t="n">
        <x:v>20</x:v>
      </x:c>
      <x:c r="L6" s="11" t="n">
        <x:v>200</x:v>
      </x:c>
      <x:c r="M6" s="11" t="n">
        <x:v>551</x:v>
      </x:c>
      <x:c r="N6" s="11" t="str">
        <x:v>heal_allies</x:v>
      </x:c>
      <x:c r="O6" s="11" t="str">
        <x:v>0 次</x:v>
      </x:c>
      <x:c r="P6" s="11" t="str">
        <x:v>❌ 只掉血，无任何状态</x:v>
      </x:c>
      <x:c r="Q6" s="11" t="str">
        <x:v>❌ 无</x:v>
      </x:c>
      <x:c r="R6" s="11" t="str">
        <x:v>只会普攻</x:v>
      </x:c>
      <x:c r="S6" s="11" t="str">
        <x:v>15 金</x:v>
      </x:c>
      <x:c r="T6" s="11" t="str">
        <x:v>No active skill.</x:v>
      </x:c>
    </x:row>
    <x:row r="7" ht="38" customHeight="1">
      <x:c r="A7" s="15" t="str">
        <x:v>pve_sky_dome_guard</x:v>
      </x:c>
      <x:c r="B7" s="15" t="str">
        <x:v>天穹守卫</x:v>
      </x:c>
      <x:c r="C7" s="15" t="str">
        <x:v>sky</x:v>
      </x:c>
      <x:c r="D7" s="15" t="str">
        <x:v>天</x:v>
      </x:c>
      <x:c r="E7" s="15" t="n">
        <x:v>1040</x:v>
      </x:c>
      <x:c r="F7" s="15" t="n">
        <x:v>44</x:v>
      </x:c>
      <x:c r="G7" s="15" t="n">
        <x:v>10</x:v>
      </x:c>
      <x:c r="H7" s="15" t="n">
        <x:v>0.85</x:v>
      </x:c>
      <x:c r="I7" s="15" t="n">
        <x:v>32</x:v>
      </x:c>
      <x:c r="J7" s="15" t="n">
        <x:v>165</x:v>
      </x:c>
      <x:c r="K7" s="15" t="n">
        <x:v>37.4</x:v>
      </x:c>
      <x:c r="L7" s="15" t="n">
        <x:v>396</x:v>
      </x:c>
      <x:c r="M7" s="15" t="n">
        <x:v>1144</x:v>
      </x:c>
      <x:c r="N7" s="15" t="str">
        <x:v>holy_shield_burst</x:v>
      </x:c>
      <x:c r="O7" s="15" t="str">
        <x:v>0 次</x:v>
      </x:c>
      <x:c r="P7" s="15" t="str">
        <x:v>❌ 只掉血，无任何状态</x:v>
      </x:c>
      <x:c r="Q7" s="15" t="str">
        <x:v>❌ 无</x:v>
      </x:c>
      <x:c r="R7" s="15" t="str">
        <x:v>只会普攻</x:v>
      </x:c>
      <x:c r="S7" s="15" t="str">
        <x:v>15 金</x:v>
      </x:c>
      <x:c r="T7" s="15" t="str">
        <x:v>No active skill.</x:v>
      </x:c>
    </x:row>
    <x:row r="8" ht="38" customHeight="1">
      <x:c r="A8" s="11" t="str">
        <x:v>pve_sky_wind_falcon</x:v>
      </x:c>
      <x:c r="B8" s="11" t="str">
        <x:v>风刃隼</x:v>
      </x:c>
      <x:c r="C8" s="11" t="str">
        <x:v>sky</x:v>
      </x:c>
      <x:c r="D8" s="11" t="str">
        <x:v>天</x:v>
      </x:c>
      <x:c r="E8" s="11" t="n">
        <x:v>660</x:v>
      </x:c>
      <x:c r="F8" s="11" t="n">
        <x:v>73</x:v>
      </x:c>
      <x:c r="G8" s="11" t="n">
        <x:v>4</x:v>
      </x:c>
      <x:c r="H8" s="11" t="n">
        <x:v>1.2</x:v>
      </x:c>
      <x:c r="I8" s="11" t="n">
        <x:v>248</x:v>
      </x:c>
      <x:c r="J8" s="11" t="n">
        <x:v>181.5</x:v>
      </x:c>
      <x:c r="K8" s="11" t="n">
        <x:v>87.6</x:v>
      </x:c>
      <x:c r="L8" s="11" t="n">
        <x:v>876</x:v>
      </x:c>
      <x:c r="M8" s="11" t="n">
        <x:v>686</x:v>
      </x:c>
      <x:c r="N8" s="11" t="str">
        <x:v>wind_bleed</x:v>
      </x:c>
      <x:c r="O8" s="11" t="str">
        <x:v>0 次</x:v>
      </x:c>
      <x:c r="P8" s="11" t="str">
        <x:v>❌ 只掉血，无任何状态</x:v>
      </x:c>
      <x:c r="Q8" s="11" t="str">
        <x:v>❌ 无</x:v>
      </x:c>
      <x:c r="R8" s="11" t="str">
        <x:v>只会普攻</x:v>
      </x:c>
      <x:c r="S8" s="11" t="str">
        <x:v>15 金</x:v>
      </x:c>
      <x:c r="T8" s="11" t="str">
        <x:v>No active skill.</x:v>
      </x:c>
    </x:row>
    <x:row r="9" ht="38" customHeight="1">
      <x:c r="A9" s="15" t="str">
        <x:v>pve_sky_hymn_spirit</x:v>
      </x:c>
      <x:c r="B9" s="15" t="str">
        <x:v>圣歌灵</x:v>
      </x:c>
      <x:c r="C9" s="15" t="str">
        <x:v>sky</x:v>
      </x:c>
      <x:c r="D9" s="15" t="str">
        <x:v>天</x:v>
      </x:c>
      <x:c r="E9" s="15" t="n">
        <x:v>720</x:v>
      </x:c>
      <x:c r="F9" s="15" t="n">
        <x:v>26</x:v>
      </x:c>
      <x:c r="G9" s="15" t="n">
        <x:v>5</x:v>
      </x:c>
      <x:c r="H9" s="15" t="n">
        <x:v>1</x:v>
      </x:c>
      <x:c r="I9" s="15" t="n">
        <x:v>248</x:v>
      </x:c>
      <x:c r="J9" s="15" t="n">
        <x:v>176</x:v>
      </x:c>
      <x:c r="K9" s="15" t="n">
        <x:v>26</x:v>
      </x:c>
      <x:c r="L9" s="15" t="n">
        <x:v>260</x:v>
      </x:c>
      <x:c r="M9" s="15" t="n">
        <x:v>756</x:v>
      </x:c>
      <x:c r="N9" s="15" t="str">
        <x:v>slow_aura</x:v>
      </x:c>
      <x:c r="O9" s="15" t="str">
        <x:v>0 次</x:v>
      </x:c>
      <x:c r="P9" s="15" t="str">
        <x:v>❌ 只掉血，无任何状态</x:v>
      </x:c>
      <x:c r="Q9" s="15" t="str">
        <x:v>❌ 无</x:v>
      </x:c>
      <x:c r="R9" s="15" t="str">
        <x:v>只会普攻</x:v>
      </x:c>
      <x:c r="S9" s="15" t="str">
        <x:v>15 金</x:v>
      </x:c>
      <x:c r="T9" s="15" t="str">
        <x:v>No active skill.</x:v>
      </x:c>
    </x:row>
    <x:row r="10" ht="38" customHeight="1">
      <x:c r="A10" s="11" t="str">
        <x:v>pve_land_rock_beast</x:v>
      </x:c>
      <x:c r="B10" s="11" t="str">
        <x:v>岩甲兽</x:v>
      </x:c>
      <x:c r="C10" s="11" t="str">
        <x:v>land</x:v>
      </x:c>
      <x:c r="D10" s="11" t="str">
        <x:v>地</x:v>
      </x:c>
      <x:c r="E10" s="11" t="n">
        <x:v>840</x:v>
      </x:c>
      <x:c r="F10" s="11" t="n">
        <x:v>31</x:v>
      </x:c>
      <x:c r="G10" s="11" t="n">
        <x:v>16</x:v>
      </x:c>
      <x:c r="H10" s="11" t="n">
        <x:v>0.8</x:v>
      </x:c>
      <x:c r="I10" s="11" t="n">
        <x:v>32</x:v>
      </x:c>
      <x:c r="J10" s="11" t="n">
        <x:v>159.5</x:v>
      </x:c>
      <x:c r="K10" s="11" t="n">
        <x:v>24.8</x:v>
      </x:c>
      <x:c r="L10" s="11" t="n">
        <x:v>248</x:v>
      </x:c>
      <x:c r="M10" s="11" t="n">
        <x:v>974</x:v>
      </x:c>
      <x:c r="N10" s="11" t="str">
        <x:v>stun_impact</x:v>
      </x:c>
      <x:c r="O10" s="11" t="str">
        <x:v>0 次</x:v>
      </x:c>
      <x:c r="P10" s="11" t="str">
        <x:v>❌ 只掉血，无任何状态</x:v>
      </x:c>
      <x:c r="Q10" s="11" t="str">
        <x:v>❌ 无</x:v>
      </x:c>
      <x:c r="R10" s="11" t="str">
        <x:v>只会普攻</x:v>
      </x:c>
      <x:c r="S10" s="11" t="str">
        <x:v>15 金</x:v>
      </x:c>
      <x:c r="T10" s="11" t="str">
        <x:v>No active skill.</x:v>
      </x:c>
    </x:row>
    <x:row r="11" ht="38" customHeight="1">
      <x:c r="A11" s="15" t="str">
        <x:v>pve_land_vine_guard</x:v>
      </x:c>
      <x:c r="B11" s="15" t="str">
        <x:v>藤蔓守卫</x:v>
      </x:c>
      <x:c r="C11" s="15" t="str">
        <x:v>land</x:v>
      </x:c>
      <x:c r="D11" s="15" t="str">
        <x:v>地</x:v>
      </x:c>
      <x:c r="E11" s="15" t="n">
        <x:v>760</x:v>
      </x:c>
      <x:c r="F11" s="15" t="n">
        <x:v>33</x:v>
      </x:c>
      <x:c r="G11" s="15" t="n">
        <x:v>12</x:v>
      </x:c>
      <x:c r="H11" s="15" t="n">
        <x:v>0.85</x:v>
      </x:c>
      <x:c r="I11" s="15" t="n">
        <x:v>32</x:v>
      </x:c>
      <x:c r="J11" s="15" t="n">
        <x:v>154</x:v>
      </x:c>
      <x:c r="K11" s="15" t="n">
        <x:v>28.1</x:v>
      </x:c>
      <x:c r="L11" s="15" t="n">
        <x:v>297</x:v>
      </x:c>
      <x:c r="M11" s="15" t="n">
        <x:v>851</x:v>
      </x:c>
      <x:c r="N11" s="15" t="str">
        <x:v>entangle</x:v>
      </x:c>
      <x:c r="O11" s="15" t="str">
        <x:v>0 次</x:v>
      </x:c>
      <x:c r="P11" s="15" t="str">
        <x:v>❌ 只掉血，无任何状态</x:v>
      </x:c>
      <x:c r="Q11" s="15" t="str">
        <x:v>❌ 无</x:v>
      </x:c>
      <x:c r="R11" s="15" t="str">
        <x:v>只会普攻</x:v>
      </x:c>
      <x:c r="S11" s="15" t="str">
        <x:v>15 金</x:v>
      </x:c>
      <x:c r="T11" s="15" t="str">
        <x:v>No active skill.</x:v>
      </x:c>
    </x:row>
    <x:row r="12" ht="38" customHeight="1">
      <x:c r="A12" s="11" t="str">
        <x:v>pve_land_vein_worm</x:v>
      </x:c>
      <x:c r="B12" s="11" t="str">
        <x:v>地脉虫</x:v>
      </x:c>
      <x:c r="C12" s="11" t="str">
        <x:v>land</x:v>
      </x:c>
      <x:c r="D12" s="11" t="str">
        <x:v>地</x:v>
      </x:c>
      <x:c r="E12" s="11" t="n">
        <x:v>680</x:v>
      </x:c>
      <x:c r="F12" s="11" t="n">
        <x:v>57</x:v>
      </x:c>
      <x:c r="G12" s="11" t="n">
        <x:v>8</x:v>
      </x:c>
      <x:c r="H12" s="11" t="n">
        <x:v>1</x:v>
      </x:c>
      <x:c r="I12" s="11" t="n">
        <x:v>32</x:v>
      </x:c>
      <x:c r="J12" s="11" t="n">
        <x:v>170.5</x:v>
      </x:c>
      <x:c r="K12" s="11" t="n">
        <x:v>57</x:v>
      </x:c>
      <x:c r="L12" s="11" t="n">
        <x:v>570</x:v>
      </x:c>
      <x:c r="M12" s="11" t="n">
        <x:v>734</x:v>
      </x:c>
      <x:c r="N12" s="11" t="str">
        <x:v>burrow_ambush</x:v>
      </x:c>
      <x:c r="O12" s="11" t="str">
        <x:v>0 次</x:v>
      </x:c>
      <x:c r="P12" s="11" t="str">
        <x:v>❌ 只掉血，无任何状态</x:v>
      </x:c>
      <x:c r="Q12" s="11" t="str">
        <x:v>❌ 无</x:v>
      </x:c>
      <x:c r="R12" s="11" t="str">
        <x:v>只会普攻</x:v>
      </x:c>
      <x:c r="S12" s="11" t="str">
        <x:v>15 金</x:v>
      </x:c>
      <x:c r="T12" s="11" t="str">
        <x:v>No active skill.</x:v>
      </x:c>
    </x:row>
    <x:row r="13" ht="38" customHeight="1">
      <x:c r="A13" s="15" t="str">
        <x:v>pve_land_lava_golem</x:v>
      </x:c>
      <x:c r="B13" s="15" t="str">
        <x:v>熔岩傀儡</x:v>
      </x:c>
      <x:c r="C13" s="15" t="str">
        <x:v>land</x:v>
      </x:c>
      <x:c r="D13" s="15" t="str">
        <x:v>地</x:v>
      </x:c>
      <x:c r="E13" s="15" t="n">
        <x:v>900</x:v>
      </x:c>
      <x:c r="F13" s="15" t="n">
        <x:v>31</x:v>
      </x:c>
      <x:c r="G13" s="15" t="n">
        <x:v>18</x:v>
      </x:c>
      <x:c r="H13" s="15" t="n">
        <x:v>0.75</x:v>
      </x:c>
      <x:c r="I13" s="15" t="n">
        <x:v>32</x:v>
      </x:c>
      <x:c r="J13" s="15" t="n">
        <x:v>148.5</x:v>
      </x:c>
      <x:c r="K13" s="15" t="n">
        <x:v>23.3</x:v>
      </x:c>
      <x:c r="L13" s="15" t="n">
        <x:v>248</x:v>
      </x:c>
      <x:c r="M13" s="15" t="n">
        <x:v>1062</x:v>
      </x:c>
      <x:c r="N13" s="15" t="str">
        <x:v>lava_burst</x:v>
      </x:c>
      <x:c r="O13" s="15" t="str">
        <x:v>0 次</x:v>
      </x:c>
      <x:c r="P13" s="15" t="str">
        <x:v>❌ 只掉血，无任何状态</x:v>
      </x:c>
      <x:c r="Q13" s="15" t="str">
        <x:v>❌ 无</x:v>
      </x:c>
      <x:c r="R13" s="15" t="str">
        <x:v>只会普攻</x:v>
      </x:c>
      <x:c r="S13" s="15" t="str">
        <x:v>15 金</x:v>
      </x:c>
      <x:c r="T13" s="15" t="str">
        <x:v>No active skill.</x:v>
      </x:c>
    </x:row>
    <x:row r="14" ht="38" customHeight="1">
      <x:c r="A14" s="11" t="str">
        <x:v>pve_land_ancient_tree</x:v>
      </x:c>
      <x:c r="B14" s="11" t="str">
        <x:v>古树长者</x:v>
      </x:c>
      <x:c r="C14" s="11" t="str">
        <x:v>land</x:v>
      </x:c>
      <x:c r="D14" s="11" t="str">
        <x:v>地</x:v>
      </x:c>
      <x:c r="E14" s="11" t="n">
        <x:v>1120</x:v>
      </x:c>
      <x:c r="F14" s="11" t="n">
        <x:v>26</x:v>
      </x:c>
      <x:c r="G14" s="11" t="n">
        <x:v>16</x:v>
      </x:c>
      <x:c r="H14" s="11" t="n">
        <x:v>0.8</x:v>
      </x:c>
      <x:c r="I14" s="11" t="n">
        <x:v>248</x:v>
      </x:c>
      <x:c r="J14" s="11" t="n">
        <x:v>143</x:v>
      </x:c>
      <x:c r="K14" s="11" t="n">
        <x:v>20.8</x:v>
      </x:c>
      <x:c r="L14" s="11" t="n">
        <x:v>208</x:v>
      </x:c>
      <x:c r="M14" s="11" t="n">
        <x:v>1299</x:v>
      </x:c>
      <x:c r="N14" s="11" t="str">
        <x:v>nature_heal</x:v>
      </x:c>
      <x:c r="O14" s="11" t="str">
        <x:v>0 次</x:v>
      </x:c>
      <x:c r="P14" s="11" t="str">
        <x:v>❌ 只掉血，无任何状态</x:v>
      </x:c>
      <x:c r="Q14" s="11" t="str">
        <x:v>❌ 无</x:v>
      </x:c>
      <x:c r="R14" s="11" t="str">
        <x:v>只会普攻</x:v>
      </x:c>
      <x:c r="S14" s="11" t="str">
        <x:v>15 金</x:v>
      </x:c>
      <x:c r="T14" s="11" t="str">
        <x:v>No active skill.</x:v>
      </x:c>
    </x:row>
    <x:row r="15" ht="38" customHeight="1">
      <x:c r="A15" s="15" t="str">
        <x:v>pve_land_mountain_giant</x:v>
      </x:c>
      <x:c r="B15" s="15" t="str">
        <x:v>山岳巨人</x:v>
      </x:c>
      <x:c r="C15" s="15" t="str">
        <x:v>land</x:v>
      </x:c>
      <x:c r="D15" s="15" t="str">
        <x:v>地</x:v>
      </x:c>
      <x:c r="E15" s="15" t="n">
        <x:v>1400</x:v>
      </x:c>
      <x:c r="F15" s="15" t="n">
        <x:v>44</x:v>
      </x:c>
      <x:c r="G15" s="15" t="n">
        <x:v>20</x:v>
      </x:c>
      <x:c r="H15" s="15" t="n">
        <x:v>0.7</x:v>
      </x:c>
      <x:c r="I15" s="15" t="n">
        <x:v>32</x:v>
      </x:c>
      <x:c r="J15" s="15" t="n">
        <x:v>137.5</x:v>
      </x:c>
      <x:c r="K15" s="15" t="n">
        <x:v>30.8</x:v>
      </x:c>
      <x:c r="L15" s="15" t="n">
        <x:v>308</x:v>
      </x:c>
      <x:c r="M15" s="15" t="n">
        <x:v>1680</x:v>
      </x:c>
      <x:c r="N15" s="15" t="str">
        <x:v>earth_slam</x:v>
      </x:c>
      <x:c r="O15" s="15" t="str">
        <x:v>0 次</x:v>
      </x:c>
      <x:c r="P15" s="15" t="str">
        <x:v>❌ 只掉血，无任何状态</x:v>
      </x:c>
      <x:c r="Q15" s="15" t="str">
        <x:v>❌ 无</x:v>
      </x:c>
      <x:c r="R15" s="15" t="str">
        <x:v>只会普攻</x:v>
      </x:c>
      <x:c r="S15" s="15" t="str">
        <x:v>15 金</x:v>
      </x:c>
      <x:c r="T15" s="15" t="str">
        <x:v>No active skill.</x:v>
      </x:c>
    </x:row>
    <x:row r="16" ht="38" customHeight="1">
      <x:c r="A16" s="11" t="str">
        <x:v>pve_ren_shadow_thief</x:v>
      </x:c>
      <x:c r="B16" s="11" t="str">
        <x:v>影行盗徒</x:v>
      </x:c>
      <x:c r="C16" s="11" t="str">
        <x:v>ren</x:v>
      </x:c>
      <x:c r="D16" s="11" t="str">
        <x:v>人</x:v>
      </x:c>
      <x:c r="E16" s="11" t="n">
        <x:v>480</x:v>
      </x:c>
      <x:c r="F16" s="11" t="n">
        <x:v>37</x:v>
      </x:c>
      <x:c r="G16" s="11" t="n">
        <x:v>4</x:v>
      </x:c>
      <x:c r="H16" s="11" t="n">
        <x:v>1.2</x:v>
      </x:c>
      <x:c r="I16" s="11" t="n">
        <x:v>32</x:v>
      </x:c>
      <x:c r="J16" s="11" t="n">
        <x:v>198</x:v>
      </x:c>
      <x:c r="K16" s="11" t="n">
        <x:v>44.4</x:v>
      </x:c>
      <x:c r="L16" s="11" t="n">
        <x:v>444</x:v>
      </x:c>
      <x:c r="M16" s="11" t="n">
        <x:v>499</x:v>
      </x:c>
      <x:c r="N16" s="11" t="str">
        <x:v>backstab</x:v>
      </x:c>
      <x:c r="O16" s="11" t="str">
        <x:v>0 次</x:v>
      </x:c>
      <x:c r="P16" s="11" t="str">
        <x:v>❌ 只掉血，无任何状态</x:v>
      </x:c>
      <x:c r="Q16" s="11" t="str">
        <x:v>❌ 无</x:v>
      </x:c>
      <x:c r="R16" s="11" t="str">
        <x:v>只会普攻</x:v>
      </x:c>
      <x:c r="S16" s="11" t="str">
        <x:v>15 金</x:v>
      </x:c>
      <x:c r="T16" s="11" t="str">
        <x:v>No active skill.</x:v>
      </x:c>
    </x:row>
    <x:row r="17" ht="38" customHeight="1">
      <x:c r="A17" s="15" t="str">
        <x:v>pve_ren_voodoo_witch</x:v>
      </x:c>
      <x:c r="B17" s="15" t="str">
        <x:v>巫毒术士</x:v>
      </x:c>
      <x:c r="C17" s="15" t="str">
        <x:v>ren</x:v>
      </x:c>
      <x:c r="D17" s="15" t="str">
        <x:v>人</x:v>
      </x:c>
      <x:c r="E17" s="15" t="n">
        <x:v>560</x:v>
      </x:c>
      <x:c r="F17" s="15" t="n">
        <x:v>31</x:v>
      </x:c>
      <x:c r="G17" s="15" t="n">
        <x:v>5</x:v>
      </x:c>
      <x:c r="H17" s="15" t="n">
        <x:v>1</x:v>
      </x:c>
      <x:c r="I17" s="15" t="n">
        <x:v>248</x:v>
      </x:c>
      <x:c r="J17" s="15" t="n">
        <x:v>176</x:v>
      </x:c>
      <x:c r="K17" s="15" t="n">
        <x:v>31</x:v>
      </x:c>
      <x:c r="L17" s="15" t="n">
        <x:v>310</x:v>
      </x:c>
      <x:c r="M17" s="15" t="n">
        <x:v>588</x:v>
      </x:c>
      <x:c r="N17" s="15" t="str">
        <x:v>curse</x:v>
      </x:c>
      <x:c r="O17" s="15" t="str">
        <x:v>0 次</x:v>
      </x:c>
      <x:c r="P17" s="15" t="str">
        <x:v>❌ 只掉血，无任何状态</x:v>
      </x:c>
      <x:c r="Q17" s="15" t="str">
        <x:v>❌ 无</x:v>
      </x:c>
      <x:c r="R17" s="15" t="str">
        <x:v>只会普攻</x:v>
      </x:c>
      <x:c r="S17" s="15" t="str">
        <x:v>15 金</x:v>
      </x:c>
      <x:c r="T17" s="15" t="str">
        <x:v>No active skill.</x:v>
      </x:c>
    </x:row>
    <x:row r="18" ht="38" customHeight="1">
      <x:c r="A18" s="11" t="str">
        <x:v>pve_ren_wandering_swordsman</x:v>
      </x:c>
      <x:c r="B18" s="11" t="str">
        <x:v>流浪剑客</x:v>
      </x:c>
      <x:c r="C18" s="11" t="str">
        <x:v>ren</x:v>
      </x:c>
      <x:c r="D18" s="11" t="str">
        <x:v>人</x:v>
      </x:c>
      <x:c r="E18" s="11" t="n">
        <x:v>640</x:v>
      </x:c>
      <x:c r="F18" s="11" t="n">
        <x:v>35</x:v>
      </x:c>
      <x:c r="G18" s="11" t="n">
        <x:v>10</x:v>
      </x:c>
      <x:c r="H18" s="11" t="n">
        <x:v>0.95</x:v>
      </x:c>
      <x:c r="I18" s="11" t="n">
        <x:v>32</x:v>
      </x:c>
      <x:c r="J18" s="11" t="n">
        <x:v>170.5</x:v>
      </x:c>
      <x:c r="K18" s="11" t="n">
        <x:v>33.3</x:v>
      </x:c>
      <x:c r="L18" s="11" t="n">
        <x:v>350</x:v>
      </x:c>
      <x:c r="M18" s="11" t="n">
        <x:v>704</x:v>
      </x:c>
      <x:c r="N18" s="11" t="str">
        <x:v>counter_slash</x:v>
      </x:c>
      <x:c r="O18" s="11" t="str">
        <x:v>0 次</x:v>
      </x:c>
      <x:c r="P18" s="11" t="str">
        <x:v>❌ 只掉血，无任何状态</x:v>
      </x:c>
      <x:c r="Q18" s="11" t="str">
        <x:v>❌ 无</x:v>
      </x:c>
      <x:c r="R18" s="11" t="str">
        <x:v>只会普攻</x:v>
      </x:c>
      <x:c r="S18" s="11" t="str">
        <x:v>15 金</x:v>
      </x:c>
      <x:c r="T18" s="11" t="str">
        <x:v>No active skill.</x:v>
      </x:c>
    </x:row>
    <x:row r="19" ht="38" customHeight="1">
      <x:c r="A19" s="15" t="str">
        <x:v>pve_ren_poison_doctor</x:v>
      </x:c>
      <x:c r="B19" s="15" t="str">
        <x:v>药毒医师</x:v>
      </x:c>
      <x:c r="C19" s="15" t="str">
        <x:v>ren</x:v>
      </x:c>
      <x:c r="D19" s="15" t="str">
        <x:v>人</x:v>
      </x:c>
      <x:c r="E19" s="15" t="n">
        <x:v>780</x:v>
      </x:c>
      <x:c r="F19" s="15" t="n">
        <x:v>42</x:v>
      </x:c>
      <x:c r="G19" s="15" t="n">
        <x:v>6</x:v>
      </x:c>
      <x:c r="H19" s="15" t="n">
        <x:v>1</x:v>
      </x:c>
      <x:c r="I19" s="15" t="n">
        <x:v>248</x:v>
      </x:c>
      <x:c r="J19" s="15" t="n">
        <x:v>170.5</x:v>
      </x:c>
      <x:c r="K19" s="15" t="n">
        <x:v>42</x:v>
      </x:c>
      <x:c r="L19" s="15" t="n">
        <x:v>420</x:v>
      </x:c>
      <x:c r="M19" s="15" t="n">
        <x:v>827</x:v>
      </x:c>
      <x:c r="N19" s="15" t="str">
        <x:v>none</x:v>
      </x:c>
      <x:c r="O19" s="15" t="str">
        <x:v>0 次</x:v>
      </x:c>
      <x:c r="P19" s="15" t="str">
        <x:v>❌ 只掉血，无任何状态</x:v>
      </x:c>
      <x:c r="Q19" s="15" t="str">
        <x:v>❌ 无</x:v>
      </x:c>
      <x:c r="R19" s="15" t="str">
        <x:v>只会普攻</x:v>
      </x:c>
      <x:c r="S19" s="15" t="str">
        <x:v>15 金</x:v>
      </x:c>
      <x:c r="T19" s="15" t="str">
        <x:v>No active skill.</x:v>
      </x:c>
    </x:row>
  </x:sheetData>
  <x:mergeCells>
    <x:mergeCell ref="A1:T1"/>
    <x:mergeCell ref="A2:T2"/>
  </x:mergeCells>
  <x:pageMargins left="0.7" right="0.7" top="0.75" bottom="0.75" header="0.3" footer="0.3"/>
</x:worksheet>
</file>

<file path=xl/worksheets/sheet7.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3" hidden="0" customWidth="1"/>
    <x:col min="2" max="2" width="17" hidden="0" customWidth="1"/>
    <x:col min="3" max="3" width="12"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2" hidden="0" customWidth="1"/>
    <x:col min="21" max="21" width="12" hidden="0" customWidth="1"/>
    <x:col min="22" max="22" width="12" hidden="0" customWidth="1"/>
    <x:col min="23" max="23" width="16" hidden="0" customWidth="1"/>
    <x:col min="24" max="24" width="23" hidden="0" customWidth="1"/>
    <x:col min="25" max="25" width="24" hidden="0" customWidth="1"/>
    <x:col min="26" max="26" width="22" hidden="0" customWidth="1"/>
    <x:col min="27" max="27" width="15" hidden="0" customWidth="1"/>
    <x:col min="28" max="28" width="15" hidden="0" customWidth="1"/>
    <x:col min="29" max="29" width="60" hidden="0" customWidth="1"/>
    <x:col min="30" max="30" width="95" hidden="0" customWidth="1"/>
  </x:cols>
  <x:sheetData>
    <x:row r="1" ht="34" customHeight="1">
      <x:c r="A1" s="2" t="str">
        <x:v>06_Boss</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row>
    <x:row r="2" ht="32" customHeight="1">
      <x:c r="A2" s="4" t="str">
        <x:v>编辑首场 HP / 攻击（D、E 列）和 R5 防御（O 列）；游戏 JSON 保存乘以 1.5 前的整数基础值。其余回合数值由公式按现有成长倍率推算。</x:v>
      </x:c>
      <x:c r="B2" s="4"/>
      <x:c r="C2" s="4"/>
      <x:c r="D2" s="4"/>
      <x:c r="E2" s="4"/>
      <x:c r="F2" s="4"/>
      <x:c r="G2" s="4"/>
      <x:c r="H2" s="4"/>
      <x:c r="I2" s="4"/>
      <x:c r="J2" s="4"/>
      <x:c r="K2" s="4"/>
      <x:c r="L2" s="4"/>
      <x:c r="M2" s="4"/>
      <x:c r="N2" s="4"/>
      <x:c r="O2" s="4"/>
      <x:c r="P2" s="4"/>
      <x:c r="Q2" s="4"/>
      <x:c r="R2" s="4"/>
      <x:c r="S2" s="4"/>
      <x:c r="T2" s="4"/>
      <x:c r="U2" s="4"/>
      <x:c r="V2" s="4"/>
      <x:c r="W2" s="4"/>
      <x:c r="X2" s="4"/>
      <x:c r="Y2" s="4"/>
      <x:c r="Z2" s="4"/>
      <x:c r="AA2" s="4"/>
      <x:c r="AB2" s="4"/>
      <x:c r="AC2" s="4"/>
    </x:row>
    <x:row r="3" ht="28" customHeight="1">
      <x:c r="A3" s="7" t="str">
        <x:v>ID</x:v>
      </x:c>
      <x:c r="B3" s="7" t="str">
        <x:v>名称</x:v>
      </x:c>
      <x:c r="C3" s="7" t="str">
        <x:v>属性</x:v>
      </x:c>
      <x:c r="D3" s="7" t="str">
        <x:v>首次出场HP</x:v>
      </x:c>
      <x:c r="E3" s="7" t="str">
        <x:v>首次出场攻击</x:v>
      </x:c>
      <x:c r="F3" s="7" t="str">
        <x:v>首次出场防御</x:v>
      </x:c>
      <x:c r="G3" s="7" t="str">
        <x:v>R5 HP</x:v>
      </x:c>
      <x:c r="H3" s="7" t="str">
        <x:v>R10 HP</x:v>
      </x:c>
      <x:c r="I3" s="7" t="str">
        <x:v>R15 HP</x:v>
      </x:c>
      <x:c r="J3" s="7" t="str">
        <x:v>R20 HP</x:v>
      </x:c>
      <x:c r="K3" s="7" t="str">
        <x:v>R5 攻</x:v>
      </x:c>
      <x:c r="L3" s="7" t="str">
        <x:v>R10 攻</x:v>
      </x:c>
      <x:c r="M3" s="7" t="str">
        <x:v>R15 攻</x:v>
      </x:c>
      <x:c r="N3" s="7" t="str">
        <x:v>R20 攻</x:v>
      </x:c>
      <x:c r="O3" s="7" t="str">
        <x:v>R5 防</x:v>
      </x:c>
      <x:c r="P3" s="7" t="str">
        <x:v>R10 防</x:v>
      </x:c>
      <x:c r="Q3" s="7" t="str">
        <x:v>R15 防</x:v>
      </x:c>
      <x:c r="R3" s="7" t="str">
        <x:v>R20 防</x:v>
      </x:c>
      <x:c r="S3" s="7" t="str">
        <x:v>攻速</x:v>
      </x:c>
      <x:c r="T3" s="7" t="str">
        <x:v>射程px</x:v>
      </x:c>
      <x:c r="U3" s="7" t="str">
        <x:v>体型格</x:v>
      </x:c>
      <x:c r="V3" s="7" t="str">
        <x:v>10秒原始输出</x:v>
      </x:c>
      <x:c r="W3" s="7" t="str">
        <x:v>技能名</x:v>
      </x:c>
      <x:c r="X3" s="7" t="str">
        <x:v>技能ID</x:v>
      </x:c>
      <x:c r="Y3" s="7" t="str">
        <x:v>触发方式</x:v>
      </x:c>
      <x:c r="Z3" s="7" t="str">
        <x:v>实跑</x:v>
      </x:c>
      <x:c r="AA3" s="7" t="str">
        <x:v>60秒释放</x:v>
      </x:c>
      <x:c r="AB3" s="7" t="str">
        <x:v>技能数值(实测)</x:v>
      </x:c>
      <x:c r="AC3" s="7" t="str">
        <x:v>效果说明</x:v>
      </x:c>
    </x:row>
    <x:row r="4" ht="38" customHeight="1">
      <x:c r="A4" s="11" t="str">
        <x:v>boss_meteor_caster</x:v>
      </x:c>
      <x:c r="B4" s="11" t="str">
        <x:v>天罚投星者</x:v>
      </x:c>
      <x:c r="C4" s="11" t="str">
        <x:v>天</x:v>
      </x:c>
      <x:c r="D4" s="11" t="n">
        <x:v>3300</x:v>
      </x:c>
      <x:c r="E4" s="11" t="n">
        <x:v>113</x:v>
      </x:c>
      <x:c r="F4" s="11" t="n">
        <x:f>O4</x:f>
        <x:v>15</x:v>
      </x:c>
      <x:c r="G4" s="11" t="n">
        <x:f>D4</x:f>
        <x:v>3300</x:v>
      </x:c>
      <x:c r="H4" s="11" t="n">
        <x:f>ROUND(ROUND(D4/1.5,0)*1.5*1.45,0)</x:f>
        <x:v>4785</x:v>
      </x:c>
      <x:c r="I4" s="11" t="n">
        <x:f>ROUND(ROUND(D4/1.5,0)*1.5*2.1025,0)</x:f>
        <x:v>6938</x:v>
      </x:c>
      <x:c r="J4" s="11" t="n">
        <x:f>ROUND(ROUND(D4/1.5,0)*1.5*3.048625,0)</x:f>
        <x:v>10060</x:v>
      </x:c>
      <x:c r="K4" s="11" t="n">
        <x:f>E4</x:f>
        <x:v>113</x:v>
      </x:c>
      <x:c r="L4" s="11" t="n">
        <x:f>ROUND(ROUND(E4/1.5,0)*1.5*1.35,0)</x:f>
        <x:v>152</x:v>
      </x:c>
      <x:c r="M4" s="11" t="n">
        <x:f>ROUND(ROUND(E4/1.5,0)*1.5*1.8225,0)</x:f>
        <x:v>205</x:v>
      </x:c>
      <x:c r="N4" s="11" t="n">
        <x:f>ROUND(ROUND(E4/1.5,0)*1.5*2.460375,0)</x:f>
        <x:v>277</x:v>
      </x:c>
      <x:c r="O4" s="11" t="n">
        <x:v>15</x:v>
      </x:c>
      <x:c r="P4" s="11" t="n">
        <x:f>ROUND(ROUND(O4/1.5,0)*1.5*1.3,0)</x:f>
        <x:v>20</x:v>
      </x:c>
      <x:c r="Q4" s="11" t="n">
        <x:f>ROUND(ROUND(O4/1.5,0)*1.5*1.69,0)</x:f>
        <x:v>25</x:v>
      </x:c>
      <x:c r="R4" s="11" t="n">
        <x:f>ROUND(ROUND(O4/1.5,0)*1.5*2.197,0)</x:f>
        <x:v>33</x:v>
      </x:c>
      <x:c r="S4" s="11" t="n">
        <x:v>0.85</x:v>
      </x:c>
      <x:c r="T4" s="11" t="n">
        <x:v>248</x:v>
      </x:c>
      <x:c r="U4" s="11" t="n">
        <x:v>2</x:v>
      </x:c>
      <x:c r="V4" s="11" t="n">
        <x:v>1794</x:v>
      </x:c>
      <x:c r="W4" s="11" t="str">
        <x:v>陨星轰击</x:v>
      </x:c>
      <x:c r="X4" s="11" t="str">
        <x:v>element_meteor</x:v>
      </x:c>
      <x:c r="Y4" s="11" t="str">
        <x:v>主动·冷却</x:v>
      </x:c>
      <x:c r="Z4" s="11" t="str">
        <x:v>✔</x:v>
      </x:c>
      <x:c r="AA4" s="11" t="n">
        <x:v>10</x:v>
      </x:c>
      <x:c r="AB4" s="11" t="str">
        <x:v>footprint_cells = 2
skill_cd = 6
skill_damage = 240</x:v>
      </x:c>
      <x:c r="AC4" s="11" t="str">
        <x:v>陨星轰击（冷却6.0秒）：召唤陨星砸向最近的敌人，对其与周围敌人造成 360 点真实伤害，并附加自身属性效果。</x:v>
      </x:c>
    </x:row>
    <x:row r="5" ht="38" customHeight="1">
      <x:c r="A5" s="15" t="str">
        <x:v>boss_thunder_core</x:v>
      </x:c>
      <x:c r="B5" s="15" t="str">
        <x:v>雷怒核心</x:v>
      </x:c>
      <x:c r="C5" s="15" t="str">
        <x:v>天</x:v>
      </x:c>
      <x:c r="D5" s="15" t="n">
        <x:v>3750</x:v>
      </x:c>
      <x:c r="E5" s="15" t="n">
        <x:v>92</x:v>
      </x:c>
      <x:c r="F5" s="15" t="n">
        <x:f>O5</x:f>
        <x:v>23</x:v>
      </x:c>
      <x:c r="G5" s="15" t="n">
        <x:f>D5</x:f>
        <x:v>3750</x:v>
      </x:c>
      <x:c r="H5" s="15" t="n">
        <x:f>ROUND(ROUND(D5/1.5,0)*1.5*1.45,0)</x:f>
        <x:v>5438</x:v>
      </x:c>
      <x:c r="I5" s="15" t="n">
        <x:f>ROUND(ROUND(D5/1.5,0)*1.5*2.1025,0)</x:f>
        <x:v>7884</x:v>
      </x:c>
      <x:c r="J5" s="15" t="n">
        <x:f>ROUND(ROUND(D5/1.5,0)*1.5*3.048625,0)</x:f>
        <x:v>11432</x:v>
      </x:c>
      <x:c r="K5" s="15" t="n">
        <x:f>E5</x:f>
        <x:v>92</x:v>
      </x:c>
      <x:c r="L5" s="15" t="n">
        <x:f>ROUND(ROUND(E5/1.5,0)*1.5*1.35,0)</x:f>
        <x:v>124</x:v>
      </x:c>
      <x:c r="M5" s="15" t="n">
        <x:f>ROUND(ROUND(E5/1.5,0)*1.5*1.8225,0)</x:f>
        <x:v>167</x:v>
      </x:c>
      <x:c r="N5" s="15" t="n">
        <x:f>ROUND(ROUND(E5/1.5,0)*1.5*2.460375,0)</x:f>
        <x:v>225</x:v>
      </x:c>
      <x:c r="O5" s="15" t="n">
        <x:v>23</x:v>
      </x:c>
      <x:c r="P5" s="15" t="n">
        <x:f>ROUND(ROUND(O5/1.5,0)*1.5*1.3,0)</x:f>
        <x:v>29</x:v>
      </x:c>
      <x:c r="Q5" s="15" t="n">
        <x:f>ROUND(ROUND(O5/1.5,0)*1.5*1.69,0)</x:f>
        <x:v>38</x:v>
      </x:c>
      <x:c r="R5" s="15" t="n">
        <x:f>ROUND(ROUND(O5/1.5,0)*1.5*2.197,0)</x:f>
        <x:v>49</x:v>
      </x:c>
      <x:c r="S5" s="15" t="n">
        <x:v>0.75</x:v>
      </x:c>
      <x:c r="T5" s="15" t="n">
        <x:v>248</x:v>
      </x:c>
      <x:c r="U5" s="15" t="n">
        <x:v>2</x:v>
      </x:c>
      <x:c r="V5" s="15" t="n">
        <x:v>736</x:v>
      </x:c>
      <x:c r="W5" s="15" t="str">
        <x:v>过载反击</x:v>
      </x:c>
      <x:c r="X5" s="15" t="str">
        <x:v>overload_counter</x:v>
      </x:c>
      <x:c r="Y5" s="15" t="str">
        <x:v>被命中N次时</x:v>
      </x:c>
      <x:c r="Z5" s="15" t="str">
        <x:v>✔</x:v>
      </x:c>
      <x:c r="AA5" s="15" t="n">
        <x:v>0</x:v>
      </x:c>
      <x:c r="AB5" s="15" t="str">
        <x:v>footprint_cells = 2
hit_threshold = 8
interrupt_chance = 0.25
skill_damage = 300</x:v>
      </x:c>
      <x:c r="AC5" s="15" t="str">
        <x:v>过载反击：每承受 8 次攻击后释放一次过载，对攻击者造成 450 点真实伤害，并有 25% 概率打断其攻击。</x:v>
      </x:c>
    </x:row>
    <x:row r="6" ht="38" customHeight="1">
      <x:c r="A6" s="11" t="str">
        <x:v>boss_mirror_lord</x:v>
      </x:c>
      <x:c r="B6" s="11" t="str">
        <x:v>镜像魔君</x:v>
      </x:c>
      <x:c r="C6" s="11" t="str">
        <x:v>人</x:v>
      </x:c>
      <x:c r="D6" s="11" t="n">
        <x:v>2700</x:v>
      </x:c>
      <x:c r="E6" s="11" t="n">
        <x:v>116</x:v>
      </x:c>
      <x:c r="F6" s="11" t="n">
        <x:f>O6</x:f>
        <x:v>12</x:v>
      </x:c>
      <x:c r="G6" s="11" t="n">
        <x:f>D6</x:f>
        <x:v>2700</x:v>
      </x:c>
      <x:c r="H6" s="11" t="n">
        <x:f>ROUND(ROUND(D6/1.5,0)*1.5*1.45,0)</x:f>
        <x:v>3915</x:v>
      </x:c>
      <x:c r="I6" s="11" t="n">
        <x:f>ROUND(ROUND(D6/1.5,0)*1.5*2.1025,0)</x:f>
        <x:v>5677</x:v>
      </x:c>
      <x:c r="J6" s="11" t="n">
        <x:f>ROUND(ROUND(D6/1.5,0)*1.5*3.048625,0)</x:f>
        <x:v>8231</x:v>
      </x:c>
      <x:c r="K6" s="11" t="n">
        <x:f>E6</x:f>
        <x:v>116</x:v>
      </x:c>
      <x:c r="L6" s="11" t="n">
        <x:f>ROUND(ROUND(E6/1.5,0)*1.5*1.35,0)</x:f>
        <x:v>156</x:v>
      </x:c>
      <x:c r="M6" s="11" t="n">
        <x:f>ROUND(ROUND(E6/1.5,0)*1.5*1.8225,0)</x:f>
        <x:v>210</x:v>
      </x:c>
      <x:c r="N6" s="11" t="n">
        <x:f>ROUND(ROUND(E6/1.5,0)*1.5*2.460375,0)</x:f>
        <x:v>284</x:v>
      </x:c>
      <x:c r="O6" s="11" t="n">
        <x:v>12</x:v>
      </x:c>
      <x:c r="P6" s="11" t="n">
        <x:f>ROUND(ROUND(O6/1.5,0)*1.5*1.3,0)</x:f>
        <x:v>16</x:v>
      </x:c>
      <x:c r="Q6" s="11" t="n">
        <x:f>ROUND(ROUND(O6/1.5,0)*1.5*1.69,0)</x:f>
        <x:v>20</x:v>
      </x:c>
      <x:c r="R6" s="11" t="n">
        <x:f>ROUND(ROUND(O6/1.5,0)*1.5*2.197,0)</x:f>
        <x:v>26</x:v>
      </x:c>
      <x:c r="S6" s="11" t="n">
        <x:v>0.95</x:v>
      </x:c>
      <x:c r="T6" s="11" t="n">
        <x:v>32</x:v>
      </x:c>
      <x:c r="U6" s="11" t="n">
        <x:v>2</x:v>
      </x:c>
      <x:c r="V6" s="11" t="n">
        <x:v>1160</x:v>
      </x:c>
      <x:c r="W6" s="11" t="str">
        <x:v>镜像分裂</x:v>
      </x:c>
      <x:c r="X6" s="11" t="str">
        <x:v>mirror_clone</x:v>
      </x:c>
      <x:c r="Y6" s="11" t="str">
        <x:v>主动·每1秒判定</x:v>
      </x:c>
      <x:c r="Z6" s="11" t="str">
        <x:v>✔</x:v>
      </x:c>
      <x:c r="AA6" s="11" t="n">
        <x:v>59</x:v>
      </x:c>
      <x:c r="AB6" s="11" t="str">
        <x:v>clone_atk_pct = 0.4
clone_def = 0
clone_hp_pct = 0.3
clone_per_missing_hp_pct = 0.25
footprint_cells = 2</x:v>
      </x:c>
      <x:c r="AC6" s="11" t="str">
        <x:v>镜像分裂：自身每损失 25% 最大生命就分裂出一个镜像；镜像生命为本体最大生命 30%、攻击为本体 40%，且不会释放技能。</x:v>
      </x:c>
    </x:row>
    <x:row r="7" ht="38" customHeight="1">
      <x:c r="A7" s="15" t="str">
        <x:v>boss_holy_priest</x:v>
      </x:c>
      <x:c r="B7" s="15" t="str">
        <x:v>圣愈祭司</x:v>
      </x:c>
      <x:c r="C7" s="15" t="str">
        <x:v>人</x:v>
      </x:c>
      <x:c r="D7" s="15" t="n">
        <x:v>3000</x:v>
      </x:c>
      <x:c r="E7" s="15" t="n">
        <x:v>75</x:v>
      </x:c>
      <x:c r="F7" s="15" t="n">
        <x:f>O7</x:f>
        <x:v>15</x:v>
      </x:c>
      <x:c r="G7" s="15" t="n">
        <x:f>D7</x:f>
        <x:v>3000</x:v>
      </x:c>
      <x:c r="H7" s="15" t="n">
        <x:f>ROUND(ROUND(D7/1.5,0)*1.5*1.45,0)</x:f>
        <x:v>4350</x:v>
      </x:c>
      <x:c r="I7" s="15" t="n">
        <x:f>ROUND(ROUND(D7/1.5,0)*1.5*2.1025,0)</x:f>
        <x:v>6308</x:v>
      </x:c>
      <x:c r="J7" s="15" t="n">
        <x:f>ROUND(ROUND(D7/1.5,0)*1.5*3.048625,0)</x:f>
        <x:v>9146</x:v>
      </x:c>
      <x:c r="K7" s="15" t="n">
        <x:f>E7</x:f>
        <x:v>75</x:v>
      </x:c>
      <x:c r="L7" s="15" t="n">
        <x:f>ROUND(ROUND(E7/1.5,0)*1.5*1.35,0)</x:f>
        <x:v>101</x:v>
      </x:c>
      <x:c r="M7" s="15" t="n">
        <x:f>ROUND(ROUND(E7/1.5,0)*1.5*1.8225,0)</x:f>
        <x:v>137</x:v>
      </x:c>
      <x:c r="N7" s="15" t="n">
        <x:f>ROUND(ROUND(E7/1.5,0)*1.5*2.460375,0)</x:f>
        <x:v>185</x:v>
      </x:c>
      <x:c r="O7" s="15" t="n">
        <x:v>15</x:v>
      </x:c>
      <x:c r="P7" s="15" t="n">
        <x:f>ROUND(ROUND(O7/1.5,0)*1.5*1.3,0)</x:f>
        <x:v>20</x:v>
      </x:c>
      <x:c r="Q7" s="15" t="n">
        <x:f>ROUND(ROUND(O7/1.5,0)*1.5*1.69,0)</x:f>
        <x:v>25</x:v>
      </x:c>
      <x:c r="R7" s="15" t="n">
        <x:f>ROUND(ROUND(O7/1.5,0)*1.5*2.197,0)</x:f>
        <x:v>33</x:v>
      </x:c>
      <x:c r="S7" s="15" t="n">
        <x:v>0.8</x:v>
      </x:c>
      <x:c r="T7" s="15" t="n">
        <x:v>248</x:v>
      </x:c>
      <x:c r="U7" s="15" t="n">
        <x:v>2</x:v>
      </x:c>
      <x:c r="V7" s="15" t="n">
        <x:v>600</x:v>
      </x:c>
      <x:c r="W7" s="15" t="str">
        <x:v>圣愈净化</x:v>
      </x:c>
      <x:c r="X7" s="15" t="str">
        <x:v>holy_purify</x:v>
      </x:c>
      <x:c r="Y7" s="15" t="str">
        <x:v>主动·冷却</x:v>
      </x:c>
      <x:c r="Z7" s="15" t="str">
        <x:v>✔</x:v>
      </x:c>
      <x:c r="AA7" s="15" t="n">
        <x:v>8</x:v>
      </x:c>
      <x:c r="AB7" s="15" t="str">
        <x:v>footprint_cells = 2
heal_pct = 0.12
shield_pct = 0.1
skill_cd = 8</x:v>
      </x:c>
      <x:c r="AC7" s="15" t="str">
        <x:v>圣愈净化（冷却8.0秒）：清除全体友军身上的所有状态，治疗其最大生命 12%，并给予最大生命 10% 的护盾。</x:v>
      </x:c>
    </x:row>
    <x:row r="8" ht="38" customHeight="1">
      <x:c r="A8" s="11" t="str">
        <x:v>boss_rage_beast</x:v>
      </x:c>
      <x:c r="B8" s="11" t="str">
        <x:v>狂战灾兽</x:v>
      </x:c>
      <x:c r="C8" s="11" t="str">
        <x:v>地</x:v>
      </x:c>
      <x:c r="D8" s="11" t="n">
        <x:v>2850</x:v>
      </x:c>
      <x:c r="E8" s="11" t="n">
        <x:v>83</x:v>
      </x:c>
      <x:c r="F8" s="11" t="n">
        <x:f>O8</x:f>
        <x:v>8</x:v>
      </x:c>
      <x:c r="G8" s="11" t="n">
        <x:f>D8</x:f>
        <x:v>2850</x:v>
      </x:c>
      <x:c r="H8" s="11" t="n">
        <x:f>ROUND(ROUND(D8/1.5,0)*1.5*1.45,0)</x:f>
        <x:v>4133</x:v>
      </x:c>
      <x:c r="I8" s="11" t="n">
        <x:f>ROUND(ROUND(D8/1.5,0)*1.5*2.1025,0)</x:f>
        <x:v>5992</x:v>
      </x:c>
      <x:c r="J8" s="11" t="n">
        <x:f>ROUND(ROUND(D8/1.5,0)*1.5*3.048625,0)</x:f>
        <x:v>8689</x:v>
      </x:c>
      <x:c r="K8" s="11" t="n">
        <x:f>E8</x:f>
        <x:v>83</x:v>
      </x:c>
      <x:c r="L8" s="11" t="n">
        <x:f>ROUND(ROUND(E8/1.5,0)*1.5*1.35,0)</x:f>
        <x:v>111</x:v>
      </x:c>
      <x:c r="M8" s="11" t="n">
        <x:f>ROUND(ROUND(E8/1.5,0)*1.5*1.8225,0)</x:f>
        <x:v>150</x:v>
      </x:c>
      <x:c r="N8" s="11" t="n">
        <x:f>ROUND(ROUND(E8/1.5,0)*1.5*2.460375,0)</x:f>
        <x:v>203</x:v>
      </x:c>
      <x:c r="O8" s="11" t="n">
        <x:v>8</x:v>
      </x:c>
      <x:c r="P8" s="11" t="n">
        <x:f>ROUND(ROUND(O8/1.5,0)*1.5*1.3,0)</x:f>
        <x:v>10</x:v>
      </x:c>
      <x:c r="Q8" s="11" t="n">
        <x:f>ROUND(ROUND(O8/1.5,0)*1.5*1.69,0)</x:f>
        <x:v>13</x:v>
      </x:c>
      <x:c r="R8" s="11" t="n">
        <x:f>ROUND(ROUND(O8/1.5,0)*1.5*2.197,0)</x:f>
        <x:v>16</x:v>
      </x:c>
      <x:c r="S8" s="11" t="n">
        <x:v>1</x:v>
      </x:c>
      <x:c r="T8" s="11" t="n">
        <x:v>32</x:v>
      </x:c>
      <x:c r="U8" s="11" t="n">
        <x:v>2</x:v>
      </x:c>
      <x:c r="V8" s="11" t="n">
        <x:v>1183</x:v>
      </x:c>
      <x:c r="W8" s="11" t="str">
        <x:v>狂怒叠加</x:v>
      </x:c>
      <x:c r="X8" s="11" t="str">
        <x:v>rage_stack</x:v>
      </x:c>
      <x:c r="Y8" s="11" t="str">
        <x:v>每次普攻命中后（被动）</x:v>
      </x:c>
      <x:c r="Z8" s="11" t="str">
        <x:v>✔</x:v>
      </x:c>
      <x:c r="AA8" s="11" t="n">
        <x:v>0</x:v>
      </x:c>
      <x:c r="AB8" s="11" t="str">
        <x:v>aspd_per_hit = 0.03
atk_per_hit = 0.03
footprint_cells = 2
max_stacks = 20</x:v>
      </x:c>
      <x:c r="AC8" s="11" t="str">
        <x:v>狂怒叠加：每次普通攻击命中后攻击 +3%、攻速 +0.03，最多叠加 20 层。</x:v>
      </x:c>
    </x:row>
    <x:row r="9" ht="38" customHeight="1">
      <x:c r="A9" s="15" t="str">
        <x:v>boss_blood_demon</x:v>
      </x:c>
      <x:c r="B9" s="15" t="str">
        <x:v>血怒魔王</x:v>
      </x:c>
      <x:c r="C9" s="15" t="str">
        <x:v>人</x:v>
      </x:c>
      <x:c r="D9" s="15" t="n">
        <x:v>3000</x:v>
      </x:c>
      <x:c r="E9" s="15" t="n">
        <x:v>92</x:v>
      </x:c>
      <x:c r="F9" s="15" t="n">
        <x:f>O9</x:f>
        <x:v>18</x:v>
      </x:c>
      <x:c r="G9" s="15" t="n">
        <x:f>D9</x:f>
        <x:v>3000</x:v>
      </x:c>
      <x:c r="H9" s="15" t="n">
        <x:f>ROUND(ROUND(D9/1.5,0)*1.5*1.45,0)</x:f>
        <x:v>4350</x:v>
      </x:c>
      <x:c r="I9" s="15" t="n">
        <x:f>ROUND(ROUND(D9/1.5,0)*1.5*2.1025,0)</x:f>
        <x:v>6308</x:v>
      </x:c>
      <x:c r="J9" s="15" t="n">
        <x:f>ROUND(ROUND(D9/1.5,0)*1.5*3.048625,0)</x:f>
        <x:v>9146</x:v>
      </x:c>
      <x:c r="K9" s="15" t="n">
        <x:f>E9</x:f>
        <x:v>92</x:v>
      </x:c>
      <x:c r="L9" s="15" t="n">
        <x:f>ROUND(ROUND(E9/1.5,0)*1.5*1.35,0)</x:f>
        <x:v>124</x:v>
      </x:c>
      <x:c r="M9" s="15" t="n">
        <x:f>ROUND(ROUND(E9/1.5,0)*1.5*1.8225,0)</x:f>
        <x:v>167</x:v>
      </x:c>
      <x:c r="N9" s="15" t="n">
        <x:f>ROUND(ROUND(E9/1.5,0)*1.5*2.460375,0)</x:f>
        <x:v>225</x:v>
      </x:c>
      <x:c r="O9" s="15" t="n">
        <x:v>18</x:v>
      </x:c>
      <x:c r="P9" s="15" t="n">
        <x:f>ROUND(ROUND(O9/1.5,0)*1.5*1.3,0)</x:f>
        <x:v>23</x:v>
      </x:c>
      <x:c r="Q9" s="15" t="n">
        <x:f>ROUND(ROUND(O9/1.5,0)*1.5*1.69,0)</x:f>
        <x:v>30</x:v>
      </x:c>
      <x:c r="R9" s="15" t="n">
        <x:f>ROUND(ROUND(O9/1.5,0)*1.5*2.197,0)</x:f>
        <x:v>40</x:v>
      </x:c>
      <x:c r="S9" s="15" t="n">
        <x:v>0.85</x:v>
      </x:c>
      <x:c r="T9" s="15" t="n">
        <x:v>32</x:v>
      </x:c>
      <x:c r="U9" s="15" t="n">
        <x:v>2</x:v>
      </x:c>
      <x:c r="V9" s="15" t="n">
        <x:v>828</x:v>
      </x:c>
      <x:c r="W9" s="15" t="str">
        <x:v>血怒暴走</x:v>
      </x:c>
      <x:c r="X9" s="15" t="str">
        <x:v>blood_rage</x:v>
      </x:c>
      <x:c r="Y9" s="15" t="str">
        <x:v>生命低于阈值时一次性</x:v>
      </x:c>
      <x:c r="Z9" s="15" t="str">
        <x:v>✔</x:v>
      </x:c>
      <x:c r="AA9" s="15" t="n">
        <x:v>0</x:v>
      </x:c>
      <x:c r="AB9" s="15" t="str">
        <x:v>aspd_bonus = 0.3
atk_bonus = 0.4
footprint_cells = 2
lifesteal = 0.1
trigger_hp_pct = 0.35</x:v>
      </x:c>
      <x:c r="AC9" s="15" t="str">
        <x:v>血怒暴走：生命降至 35% 以下时永久进入暴走，攻击 +40%、攻速 +0.30，并获得 10% 吸血。</x:v>
      </x:c>
    </x:row>
    <x:row r="10" ht="38" customHeight="1">
      <x:c r="A10" s="11" t="str">
        <x:v>boss_soul_devourer</x:v>
      </x:c>
      <x:c r="B10" s="11" t="str">
        <x:v>噬魂领主</x:v>
      </x:c>
      <x:c r="C10" s="11" t="str">
        <x:v>人</x:v>
      </x:c>
      <x:c r="D10" s="11" t="n">
        <x:v>3150</x:v>
      </x:c>
      <x:c r="E10" s="11" t="n">
        <x:v>119</x:v>
      </x:c>
      <x:c r="F10" s="11" t="n">
        <x:f>O10</x:f>
        <x:v>15</x:v>
      </x:c>
      <x:c r="G10" s="11" t="n">
        <x:f>D10</x:f>
        <x:v>3150</x:v>
      </x:c>
      <x:c r="H10" s="11" t="n">
        <x:f>ROUND(ROUND(D10/1.5,0)*1.5*1.45,0)</x:f>
        <x:v>4568</x:v>
      </x:c>
      <x:c r="I10" s="11" t="n">
        <x:f>ROUND(ROUND(D10/1.5,0)*1.5*2.1025,0)</x:f>
        <x:v>6623</x:v>
      </x:c>
      <x:c r="J10" s="11" t="n">
        <x:f>ROUND(ROUND(D10/1.5,0)*1.5*3.048625,0)</x:f>
        <x:v>9603</x:v>
      </x:c>
      <x:c r="K10" s="11" t="n">
        <x:f>E10</x:f>
        <x:v>119</x:v>
      </x:c>
      <x:c r="L10" s="11" t="n">
        <x:f>ROUND(ROUND(E10/1.5,0)*1.5*1.35,0)</x:f>
        <x:v>160</x:v>
      </x:c>
      <x:c r="M10" s="11" t="n">
        <x:f>ROUND(ROUND(E10/1.5,0)*1.5*1.8225,0)</x:f>
        <x:v>216</x:v>
      </x:c>
      <x:c r="N10" s="11" t="n">
        <x:f>ROUND(ROUND(E10/1.5,0)*1.5*2.460375,0)</x:f>
        <x:v>292</x:v>
      </x:c>
      <x:c r="O10" s="11" t="n">
        <x:v>15</x:v>
      </x:c>
      <x:c r="P10" s="11" t="n">
        <x:f>ROUND(ROUND(O10/1.5,0)*1.5*1.3,0)</x:f>
        <x:v>20</x:v>
      </x:c>
      <x:c r="Q10" s="11" t="n">
        <x:f>ROUND(ROUND(O10/1.5,0)*1.5*1.69,0)</x:f>
        <x:v>25</x:v>
      </x:c>
      <x:c r="R10" s="11" t="n">
        <x:f>ROUND(ROUND(O10/1.5,0)*1.5*2.197,0)</x:f>
        <x:v>33</x:v>
      </x:c>
      <x:c r="S10" s="11" t="n">
        <x:v>0.9</x:v>
      </x:c>
      <x:c r="T10" s="11" t="n">
        <x:v>32</x:v>
      </x:c>
      <x:c r="U10" s="11" t="n">
        <x:v>2</x:v>
      </x:c>
      <x:c r="V10" s="11" t="n">
        <x:v>1071</x:v>
      </x:c>
      <x:c r="W10" s="11" t="str">
        <x:v>噬魂</x:v>
      </x:c>
      <x:c r="X10" s="11" t="str">
        <x:v>soul_devour</x:v>
      </x:c>
      <x:c r="Y10" s="11" t="str">
        <x:v>击杀时（被动）</x:v>
      </x:c>
      <x:c r="Z10" s="11" t="str">
        <x:v>✔</x:v>
      </x:c>
      <x:c r="AA10" s="11" t="n">
        <x:v>0</x:v>
      </x:c>
      <x:c r="AB10" s="11" t="str">
        <x:v>atk_stack = 0.1
footprint_cells = 2
kill_heal_pct = 0.15</x:v>
      </x:c>
      <x:c r="AC10" s="11" t="str">
        <x:v>噬魂：每击杀一个目标，回复自身最大生命 15%，并永久提升攻击 10%。</x:v>
      </x:c>
    </x:row>
    <x:row r="11" ht="38" customHeight="1">
      <x:c r="A11" s="15" t="str">
        <x:v>boss_twin_gate</x:v>
      </x:c>
      <x:c r="B11" s="15" t="str">
        <x:v>双生守门人</x:v>
      </x:c>
      <x:c r="C11" s="15" t="str">
        <x:v>地</x:v>
      </x:c>
      <x:c r="D11" s="15" t="n">
        <x:v>2100</x:v>
      </x:c>
      <x:c r="E11" s="15" t="n">
        <x:v>96</x:v>
      </x:c>
      <x:c r="F11" s="15" t="n">
        <x:f>O11</x:f>
        <x:v>15</x:v>
      </x:c>
      <x:c r="G11" s="15" t="n">
        <x:f>D11</x:f>
        <x:v>2100</x:v>
      </x:c>
      <x:c r="H11" s="15" t="n">
        <x:f>ROUND(ROUND(D11/1.5,0)*1.5*1.45,0)</x:f>
        <x:v>3045</x:v>
      </x:c>
      <x:c r="I11" s="15" t="n">
        <x:f>ROUND(ROUND(D11/1.5,0)*1.5*2.1025,0)</x:f>
        <x:v>4415</x:v>
      </x:c>
      <x:c r="J11" s="15" t="n">
        <x:f>ROUND(ROUND(D11/1.5,0)*1.5*3.048625,0)</x:f>
        <x:v>6402</x:v>
      </x:c>
      <x:c r="K11" s="15" t="n">
        <x:f>E11</x:f>
        <x:v>96</x:v>
      </x:c>
      <x:c r="L11" s="15" t="n">
        <x:f>ROUND(ROUND(E11/1.5,0)*1.5*1.35,0)</x:f>
        <x:v>130</x:v>
      </x:c>
      <x:c r="M11" s="15" t="n">
        <x:f>ROUND(ROUND(E11/1.5,0)*1.5*1.8225,0)</x:f>
        <x:v>175</x:v>
      </x:c>
      <x:c r="N11" s="15" t="n">
        <x:f>ROUND(ROUND(E11/1.5,0)*1.5*2.460375,0)</x:f>
        <x:v>236</x:v>
      </x:c>
      <x:c r="O11" s="15" t="n">
        <x:v>15</x:v>
      </x:c>
      <x:c r="P11" s="15" t="n">
        <x:f>ROUND(ROUND(O11/1.5,0)*1.5*1.3,0)</x:f>
        <x:v>20</x:v>
      </x:c>
      <x:c r="Q11" s="15" t="n">
        <x:f>ROUND(ROUND(O11/1.5,0)*1.5*1.69,0)</x:f>
        <x:v>25</x:v>
      </x:c>
      <x:c r="R11" s="15" t="n">
        <x:f>ROUND(ROUND(O11/1.5,0)*1.5*2.197,0)</x:f>
        <x:v>33</x:v>
      </x:c>
      <x:c r="S11" s="15" t="n">
        <x:v>0.9</x:v>
      </x:c>
      <x:c r="T11" s="15" t="n">
        <x:v>32</x:v>
      </x:c>
      <x:c r="U11" s="15" t="n">
        <x:v>2</x:v>
      </x:c>
      <x:c r="V11" s="15" t="n">
        <x:v>864</x:v>
      </x:c>
      <x:c r="W11" s="15" t="str">
        <x:v>双生复活</x:v>
      </x:c>
      <x:c r="X11" s="15" t="str">
        <x:v>twin_revive</x:v>
      </x:c>
      <x:c r="Y11" s="15" t="str">
        <x:v>死亡时（被动）</x:v>
      </x:c>
      <x:c r="Z11" s="15" t="str">
        <x:v>✔</x:v>
      </x:c>
      <x:c r="AA11" s="15" t="n">
        <x:v>0</x:v>
      </x:c>
      <x:c r="AB11" s="15" t="str">
        <x:v>footprint_cells = 2
is_twin = true
revive_delay = 5
revive_hp_pct = 0.3
revives_per_twin = 1
twin_second_element = sky</x:v>
      </x:c>
      <x:c r="AC11" s="15" t="str">
        <x:v>双生复活：双子同时登场。任一方死亡后 5.0 秒以 30% 生命复活，每只最多复活 1 次；若同伴已全部阵亡则不再复活。</x:v>
      </x:c>
    </x:row>
    <x:row r="12" ht="38" customHeight="1">
      <x:c r="A12" s="11" t="str">
        <x:v>boss_apocalypse</x:v>
      </x:c>
      <x:c r="B12" s="11" t="str">
        <x:v>灭世裁决者</x:v>
      </x:c>
      <x:c r="C12" s="11" t="str">
        <x:v>天</x:v>
      </x:c>
      <x:c r="D12" s="11" t="n">
        <x:v>4200</x:v>
      </x:c>
      <x:c r="E12" s="11" t="n">
        <x:v>99</x:v>
      </x:c>
      <x:c r="F12" s="11" t="n">
        <x:f>O12</x:f>
        <x:v>21</x:v>
      </x:c>
      <x:c r="G12" s="11" t="n">
        <x:f>D12</x:f>
        <x:v>4200</x:v>
      </x:c>
      <x:c r="H12" s="11" t="n">
        <x:f>ROUND(ROUND(D12/1.5,0)*1.5*1.45,0)</x:f>
        <x:v>6090</x:v>
      </x:c>
      <x:c r="I12" s="11" t="n">
        <x:f>ROUND(ROUND(D12/1.5,0)*1.5*2.1025,0)</x:f>
        <x:v>8831</x:v>
      </x:c>
      <x:c r="J12" s="11" t="n">
        <x:f>ROUND(ROUND(D12/1.5,0)*1.5*3.048625,0)</x:f>
        <x:v>12804</x:v>
      </x:c>
      <x:c r="K12" s="11" t="n">
        <x:f>E12</x:f>
        <x:v>99</x:v>
      </x:c>
      <x:c r="L12" s="11" t="n">
        <x:f>ROUND(ROUND(E12/1.5,0)*1.5*1.35,0)</x:f>
        <x:v>134</x:v>
      </x:c>
      <x:c r="M12" s="11" t="n">
        <x:f>ROUND(ROUND(E12/1.5,0)*1.5*1.8225,0)</x:f>
        <x:v>180</x:v>
      </x:c>
      <x:c r="N12" s="11" t="n">
        <x:f>ROUND(ROUND(E12/1.5,0)*1.5*2.460375,0)</x:f>
        <x:v>244</x:v>
      </x:c>
      <x:c r="O12" s="11" t="n">
        <x:v>21</x:v>
      </x:c>
      <x:c r="P12" s="11" t="n">
        <x:f>ROUND(ROUND(O12/1.5,0)*1.5*1.3,0)</x:f>
        <x:v>27</x:v>
      </x:c>
      <x:c r="Q12" s="11" t="n">
        <x:f>ROUND(ROUND(O12/1.5,0)*1.5*1.69,0)</x:f>
        <x:v>35</x:v>
      </x:c>
      <x:c r="R12" s="11" t="n">
        <x:f>ROUND(ROUND(O12/1.5,0)*1.5*2.197,0)</x:f>
        <x:v>46</x:v>
      </x:c>
      <x:c r="S12" s="11" t="n">
        <x:v>0.75</x:v>
      </x:c>
      <x:c r="T12" s="11" t="n">
        <x:v>248</x:v>
      </x:c>
      <x:c r="U12" s="11" t="n">
        <x:v>2</x:v>
      </x:c>
      <x:c r="V12" s="11" t="n">
        <x:v>1090</x:v>
      </x:c>
      <x:c r="W12" s="11" t="str">
        <x:v>灭世蓄力</x:v>
      </x:c>
      <x:c r="X12" s="11" t="str">
        <x:v>apocalypse_charge</x:v>
      </x:c>
      <x:c r="Y12" s="11" t="str">
        <x:v>主动·冷却</x:v>
      </x:c>
      <x:c r="Z12" s="11" t="str">
        <x:v>✔</x:v>
      </x:c>
      <x:c r="AA12" s="11" t="n">
        <x:v>6</x:v>
      </x:c>
      <x:c r="AB12" s="11" t="str">
        <x:v>charge_sec = 2
charge_shield_pct = 0.1
damage_atk_pct = 2.5
footprint_cells = 2
ignore_def = true
skill_cd = 10</x:v>
      </x:c>
      <x:c r="AC12" s="11" t="str">
        <x:v>灭世蓄力（冷却10.0秒）：先获得最大生命 10% 的护盾并蓄力 2.0 秒，随后对全场敌人造成自身攻击 250% 的伤害（无视防御）；蓄力期间护盾被打破则中断。</x:v>
      </x:c>
    </x:row>
  </x:sheetData>
  <x:mergeCells>
    <x:mergeCell ref="A1:AC1"/>
    <x:mergeCell ref="A2:AC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3" hidden="0" customWidth="1"/>
    <x:col min="2" max="2" width="17" hidden="0" customWidth="1"/>
    <x:col min="3" max="3" width="12" hidden="0" customWidth="1"/>
    <x:col min="4" max="4" width="12" hidden="0" customWidth="1"/>
    <x:col min="5" max="5" width="12"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8" hidden="0" customWidth="1"/>
    <x:col min="18" max="18" width="24" hidden="0" customWidth="1"/>
    <x:col min="19" max="19" width="21" hidden="0" customWidth="1"/>
    <x:col min="20" max="20" width="17" hidden="0" customWidth="1"/>
    <x:col min="21" max="21" width="16" hidden="0" customWidth="1"/>
    <x:col min="22" max="22" width="70" hidden="0" customWidth="1"/>
    <x:col min="23" max="23" width="65" hidden="0" customWidth="1"/>
    <x:col min="24" max="24" width="90" hidden="0" customWidth="1"/>
  </x:cols>
  <x:sheetData>
    <x:row r="1" ht="34" customHeight="1">
      <x:c r="A1" s="2" t="str">
        <x:v>07_佣兵</x:v>
      </x:c>
      <x:c r="B1" s="2"/>
      <x:c r="C1" s="2"/>
      <x:c r="D1" s="2"/>
      <x:c r="E1" s="2"/>
      <x:c r="F1" s="2"/>
      <x:c r="G1" s="2"/>
      <x:c r="H1" s="2"/>
      <x:c r="I1" s="2"/>
      <x:c r="J1" s="2"/>
      <x:c r="K1" s="2"/>
      <x:c r="L1" s="2"/>
      <x:c r="M1" s="2"/>
      <x:c r="N1" s="2"/>
      <x:c r="O1" s="2"/>
      <x:c r="P1" s="2"/>
      <x:c r="Q1" s="2"/>
      <x:c r="R1" s="2"/>
      <x:c r="S1" s="2"/>
      <x:c r="T1" s="2"/>
      <x:c r="U1" s="2"/>
      <x:c r="V1" s="2"/>
      <x:c r="W1" s="2"/>
      <x:c r="X1" s="2"/>
    </x:row>
    <x:row r="2" ht="32" customHeight="1">
      <x:c r="A2" s="4" t="str">
        <x:v>12 种佣兵，含萝卜价、战斗属性和技能。</x:v>
      </x:c>
      <x:c r="B2" s="4"/>
      <x:c r="C2" s="4"/>
      <x:c r="D2" s="4"/>
      <x:c r="E2" s="4"/>
      <x:c r="F2" s="4"/>
      <x:c r="G2" s="4"/>
      <x:c r="H2" s="4"/>
      <x:c r="I2" s="4"/>
      <x:c r="J2" s="4"/>
      <x:c r="K2" s="4"/>
      <x:c r="L2" s="4"/>
      <x:c r="M2" s="4"/>
      <x:c r="N2" s="4"/>
      <x:c r="O2" s="4"/>
      <x:c r="P2" s="4"/>
      <x:c r="Q2" s="4"/>
      <x:c r="R2" s="4"/>
      <x:c r="S2" s="4"/>
      <x:c r="T2" s="4"/>
      <x:c r="U2" s="4"/>
      <x:c r="V2" s="4"/>
      <x:c r="W2" s="4"/>
      <x:c r="X2" s="4"/>
    </x:row>
    <x:row r="3" ht="28" customHeight="1">
      <x:c r="A3" s="7" t="str">
        <x:v>ID</x:v>
      </x:c>
      <x:c r="B3" s="7" t="str">
        <x:v>名称</x:v>
      </x:c>
      <x:c r="C3" s="7" t="str">
        <x:v>萝卜价</x:v>
      </x:c>
      <x:c r="D3" s="7" t="str">
        <x:v>cost字段</x:v>
      </x:c>
      <x:c r="E3" s="7" t="str">
        <x:v>被杀赏金</x:v>
      </x:c>
      <x:c r="F3" s="7" t="str">
        <x:v>HP</x:v>
      </x:c>
      <x:c r="G3" s="7" t="str">
        <x:v>攻击</x:v>
      </x:c>
      <x:c r="H3" s="7" t="str">
        <x:v>防御</x:v>
      </x:c>
      <x:c r="I3" s="7" t="str">
        <x:v>攻速</x:v>
      </x:c>
      <x:c r="J3" s="7" t="str">
        <x:v>射程px</x:v>
      </x:c>
      <x:c r="K3" s="7" t="str">
        <x:v>移速px/s</x:v>
      </x:c>
      <x:c r="L3" s="7" t="str">
        <x:v>暴击</x:v>
      </x:c>
      <x:c r="M3" s="7" t="str">
        <x:v>暴伤</x:v>
      </x:c>
      <x:c r="N3" s="7" t="str">
        <x:v>理论DPS</x:v>
      </x:c>
      <x:c r="O3" s="7" t="str">
        <x:v>10秒原始输出</x:v>
      </x:c>
      <x:c r="P3" s="7" t="str">
        <x:v>有效血量</x:v>
      </x:c>
      <x:c r="Q3" s="7" t="str">
        <x:v>技能名</x:v>
      </x:c>
      <x:c r="R3" s="7" t="str">
        <x:v>技能ID</x:v>
      </x:c>
      <x:c r="S3" s="7" t="str">
        <x:v>触发方式</x:v>
      </x:c>
      <x:c r="T3" s="7" t="str">
        <x:v>实跑</x:v>
      </x:c>
      <x:c r="U3" s="7" t="str">
        <x:v>60秒释放</x:v>
      </x:c>
      <x:c r="V3" s="7" t="str">
        <x:v>实跑到的效果</x:v>
      </x:c>
      <x:c r="W3" s="7" t="str">
        <x:v>技能数值(实测)</x:v>
      </x:c>
      <x:c r="X3" s="7" t="str">
        <x:v>效果说明</x:v>
      </x:c>
    </x:row>
    <x:row r="4" ht="38" customHeight="1">
      <x:c r="A4" s="11" t="str">
        <x:v>merc_pisces_bubble</x:v>
      </x:c>
      <x:c r="B4" s="11" t="str">
        <x:v>泡沫术士</x:v>
      </x:c>
      <x:c r="C4" s="11" t="n">
        <x:v>3</x:v>
      </x:c>
      <x:c r="D4" s="11" t="n">
        <x:v>50</x:v>
      </x:c>
      <x:c r="E4" s="11" t="n">
        <x:v>10</x:v>
      </x:c>
      <x:c r="F4" s="11" t="n">
        <x:v>560</x:v>
      </x:c>
      <x:c r="G4" s="11" t="n">
        <x:v>23</x:v>
      </x:c>
      <x:c r="H4" s="11" t="n">
        <x:v>3</x:v>
      </x:c>
      <x:c r="I4" s="11" t="n">
        <x:v>1</x:v>
      </x:c>
      <x:c r="J4" s="11" t="n">
        <x:v>248</x:v>
      </x:c>
      <x:c r="K4" s="11" t="n">
        <x:v>165</x:v>
      </x:c>
      <x:c r="L4" s="11" t="str">
        <x:v>5%</x:v>
      </x:c>
      <x:c r="M4" s="11" t="n">
        <x:v>1.5</x:v>
      </x:c>
      <x:c r="N4" s="11" t="n">
        <x:v>23.6</x:v>
      </x:c>
      <x:c r="O4" s="11" t="n">
        <x:v>522</x:v>
      </x:c>
      <x:c r="P4" s="11" t="n">
        <x:v>577</x:v>
      </x:c>
      <x:c r="Q4" s="11" t="str">
        <x:v>泡沫梦境</x:v>
      </x:c>
      <x:c r="R4" s="11" t="str">
        <x:v>bubble_dream</x:v>
      </x:c>
      <x:c r="S4" s="11" t="str">
        <x:v>主动·冷却</x:v>
      </x:c>
      <x:c r="T4" s="11" t="str">
        <x:v>✔</x:v>
      </x:c>
      <x:c r="U4" s="11" t="n">
        <x:v>10</x:v>
      </x:c>
      <x:c r="V4" s="11" t="str">
        <x:v>hp: 50000000 -&gt; 49998404；statuses_added: slow</x:v>
      </x:c>
      <x:c r="W4" s="11" t="str">
        <x:v>burst_damage = 140
carrot_cost = 3
heal = 160
skill_cd = 6
slow_pct = 0.3</x:v>
      </x:c>
      <x:c r="X4" s="11" t="str">
        <x:v>泡沫梦境（冷却6.0秒）：治疗最低血友军160点，并使最近敌人减速30%、受到140点真实伤害。</x:v>
      </x:c>
    </x:row>
    <x:row r="5" ht="38" customHeight="1">
      <x:c r="A5" s="15" t="str">
        <x:v>merc_cancer_shell</x:v>
      </x:c>
      <x:c r="B5" s="15" t="str">
        <x:v>甲壳守卫</x:v>
      </x:c>
      <x:c r="C5" s="15" t="n">
        <x:v>6</x:v>
      </x:c>
      <x:c r="D5" s="15" t="n">
        <x:v>100</x:v>
      </x:c>
      <x:c r="E5" s="15" t="n">
        <x:v>20</x:v>
      </x:c>
      <x:c r="F5" s="15" t="n">
        <x:v>1200</x:v>
      </x:c>
      <x:c r="G5" s="15" t="n">
        <x:v>28</x:v>
      </x:c>
      <x:c r="H5" s="15" t="n">
        <x:v>5</x:v>
      </x:c>
      <x:c r="I5" s="15" t="n">
        <x:v>0.85</x:v>
      </x:c>
      <x:c r="J5" s="15" t="n">
        <x:v>32</x:v>
      </x:c>
      <x:c r="K5" s="15" t="n">
        <x:v>154</x:v>
      </x:c>
      <x:c r="L5" s="15" t="str">
        <x:v>5%</x:v>
      </x:c>
      <x:c r="M5" s="15" t="n">
        <x:v>1.5</x:v>
      </x:c>
      <x:c r="N5" s="15" t="n">
        <x:v>24.4</x:v>
      </x:c>
      <x:c r="O5" s="15" t="n">
        <x:v>252</x:v>
      </x:c>
      <x:c r="P5" s="15" t="n">
        <x:v>1260</x:v>
      </x:c>
      <x:c r="Q5" s="15" t="str">
        <x:v>甲壳守护</x:v>
      </x:c>
      <x:c r="R5" s="15" t="str">
        <x:v>shell_guard</x:v>
      </x:c>
      <x:c r="S5" s="15" t="str">
        <x:v>主动·固定冷却6秒</x:v>
      </x:c>
      <x:c r="T5" s="15" t="str">
        <x:v>✔</x:v>
      </x:c>
      <x:c r="U5" s="15" t="n">
        <x:v>10</x:v>
      </x:c>
      <x:c r="V5" s="15"/>
      <x:c r="W5" s="15" t="str">
        <x:v>carrot_cost = 6
duration = 5
reduction = 0.5</x:v>
      </x:c>
      <x:c r="X5" s="15" t="str">
        <x:v>甲壳守护（冷却6.0秒）：获得50%减伤，持续5.0秒。</x:v>
      </x:c>
    </x:row>
    <x:row r="6" ht="38" customHeight="1">
      <x:c r="A6" s="11" t="str">
        <x:v>merc_libra_judge</x:v>
      </x:c>
      <x:c r="B6" s="11" t="str">
        <x:v>审判剑士</x:v>
      </x:c>
      <x:c r="C6" s="11" t="n">
        <x:v>9</x:v>
      </x:c>
      <x:c r="D6" s="11" t="n">
        <x:v>150</x:v>
      </x:c>
      <x:c r="E6" s="11" t="n">
        <x:v>30</x:v>
      </x:c>
      <x:c r="F6" s="11" t="n">
        <x:v>960</x:v>
      </x:c>
      <x:c r="G6" s="11" t="n">
        <x:v>52</x:v>
      </x:c>
      <x:c r="H6" s="11" t="n">
        <x:v>7</x:v>
      </x:c>
      <x:c r="I6" s="11" t="n">
        <x:v>1</x:v>
      </x:c>
      <x:c r="J6" s="11" t="n">
        <x:v>32</x:v>
      </x:c>
      <x:c r="K6" s="11" t="n">
        <x:v>170.5</x:v>
      </x:c>
      <x:c r="L6" s="11" t="str">
        <x:v>5%</x:v>
      </x:c>
      <x:c r="M6" s="11" t="n">
        <x:v>1.5</x:v>
      </x:c>
      <x:c r="N6" s="11" t="n">
        <x:v>53.3</x:v>
      </x:c>
      <x:c r="O6" s="11" t="n">
        <x:v>730</x:v>
      </x:c>
      <x:c r="P6" s="11" t="n">
        <x:v>1027</x:v>
      </x:c>
      <x:c r="Q6" s="11" t="str">
        <x:v>均衡裁决</x:v>
      </x:c>
      <x:c r="R6" s="11" t="str">
        <x:v>balance_judge</x:v>
      </x:c>
      <x:c r="S6" s="11" t="str">
        <x:v>普攻附带（被动）</x:v>
      </x:c>
      <x:c r="T6" s="11" t="str">
        <x:v>✔</x:v>
      </x:c>
      <x:c r="U6" s="11" t="n">
        <x:v>0</x:v>
      </x:c>
      <x:c r="V6" s="11"/>
      <x:c r="W6" s="11" t="str">
        <x:v>bonus_vs_higher_hp = 0.4
carrot_cost = 9</x:v>
      </x:c>
      <x:c r="X6" s="11" t="str">
        <x:v>均衡裁决：攻击当前生命高于自己的目标时，伤害+40%。</x:v>
      </x:c>
    </x:row>
    <x:row r="7" ht="38" customHeight="1">
      <x:c r="A7" s="15" t="str">
        <x:v>merc_taurus_charge</x:v>
      </x:c>
      <x:c r="B7" s="15" t="str">
        <x:v>黄金重骑</x:v>
      </x:c>
      <x:c r="C7" s="15" t="n">
        <x:v>12</x:v>
      </x:c>
      <x:c r="D7" s="15" t="n">
        <x:v>200</x:v>
      </x:c>
      <x:c r="E7" s="15" t="n">
        <x:v>40</x:v>
      </x:c>
      <x:c r="F7" s="15" t="n">
        <x:v>1400</x:v>
      </x:c>
      <x:c r="G7" s="15" t="n">
        <x:v>57</x:v>
      </x:c>
      <x:c r="H7" s="15" t="n">
        <x:v>8</x:v>
      </x:c>
      <x:c r="I7" s="15" t="n">
        <x:v>0.9</x:v>
      </x:c>
      <x:c r="J7" s="15" t="n">
        <x:v>32</x:v>
      </x:c>
      <x:c r="K7" s="15" t="n">
        <x:v>187</x:v>
      </x:c>
      <x:c r="L7" s="15" t="str">
        <x:v>5%</x:v>
      </x:c>
      <x:c r="M7" s="15" t="n">
        <x:v>1.5</x:v>
      </x:c>
      <x:c r="N7" s="15" t="n">
        <x:v>52.6</x:v>
      </x:c>
      <x:c r="O7" s="15" t="n">
        <x:v>1022</x:v>
      </x:c>
      <x:c r="P7" s="15" t="n">
        <x:v>1512</x:v>
      </x:c>
      <x:c r="Q7" s="15" t="str">
        <x:v>黄金冲锋</x:v>
      </x:c>
      <x:c r="R7" s="15" t="str">
        <x:v>gold_charge</x:v>
      </x:c>
      <x:c r="S7" s="15" t="str">
        <x:v>主动·固定冷却7秒</x:v>
      </x:c>
      <x:c r="T7" s="15" t="str">
        <x:v>✔</x:v>
      </x:c>
      <x:c r="U7" s="15" t="n">
        <x:v>9</x:v>
      </x:c>
      <x:c r="V7" s="15" t="str">
        <x:v>hp: 50000000 -&gt; 49997384；statuses_added: stun</x:v>
      </x:c>
      <x:c r="W7" s="15" t="str">
        <x:v>bonus_vs_higher_hp = 0.4
carrot_cost = 12
skill_damage = 240
stun_sec = 1.2</x:v>
      </x:c>
      <x:c r="X7" s="15" t="str">
        <x:v>黄金冲锋（冷却7.0秒）：冲向最近敌人，造成240点真实伤害并眩晕1.2秒。</x:v>
      </x:c>
    </x:row>
    <x:row r="8" ht="38" customHeight="1">
      <x:c r="A8" s="11" t="str">
        <x:v>merc_virgo_heal</x:v>
      </x:c>
      <x:c r="B8" s="11" t="str">
        <x:v>圣愈修女</x:v>
      </x:c>
      <x:c r="C8" s="11" t="n">
        <x:v>15</x:v>
      </x:c>
      <x:c r="D8" s="11" t="n">
        <x:v>250</x:v>
      </x:c>
      <x:c r="E8" s="11" t="n">
        <x:v>50</x:v>
      </x:c>
      <x:c r="F8" s="11" t="n">
        <x:v>1040</x:v>
      </x:c>
      <x:c r="G8" s="11" t="n">
        <x:v>33</x:v>
      </x:c>
      <x:c r="H8" s="11" t="n">
        <x:v>7</x:v>
      </x:c>
      <x:c r="I8" s="11" t="n">
        <x:v>0.9</x:v>
      </x:c>
      <x:c r="J8" s="11" t="n">
        <x:v>248</x:v>
      </x:c>
      <x:c r="K8" s="11" t="n">
        <x:v>165</x:v>
      </x:c>
      <x:c r="L8" s="11" t="str">
        <x:v>5%</x:v>
      </x:c>
      <x:c r="M8" s="11" t="n">
        <x:v>1.5</x:v>
      </x:c>
      <x:c r="N8" s="11" t="n">
        <x:v>30.4</x:v>
      </x:c>
      <x:c r="O8" s="11" t="n">
        <x:v>297</x:v>
      </x:c>
      <x:c r="P8" s="11" t="n">
        <x:v>1113</x:v>
      </x:c>
      <x:c r="Q8" s="11" t="str">
        <x:v>圣歌</x:v>
      </x:c>
      <x:c r="R8" s="11" t="str">
        <x:v>holy_song</x:v>
      </x:c>
      <x:c r="S8" s="11" t="str">
        <x:v>主动·冷却</x:v>
      </x:c>
      <x:c r="T8" s="11" t="str">
        <x:v>✔</x:v>
      </x:c>
      <x:c r="U8" s="11" t="n">
        <x:v>6</x:v>
      </x:c>
      <x:c r="V8" s="11"/>
      <x:c r="W8" s="11" t="str">
        <x:v>carrot_cost = 15
cleanse_control = true
heal_pct = 0.15
skill_cd = 10</x:v>
      </x:c>
      <x:c r="X8" s="11" t="str">
        <x:v>圣歌（冷却10.0秒）：治疗全体友军最大生命15%，并清除控制类负面状态。</x:v>
      </x:c>
    </x:row>
    <x:row r="9" ht="38" customHeight="1">
      <x:c r="A9" s="15" t="str">
        <x:v>merc_gemini_assassin</x:v>
      </x:c>
      <x:c r="B9" s="15" t="str">
        <x:v>镜像刺客</x:v>
      </x:c>
      <x:c r="C9" s="15" t="n">
        <x:v>18</x:v>
      </x:c>
      <x:c r="D9" s="15" t="n">
        <x:v>300</x:v>
      </x:c>
      <x:c r="E9" s="15" t="n">
        <x:v>60</x:v>
      </x:c>
      <x:c r="F9" s="15" t="n">
        <x:v>1014</x:v>
      </x:c>
      <x:c r="G9" s="15" t="n">
        <x:v>77</x:v>
      </x:c>
      <x:c r="H9" s="15" t="n">
        <x:v>6</x:v>
      </x:c>
      <x:c r="I9" s="15" t="n">
        <x:v>1.35</x:v>
      </x:c>
      <x:c r="J9" s="15" t="n">
        <x:v>32</x:v>
      </x:c>
      <x:c r="K9" s="15" t="n">
        <x:v>198</x:v>
      </x:c>
      <x:c r="L9" s="15" t="str">
        <x:v>5%</x:v>
      </x:c>
      <x:c r="M9" s="15" t="n">
        <x:v>1.5</x:v>
      </x:c>
      <x:c r="N9" s="15" t="n">
        <x:v>106.5</x:v>
      </x:c>
      <x:c r="O9" s="15" t="n">
        <x:v>1404</x:v>
      </x:c>
      <x:c r="P9" s="15" t="n">
        <x:v>1075</x:v>
      </x:c>
      <x:c r="Q9" s="15" t="str">
        <x:v>镜像突袭</x:v>
      </x:c>
      <x:c r="R9" s="15" t="str">
        <x:v>twin_strike</x:v>
      </x:c>
      <x:c r="S9" s="15" t="str">
        <x:v>主动·冷却</x:v>
      </x:c>
      <x:c r="T9" s="15" t="str">
        <x:v>✔</x:v>
      </x:c>
      <x:c r="U9" s="15" t="n">
        <x:v>6</x:v>
      </x:c>
      <x:c r="V9" s="15"/>
      <x:c r="W9" s="15" t="str">
        <x:v>carrot_cost = 18
clone_atk_pct = 0.4
clone_hp_pct = 0.3
skill_cd = 10</x:v>
      </x:c>
      <x:c r="X9" s="15" t="str">
        <x:v>镜像突袭（冷却10.0秒）：召唤自身镜像，镜像生命30%、攻击40%。</x:v>
      </x:c>
    </x:row>
    <x:row r="10" ht="38" customHeight="1">
      <x:c r="A10" s="11" t="str">
        <x:v>merc_leo_sun</x:v>
      </x:c>
      <x:c r="B10" s="11" t="str">
        <x:v>炎阳王者</x:v>
      </x:c>
      <x:c r="C10" s="11" t="n">
        <x:v>21</x:v>
      </x:c>
      <x:c r="D10" s="11" t="n">
        <x:v>350</x:v>
      </x:c>
      <x:c r="E10" s="11" t="n">
        <x:v>70</x:v>
      </x:c>
      <x:c r="F10" s="11" t="n">
        <x:v>1734</x:v>
      </x:c>
      <x:c r="G10" s="11" t="n">
        <x:v>74</x:v>
      </x:c>
      <x:c r="H10" s="11" t="n">
        <x:v>11</x:v>
      </x:c>
      <x:c r="I10" s="11" t="n">
        <x:v>0.95</x:v>
      </x:c>
      <x:c r="J10" s="11" t="n">
        <x:v>32</x:v>
      </x:c>
      <x:c r="K10" s="11" t="n">
        <x:v>165</x:v>
      </x:c>
      <x:c r="L10" s="11" t="str">
        <x:v>5%</x:v>
      </x:c>
      <x:c r="M10" s="11" t="n">
        <x:v>1.5</x:v>
      </x:c>
      <x:c r="N10" s="11" t="n">
        <x:v>72.1</x:v>
      </x:c>
      <x:c r="O10" s="11" t="n">
        <x:v>1036</x:v>
      </x:c>
      <x:c r="P10" s="11" t="n">
        <x:v>1925</x:v>
      </x:c>
      <x:c r="Q10" s="11" t="str">
        <x:v>王者光环</x:v>
      </x:c>
      <x:c r="R10" s="11" t="str">
        <x:v>king_aura</x:v>
      </x:c>
      <x:c r="S10" s="11" t="str">
        <x:v>主动·固定冷却2秒</x:v>
      </x:c>
      <x:c r="T10" s="11" t="str">
        <x:v>✔</x:v>
      </x:c>
      <x:c r="U10" s="11" t="n">
        <x:v>30</x:v>
      </x:c>
      <x:c r="V10" s="11"/>
      <x:c r="W10" s="11" t="str">
        <x:v>ally_aspd_bonus = 0.25
ally_crit_bonus = 0.25
aura_radius = 2
carrot_cost = 21</x:v>
      </x:c>
      <x:c r="X10" s="11" t="str">
        <x:v>王者光环：每2秒强化周围友军，攻速+25%、暴击+25%。</x:v>
      </x:c>
    </x:row>
    <x:row r="11" ht="38" customHeight="1">
      <x:c r="A11" s="15" t="str">
        <x:v>merc_sagittarius_rain</x:v>
      </x:c>
      <x:c r="B11" s="15" t="str">
        <x:v>星轨猎人</x:v>
      </x:c>
      <x:c r="C11" s="15" t="n">
        <x:v>24</x:v>
      </x:c>
      <x:c r="D11" s="15" t="n">
        <x:v>400</x:v>
      </x:c>
      <x:c r="E11" s="15" t="n">
        <x:v>80</x:v>
      </x:c>
      <x:c r="F11" s="15" t="n">
        <x:v>1266</x:v>
      </x:c>
      <x:c r="G11" s="15" t="n">
        <x:v>88</x:v>
      </x:c>
      <x:c r="H11" s="15" t="n">
        <x:v>7</x:v>
      </x:c>
      <x:c r="I11" s="15" t="n">
        <x:v>1.25</x:v>
      </x:c>
      <x:c r="J11" s="15" t="n">
        <x:v>248</x:v>
      </x:c>
      <x:c r="K11" s="15" t="n">
        <x:v>176</x:v>
      </x:c>
      <x:c r="L11" s="15" t="str">
        <x:v>25%</x:v>
      </x:c>
      <x:c r="M11" s="15" t="n">
        <x:v>1.5</x:v>
      </x:c>
      <x:c r="N11" s="15" t="n">
        <x:v>123.8</x:v>
      </x:c>
      <x:c r="O11" s="15" t="n">
        <x:v>1470</x:v>
      </x:c>
      <x:c r="P11" s="15" t="n">
        <x:v>1355</x:v>
      </x:c>
      <x:c r="Q11" s="15" t="str">
        <x:v>箭雨</x:v>
      </x:c>
      <x:c r="R11" s="15" t="str">
        <x:v>arrow_rain</x:v>
      </x:c>
      <x:c r="S11" s="15" t="str">
        <x:v>主动·冷却</x:v>
      </x:c>
      <x:c r="T11" s="15" t="str">
        <x:v>✔</x:v>
      </x:c>
      <x:c r="U11" s="15" t="n">
        <x:v>10</x:v>
      </x:c>
      <x:c r="V11" s="15" t="str">
        <x:v>hp: 50000000 -&gt; 49999144</x:v>
      </x:c>
      <x:c r="W11" s="15" t="str">
        <x:v>carrot_cost = 24
skill_cd = 6
targets = 5</x:v>
      </x:c>
      <x:c r="X11" s="15" t="str">
        <x:v>箭雨（冷却6.0秒）：攻击最近5名敌人，每个目标受到自身攻击85%伤害。</x:v>
      </x:c>
    </x:row>
    <x:row r="12" ht="38" customHeight="1">
      <x:c r="A12" s="11" t="str">
        <x:v>merc_aries_blood</x:v>
      </x:c>
      <x:c r="B12" s="11" t="str">
        <x:v>狂战先锋</x:v>
      </x:c>
      <x:c r="C12" s="11" t="n">
        <x:v>27</x:v>
      </x:c>
      <x:c r="D12" s="11" t="n">
        <x:v>450</x:v>
      </x:c>
      <x:c r="E12" s="11" t="n">
        <x:v>90</x:v>
      </x:c>
      <x:c r="F12" s="11" t="n">
        <x:v>2266</x:v>
      </x:c>
      <x:c r="G12" s="11" t="n">
        <x:v>85</x:v>
      </x:c>
      <x:c r="H12" s="11" t="n">
        <x:v>12</x:v>
      </x:c>
      <x:c r="I12" s="11" t="n">
        <x:v>1</x:v>
      </x:c>
      <x:c r="J12" s="11" t="n">
        <x:v>32</x:v>
      </x:c>
      <x:c r="K12" s="11" t="n">
        <x:v>176</x:v>
      </x:c>
      <x:c r="L12" s="11" t="str">
        <x:v>5%</x:v>
      </x:c>
      <x:c r="M12" s="11" t="n">
        <x:v>1.5</x:v>
      </x:c>
      <x:c r="N12" s="11" t="n">
        <x:v>87.1</x:v>
      </x:c>
      <x:c r="O12" s="11" t="n">
        <x:v>850</x:v>
      </x:c>
      <x:c r="P12" s="11" t="n">
        <x:v>2538</x:v>
      </x:c>
      <x:c r="Q12" s="11" t="str">
        <x:v>血怒</x:v>
      </x:c>
      <x:c r="R12" s="11" t="str">
        <x:v>blood_rampage</x:v>
      </x:c>
      <x:c r="S12" s="11" t="str">
        <x:v>持续被动</x:v>
      </x:c>
      <x:c r="T12" s="11" t="str">
        <x:v>✔</x:v>
      </x:c>
      <x:c r="U12" s="11" t="n">
        <x:v>0</x:v>
      </x:c>
      <x:c r="V12" s="11"/>
      <x:c r="W12" s="11" t="str">
        <x:v>aspd_per_step = 0.1
carrot_cost = 27
hp_step = 0.1
lifesteal_per_step = 0.05</x:v>
      </x:c>
      <x:c r="X12" s="11" t="str">
        <x:v>血怒：每损失10%最大生命，攻速+10%、吸血+5%，并获得少量伤害提升。</x:v>
      </x:c>
    </x:row>
    <x:row r="13" ht="38" customHeight="1">
      <x:c r="A13" s="15" t="str">
        <x:v>merc_capricorn_steel</x:v>
      </x:c>
      <x:c r="B13" s="15" t="str">
        <x:v>黑钢统帅</x:v>
      </x:c>
      <x:c r="C13" s="15" t="n">
        <x:v>30</x:v>
      </x:c>
      <x:c r="D13" s="15" t="n">
        <x:v>500</x:v>
      </x:c>
      <x:c r="E13" s="15" t="n">
        <x:v>100</x:v>
      </x:c>
      <x:c r="F13" s="15" t="n">
        <x:v>1820</x:v>
      </x:c>
      <x:c r="G13" s="15" t="n">
        <x:v>77</x:v>
      </x:c>
      <x:c r="H13" s="15" t="n">
        <x:v>10</x:v>
      </x:c>
      <x:c r="I13" s="15" t="n">
        <x:v>0.9</x:v>
      </x:c>
      <x:c r="J13" s="15" t="n">
        <x:v>32</x:v>
      </x:c>
      <x:c r="K13" s="15" t="n">
        <x:v>159.5</x:v>
      </x:c>
      <x:c r="L13" s="15" t="str">
        <x:v>5%</x:v>
      </x:c>
      <x:c r="M13" s="15" t="n">
        <x:v>1.5</x:v>
      </x:c>
      <x:c r="N13" s="15" t="n">
        <x:v>71</x:v>
      </x:c>
      <x:c r="O13" s="15" t="n">
        <x:v>924</x:v>
      </x:c>
      <x:c r="P13" s="15" t="n">
        <x:v>2002</x:v>
      </x:c>
      <x:c r="Q13" s="15" t="str">
        <x:v>钢铁号令</x:v>
      </x:c>
      <x:c r="R13" s="15" t="str">
        <x:v>steel_order</x:v>
      </x:c>
      <x:c r="S13" s="15" t="str">
        <x:v>主动·冷却</x:v>
      </x:c>
      <x:c r="T13" s="15" t="str">
        <x:v>✔</x:v>
      </x:c>
      <x:c r="U13" s="15" t="n">
        <x:v>8</x:v>
      </x:c>
      <x:c r="V13" s="15"/>
      <x:c r="W13" s="15" t="str">
        <x:v>aspd_bonus = 0.3
buff_targets = 3
carrot_cost = 30
control_time_reduction = 0.3
damage_reduction = 0.2
duration = 8
skill_cd = 8</x:v>
      </x:c>
      <x:c r="X13" s="15" t="str">
        <x:v>钢铁号令（冷却8.0秒）：强化最近3名友军，减伤20%、攻速+30%、控制时间降低30%，持续8.0秒。</x:v>
      </x:c>
    </x:row>
    <x:row r="14" ht="38" customHeight="1">
      <x:c r="A14" s="11" t="str">
        <x:v>merc_aquarius_time</x:v>
      </x:c>
      <x:c r="B14" s="11" t="str">
        <x:v>时空观测者</x:v>
      </x:c>
      <x:c r="C14" s="11" t="n">
        <x:v>33</x:v>
      </x:c>
      <x:c r="D14" s="11" t="n">
        <x:v>550</x:v>
      </x:c>
      <x:c r="E14" s="11" t="n">
        <x:v>110</x:v>
      </x:c>
      <x:c r="F14" s="11" t="n">
        <x:v>1600</x:v>
      </x:c>
      <x:c r="G14" s="11" t="n">
        <x:v>88</x:v>
      </x:c>
      <x:c r="H14" s="11" t="n">
        <x:v>12</x:v>
      </x:c>
      <x:c r="I14" s="11" t="n">
        <x:v>0.95</x:v>
      </x:c>
      <x:c r="J14" s="11" t="n">
        <x:v>248</x:v>
      </x:c>
      <x:c r="K14" s="11" t="n">
        <x:v>170.5</x:v>
      </x:c>
      <x:c r="L14" s="11" t="str">
        <x:v>5%</x:v>
      </x:c>
      <x:c r="M14" s="11" t="n">
        <x:v>1.5</x:v>
      </x:c>
      <x:c r="N14" s="11" t="n">
        <x:v>85.7</x:v>
      </x:c>
      <x:c r="O14" s="11" t="n">
        <x:v>880</x:v>
      </x:c>
      <x:c r="P14" s="11" t="n">
        <x:v>1792</x:v>
      </x:c>
      <x:c r="Q14" s="11" t="str">
        <x:v>时空迟缓</x:v>
      </x:c>
      <x:c r="R14" s="11" t="str">
        <x:v>time_slow</x:v>
      </x:c>
      <x:c r="S14" s="11" t="str">
        <x:v>主动·冷却</x:v>
      </x:c>
      <x:c r="T14" s="11" t="str">
        <x:v>✔</x:v>
      </x:c>
      <x:c r="U14" s="11" t="n">
        <x:v>8</x:v>
      </x:c>
      <x:c r="V14" s="11" t="str">
        <x:v>statuses_added: slow</x:v>
      </x:c>
      <x:c r="W14" s="11" t="str">
        <x:v>carrot_cost = 33
duration = 5
skill_cd = 8
skill_dodge_interval = 8
slow_pct = 0.35</x:v>
      </x:c>
      <x:c r="X14" s="11" t="str">
        <x:v>时空迟缓（冷却8.0秒）：自身短暂闪避提高，并使全体敌人减速35%，持续5.0秒。</x:v>
      </x:c>
    </x:row>
    <x:row r="15" ht="38" customHeight="1">
      <x:c r="A15" s="15" t="str">
        <x:v>merc_scorpio_death</x:v>
      </x:c>
      <x:c r="B15" s="15" t="str">
        <x:v>冥界执行者</x:v>
      </x:c>
      <x:c r="C15" s="15" t="n">
        <x:v>36</x:v>
      </x:c>
      <x:c r="D15" s="15" t="n">
        <x:v>600</x:v>
      </x:c>
      <x:c r="E15" s="15" t="n">
        <x:v>120</x:v>
      </x:c>
      <x:c r="F15" s="15" t="n">
        <x:v>2666</x:v>
      </x:c>
      <x:c r="G15" s="15" t="n">
        <x:v>124</x:v>
      </x:c>
      <x:c r="H15" s="15" t="n">
        <x:v>13</x:v>
      </x:c>
      <x:c r="I15" s="15" t="n">
        <x:v>1</x:v>
      </x:c>
      <x:c r="J15" s="15" t="n">
        <x:v>32</x:v>
      </x:c>
      <x:c r="K15" s="15" t="n">
        <x:v>181.5</x:v>
      </x:c>
      <x:c r="L15" s="15" t="str">
        <x:v>5%</x:v>
      </x:c>
      <x:c r="M15" s="15" t="n">
        <x:v>1.5</x:v>
      </x:c>
      <x:c r="N15" s="15" t="n">
        <x:v>127.1</x:v>
      </x:c>
      <x:c r="O15" s="15" t="n">
        <x:v>1240</x:v>
      </x:c>
      <x:c r="P15" s="15" t="n">
        <x:v>3013</x:v>
      </x:c>
      <x:c r="Q15" s="15" t="str">
        <x:v>冥界处决</x:v>
      </x:c>
      <x:c r="R15" s="15" t="str">
        <x:v>death_hunt</x:v>
      </x:c>
      <x:c r="S15" s="15" t="str">
        <x:v>目标选择+普攻附带+击杀时</x:v>
      </x:c>
      <x:c r="T15" s="15" t="str">
        <x:v>✔</x:v>
      </x:c>
      <x:c r="U15" s="15" t="n">
        <x:v>0</x:v>
      </x:c>
      <x:c r="V15" s="15"/>
      <x:c r="W15" s="15" t="str">
        <x:v>armor_break = 8
carrot_cost = 36
duration = 4
heal_reduction = 0.7
kill_heal_pct = 0.15
prefer_low_hp = true</x:v>
      </x:c>
      <x:c r="X15" s="15" t="str">
        <x:v>冥界处决：优先攻击低血目标；击杀回复最大生命15%。普攻破甲8并降低治疗70%，持续4.0秒。</x:v>
      </x:c>
    </x:row>
  </x:sheetData>
  <x:mergeCells>
    <x:mergeCell ref="A1:X1"/>
    <x:mergeCell ref="A2:X2"/>
  </x:mergeCells>
  <x:pageMargins left="0.7" right="0.7" top="0.75" bottom="0.75" header="0.3" footer="0.3"/>
</x:worksheet>
</file>

<file path=xl/worksheets/sheet9.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3" hidden="0" customWidth="1"/>
    <x:col min="2" max="2" width="17" hidden="0" customWidth="1"/>
    <x:col min="3" max="3" width="18" hidden="0" customWidth="1"/>
    <x:col min="4" max="4" width="29"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8" hidden="0" customWidth="1"/>
    <x:col min="18" max="18" width="22" hidden="0" customWidth="1"/>
    <x:col min="19" max="19" width="17" hidden="0" customWidth="1"/>
    <x:col min="20" max="20" width="14" hidden="0" customWidth="1"/>
    <x:col min="21" max="21" width="14" hidden="0" customWidth="1"/>
    <x:col min="22" max="22" width="16" hidden="0" customWidth="1"/>
    <x:col min="23" max="23" width="15" hidden="0" customWidth="1"/>
    <x:col min="24" max="24" width="16" hidden="0" customWidth="1"/>
    <x:col min="25" max="25" width="28" hidden="0" customWidth="1"/>
    <x:col min="26" max="26" width="70" hidden="0" customWidth="1"/>
    <x:col min="27" max="27" width="95" hidden="0" customWidth="1"/>
  </x:cols>
  <x:sheetData>
    <x:row r="1" ht="34" customHeight="1">
      <x:c r="A1" s="2" t="str">
        <x:v>08_法阵友军</x:v>
      </x:c>
      <x:c r="B1" s="2"/>
      <x:c r="C1" s="2"/>
      <x:c r="D1" s="2"/>
      <x:c r="E1" s="2"/>
      <x:c r="F1" s="2"/>
      <x:c r="G1" s="2"/>
      <x:c r="H1" s="2"/>
      <x:c r="I1" s="2"/>
      <x:c r="J1" s="2"/>
      <x:c r="K1" s="2"/>
      <x:c r="L1" s="2"/>
      <x:c r="M1" s="2"/>
      <x:c r="N1" s="2"/>
      <x:c r="O1" s="2"/>
      <x:c r="P1" s="2"/>
      <x:c r="Q1" s="2"/>
      <x:c r="R1" s="2"/>
      <x:c r="S1" s="2"/>
      <x:c r="T1" s="2"/>
      <x:c r="U1" s="2"/>
      <x:c r="V1" s="2"/>
      <x:c r="W1" s="2"/>
      <x:c r="X1" s="2"/>
      <x:c r="Y1" s="2"/>
      <x:c r="Z1" s="2"/>
      <x:c r="AA1" s="2"/>
    </x:row>
    <x:row r="2" ht="32" customHeight="1">
      <x:c r="A2" s="4" t="str">
        <x:v>编辑 E–G 列 HP / 攻击 / 防御；技能和召唤规则由 JSON / GDScript 管理。运行前执行同步工具。</x:v>
      </x:c>
      <x:c r="B2" s="4"/>
      <x:c r="C2" s="4"/>
      <x:c r="D2" s="4"/>
      <x:c r="E2" s="4"/>
      <x:c r="F2" s="4"/>
      <x:c r="G2" s="4"/>
      <x:c r="H2" s="4"/>
      <x:c r="I2" s="4"/>
      <x:c r="J2" s="4"/>
      <x:c r="K2" s="4"/>
      <x:c r="L2" s="4"/>
      <x:c r="M2" s="4"/>
      <x:c r="N2" s="4"/>
      <x:c r="O2" s="4"/>
      <x:c r="P2" s="4"/>
      <x:c r="Q2" s="4"/>
      <x:c r="R2" s="4"/>
      <x:c r="S2" s="4"/>
      <x:c r="T2" s="4"/>
      <x:c r="U2" s="4"/>
      <x:c r="V2" s="4"/>
      <x:c r="W2" s="4"/>
      <x:c r="X2" s="4"/>
      <x:c r="Y2" s="4"/>
      <x:c r="Z2" s="4"/>
      <x:c r="AA2" s="4"/>
    </x:row>
    <x:row r="3" ht="28" customHeight="1">
      <x:c r="A3" s="7" t="str">
        <x:v>ID</x:v>
      </x:c>
      <x:c r="B3" s="7" t="str">
        <x:v>名称</x:v>
      </x:c>
      <x:c r="C3" s="7" t="str">
        <x:v>触发法阵HP</x:v>
      </x:c>
      <x:c r="D3" s="7" t="str">
        <x:v>服务实测归属</x:v>
      </x:c>
      <x:c r="E3" s="7" t="str">
        <x:v>HP</x:v>
      </x:c>
      <x:c r="F3" s="7" t="str">
        <x:v>攻击</x:v>
      </x:c>
      <x:c r="G3" s="7" t="str">
        <x:v>防御</x:v>
      </x:c>
      <x:c r="H3" s="7" t="str">
        <x:v>攻速</x:v>
      </x:c>
      <x:c r="I3" s="7" t="str">
        <x:v>射程px</x:v>
      </x:c>
      <x:c r="J3" s="7" t="str">
        <x:v>移速px/s</x:v>
      </x:c>
      <x:c r="K3" s="7" t="str">
        <x:v>理论DPS</x:v>
      </x:c>
      <x:c r="L3" s="7" t="str">
        <x:v>10秒原始输出</x:v>
      </x:c>
      <x:c r="M3" s="7" t="str">
        <x:v>有效血量</x:v>
      </x:c>
      <x:c r="N3" s="7" t="str">
        <x:v>运行时tier</x:v>
      </x:c>
      <x:c r="O3" s="7" t="str">
        <x:v>运行时cost</x:v>
      </x:c>
      <x:c r="P3" s="7" t="str">
        <x:v>免疫宝藏加成</x:v>
      </x:c>
      <x:c r="Q3" s="7" t="str">
        <x:v>技能名</x:v>
      </x:c>
      <x:c r="R3" s="7" t="str">
        <x:v>技能ID</x:v>
      </x:c>
      <x:c r="S3" s="7" t="str">
        <x:v>全场技</x:v>
      </x:c>
      <x:c r="T3" s="7" t="str">
        <x:v>开场冷却</x:v>
      </x:c>
      <x:c r="U3" s="7" t="str">
        <x:v>冷却</x:v>
      </x:c>
      <x:c r="V3" s="7" t="str">
        <x:v>实跑</x:v>
      </x:c>
      <x:c r="W3" s="7" t="str">
        <x:v>60秒释放</x:v>
      </x:c>
      <x:c r="X3" s="7" t="str">
        <x:v>首次释放(秒)</x:v>
      </x:c>
      <x:c r="Y3" s="7" t="str">
        <x:v>实跑到的效果</x:v>
      </x:c>
      <x:c r="Z3" s="7" t="str">
        <x:v>技能数值(实测)</x:v>
      </x:c>
      <x:c r="AA3" s="7" t="str">
        <x:v>效果说明</x:v>
      </x:c>
    </x:row>
    <x:row r="4" ht="38" customHeight="1">
      <x:c r="A4" s="11" t="str">
        <x:v>ally_flame_claw</x:v>
      </x:c>
      <x:c r="B4" s="11" t="str">
        <x:v>焰爪魔灵</x:v>
      </x:c>
      <x:c r="C4" s="11" t="str">
        <x:v>1 ~ 10</x:v>
      </x:c>
      <x:c r="D4" s="11" t="str">
        <x:v>ally_flame_claw ✔一致</x:v>
      </x:c>
      <x:c r="E4" s="11" t="n">
        <x:v>1400</x:v>
      </x:c>
      <x:c r="F4" s="11" t="n">
        <x:v>77</x:v>
      </x:c>
      <x:c r="G4" s="11" t="n">
        <x:v>10</x:v>
      </x:c>
      <x:c r="H4" s="11" t="n">
        <x:v>1.05</x:v>
      </x:c>
      <x:c r="I4" s="11" t="n">
        <x:v>32</x:v>
      </x:c>
      <x:c r="J4" s="11" t="n">
        <x:v>176</x:v>
      </x:c>
      <x:c r="K4" s="11" t="n">
        <x:v>80.9</x:v>
      </x:c>
      <x:c r="L4" s="11" t="n">
        <x:v>1140</x:v>
      </x:c>
      <x:c r="M4" s="11" t="n">
        <x:v>1540</x:v>
      </x:c>
      <x:c r="N4" s="11" t="n">
        <x:v>4</x:v>
      </x:c>
      <x:c r="O4" s="11" t="n">
        <x:v>0</x:v>
      </x:c>
      <x:c r="P4" s="11" t="str">
        <x:v>是</x:v>
      </x:c>
      <x:c r="Q4" s="11" t="str">
        <x:v>焰爪</x:v>
      </x:c>
      <x:c r="R4" s="11" t="str">
        <x:v>burn_claw</x:v>
      </x:c>
      <x:c r="S4" s="11" t="str">
        <x:v>否（要进射程）</x:v>
      </x:c>
      <x:c r="T4" s="11" t="n">
        <x:v>0</x:v>
      </x:c>
      <x:c r="U4" s="11" t="str">
        <x:v>5</x:v>
      </x:c>
      <x:c r="V4" s="11" t="str">
        <x:v>✔</x:v>
      </x:c>
      <x:c r="W4" s="11" t="n">
        <x:v>12</x:v>
      </x:c>
      <x:c r="X4" s="11" t="str">
        <x:v>0.1</x:v>
      </x:c>
      <x:c r="Y4" s="11" t="str">
        <x:v>poison、burn</x:v>
      </x:c>
      <x:c r="Z4" s="11" t="str">
        <x:v>burn_dps = 36
burn_duration = 3
footprint_cells = 3
self_heal = 200
self_shield = 100
shield_cap = 300
skill_cd = 5</x:v>
      </x:c>
      <x:c r="AA4" s="11" t="str">
        <x:v>焰爪（冷却5.0秒）：回复自身 200 点生命并叠加 100 点护盾（上限 300）；普通攻击附带中毒与灼烧，每秒 36 点伤害，持续 3.0 秒。</x:v>
      </x:c>
    </x:row>
    <x:row r="5" ht="38" customHeight="1">
      <x:c r="A5" s="15" t="str">
        <x:v>ally_soul_chain</x:v>
      </x:c>
      <x:c r="B5" s="15" t="str">
        <x:v>暗狱锁魂者</x:v>
      </x:c>
      <x:c r="C5" s="15" t="str">
        <x:v>11 ~ 20</x:v>
      </x:c>
      <x:c r="D5" s="15" t="str">
        <x:v>ally_soul_chain ✔一致</x:v>
      </x:c>
      <x:c r="E5" s="15" t="n">
        <x:v>2400</x:v>
      </x:c>
      <x:c r="F5" s="15" t="n">
        <x:v>86</x:v>
      </x:c>
      <x:c r="G5" s="15" t="n">
        <x:v>14</x:v>
      </x:c>
      <x:c r="H5" s="15" t="n">
        <x:v>0.95</x:v>
      </x:c>
      <x:c r="I5" s="15" t="n">
        <x:v>248</x:v>
      </x:c>
      <x:c r="J5" s="15" t="n">
        <x:v>165</x:v>
      </x:c>
      <x:c r="K5" s="15" t="n">
        <x:v>81.7</x:v>
      </x:c>
      <x:c r="L5" s="15" t="n">
        <x:v>860</x:v>
      </x:c>
      <x:c r="M5" s="15" t="n">
        <x:v>2736</x:v>
      </x:c>
      <x:c r="N5" s="15" t="n">
        <x:v>4</x:v>
      </x:c>
      <x:c r="O5" s="15" t="n">
        <x:v>0</x:v>
      </x:c>
      <x:c r="P5" s="15" t="str">
        <x:v>是</x:v>
      </x:c>
      <x:c r="Q5" s="15" t="str">
        <x:v>锁魂</x:v>
      </x:c>
      <x:c r="R5" s="15" t="str">
        <x:v>soul_chain</x:v>
      </x:c>
      <x:c r="S5" s="15" t="str">
        <x:v>是（不吃射程）</x:v>
      </x:c>
      <x:c r="T5" s="15" t="str">
        <x:v>2.5</x:v>
      </x:c>
      <x:c r="U5" s="15" t="str">
        <x:v>9</x:v>
      </x:c>
      <x:c r="V5" s="15" t="str">
        <x:v>✔</x:v>
      </x:c>
      <x:c r="W5" s="15" t="n">
        <x:v>7</x:v>
      </x:c>
      <x:c r="X5" s="15" t="str">
        <x:v>2.6</x:v>
      </x:c>
      <x:c r="Y5" s="15" t="str">
        <x:v>stun、slow</x:v>
      </x:c>
      <x:c r="Z5" s="15" t="str">
        <x:v>aspd_down_duration = 3
aspd_down_pct = 0.5
footprint_cells = 3
opening_cd = 2.5
skill_cd = 9
skill_global = true
stun_sec = 1.5</x:v>
      </x:c>
      <x:c r="AA5" s="15" t="str">
        <x:v>锁魂（冷却9.0秒）：眩晕全场敌人 1.5 秒，并使其攻速降低 50%，持续 3.0 秒。</x:v>
      </x:c>
    </x:row>
    <x:row r="6" ht="38" customHeight="1">
      <x:c r="A6" s="11" t="str">
        <x:v>ally_abyss_beast</x:v>
      </x:c>
      <x:c r="B6" s="11" t="str">
        <x:v>深渊噬兽</x:v>
      </x:c>
      <x:c r="C6" s="11" t="str">
        <x:v>21 ~ 30</x:v>
      </x:c>
      <x:c r="D6" s="11" t="str">
        <x:v>ally_abyss_beast ✔一致</x:v>
      </x:c>
      <x:c r="E6" s="11" t="n">
        <x:v>3200</x:v>
      </x:c>
      <x:c r="F6" s="11" t="n">
        <x:v>105</x:v>
      </x:c>
      <x:c r="G6" s="11" t="n">
        <x:v>18</x:v>
      </x:c>
      <x:c r="H6" s="11" t="n">
        <x:v>0.9</x:v>
      </x:c>
      <x:c r="I6" s="11" t="n">
        <x:v>32</x:v>
      </x:c>
      <x:c r="J6" s="11" t="n">
        <x:v>165</x:v>
      </x:c>
      <x:c r="K6" s="11" t="n">
        <x:v>94.5</x:v>
      </x:c>
      <x:c r="L6" s="11" t="n">
        <x:v>945</x:v>
      </x:c>
      <x:c r="M6" s="11" t="n">
        <x:v>3776</x:v>
      </x:c>
      <x:c r="N6" s="11" t="n">
        <x:v>4</x:v>
      </x:c>
      <x:c r="O6" s="11" t="n">
        <x:v>0</x:v>
      </x:c>
      <x:c r="P6" s="11" t="str">
        <x:v>是</x:v>
      </x:c>
      <x:c r="Q6" s="11" t="str">
        <x:v>噬咬</x:v>
      </x:c>
      <x:c r="R6" s="11" t="str">
        <x:v>devour_bite</x:v>
      </x:c>
      <x:c r="S6" s="11" t="str">
        <x:v>是（不吃射程）</x:v>
      </x:c>
      <x:c r="T6" s="11" t="str">
        <x:v>3</x:v>
      </x:c>
      <x:c r="U6" s="11" t="str">
        <x:v>12</x:v>
      </x:c>
      <x:c r="V6" s="11" t="str">
        <x:v>✔</x:v>
      </x:c>
      <x:c r="W6" s="11" t="n">
        <x:v>5</x:v>
      </x:c>
      <x:c r="X6" s="11" t="str">
        <x:v>3.1</x:v>
      </x:c>
      <x:c r="Y6" s="11" t="str">
        <x:v>silence</x:v>
      </x:c>
      <x:c r="Z6" s="11" t="str">
        <x:v>footprint_cells = 3
lifesteal = 0.18
opening_cd = 3
silence_sec = 3.5
skill_cd = 12
skill_global = true</x:v>
      </x:c>
      <x:c r="AA6" s="11" t="str">
        <x:v>噬咬（冷却12.0秒）：沉默全场敌人 3.5 秒，期间无法释放技能；普通攻击回复自身攻击 18% 的生命。</x:v>
      </x:c>
    </x:row>
    <x:row r="7" ht="62" customHeight="1">
      <x:c r="A7" s="15" t="str">
        <x:v>ally_hell_inferno</x:v>
      </x:c>
      <x:c r="B7" s="15" t="str">
        <x:v>炼狱焚界者</x:v>
      </x:c>
      <x:c r="C7" s="15" t="str">
        <x:v>31 ~ 40</x:v>
      </x:c>
      <x:c r="D7" s="15" t="str">
        <x:v>ally_hell_inferno ✔一致</x:v>
      </x:c>
      <x:c r="E7" s="15" t="n">
        <x:v>4000</x:v>
      </x:c>
      <x:c r="F7" s="15" t="n">
        <x:v>127</x:v>
      </x:c>
      <x:c r="G7" s="15" t="n">
        <x:v>24</x:v>
      </x:c>
      <x:c r="H7" s="15" t="n">
        <x:v>0.9</x:v>
      </x:c>
      <x:c r="I7" s="15" t="n">
        <x:v>320</x:v>
      </x:c>
      <x:c r="J7" s="15" t="n">
        <x:v>154</x:v>
      </x:c>
      <x:c r="K7" s="15" t="n">
        <x:v>114.3</x:v>
      </x:c>
      <x:c r="L7" s="15" t="n">
        <x:v>1643</x:v>
      </x:c>
      <x:c r="M7" s="15" t="n">
        <x:v>4960</x:v>
      </x:c>
      <x:c r="N7" s="15" t="n">
        <x:v>4</x:v>
      </x:c>
      <x:c r="O7" s="15" t="n">
        <x:v>0</x:v>
      </x:c>
      <x:c r="P7" s="15" t="str">
        <x:v>是</x:v>
      </x:c>
      <x:c r="Q7" s="15" t="str">
        <x:v>炼狱焚界</x:v>
      </x:c>
      <x:c r="R7" s="15" t="str">
        <x:v>hell_burst</x:v>
      </x:c>
      <x:c r="S7" s="15" t="str">
        <x:v>是（不吃射程）</x:v>
      </x:c>
      <x:c r="T7" s="15" t="str">
        <x:v>3</x:v>
      </x:c>
      <x:c r="U7" s="15" t="str">
        <x:v>9</x:v>
      </x:c>
      <x:c r="V7" s="15" t="str">
        <x:v>✔</x:v>
      </x:c>
      <x:c r="W7" s="15" t="n">
        <x:v>7</x:v>
      </x:c>
      <x:c r="X7" s="15" t="str">
        <x:v>3.1</x:v>
      </x:c>
      <x:c r="Y7" s="15" t="str">
        <x:v>burn、attack_down</x:v>
      </x:c>
      <x:c r="Z7" s="15" t="str">
        <x:v>attack_down_duration = 5
attack_down_pct = 0.25
burn_dps = 100
burn_duration = 5
footprint_cells = 4
opening_cd = 3
skill_cd = 9
skill_global = true</x:v>
      </x:c>
      <x:c r="AA7" s="15" t="str">
        <x:v>炼狱焚界（冷却9.0秒）：使全场敌人灼烧，每秒 100 点伤害持续 5.0 秒，并降低攻击 25%，持续 5.0 秒。</x:v>
      </x:c>
    </x:row>
    <x:row r="8" ht="38" customHeight="1">
      <x:c r="A8" s="11" t="str">
        <x:v>ally_eternal_night</x:v>
      </x:c>
      <x:c r="B8" s="11" t="str">
        <x:v>深渊魔君·厄夜</x:v>
      </x:c>
      <x:c r="C8" s="11" t="str">
        <x:v>41 ~ 50</x:v>
      </x:c>
      <x:c r="D8" s="11" t="str">
        <x:v>ally_eternal_night ✔一致</x:v>
      </x:c>
      <x:c r="E8" s="11" t="n">
        <x:v>5200</x:v>
      </x:c>
      <x:c r="F8" s="11" t="n">
        <x:v>160</x:v>
      </x:c>
      <x:c r="G8" s="11" t="n">
        <x:v>30</x:v>
      </x:c>
      <x:c r="H8" s="11" t="n">
        <x:v>0.85</x:v>
      </x:c>
      <x:c r="I8" s="11" t="n">
        <x:v>32</x:v>
      </x:c>
      <x:c r="J8" s="11" t="n">
        <x:v>165</x:v>
      </x:c>
      <x:c r="K8" s="11" t="n">
        <x:v>136</x:v>
      </x:c>
      <x:c r="L8" s="11" t="n">
        <x:v>2320</x:v>
      </x:c>
      <x:c r="M8" s="11" t="n">
        <x:v>6760</x:v>
      </x:c>
      <x:c r="N8" s="11" t="n">
        <x:v>4</x:v>
      </x:c>
      <x:c r="O8" s="11" t="n">
        <x:v>0</x:v>
      </x:c>
      <x:c r="P8" s="11" t="str">
        <x:v>是</x:v>
      </x:c>
      <x:c r="Q8" s="11" t="str">
        <x:v>厄夜流星</x:v>
      </x:c>
      <x:c r="R8" s="11" t="str">
        <x:v>eternal_night</x:v>
      </x:c>
      <x:c r="S8" s="11" t="str">
        <x:v>是（不吃射程）</x:v>
      </x:c>
      <x:c r="T8" s="11" t="str">
        <x:v>3.5</x:v>
      </x:c>
      <x:c r="U8" s="11" t="str">
        <x:v>12</x:v>
      </x:c>
      <x:c r="V8" s="11" t="str">
        <x:v>✔</x:v>
      </x:c>
      <x:c r="W8" s="11" t="n">
        <x:v>5</x:v>
      </x:c>
      <x:c r="X8" s="11" t="str">
        <x:v>3.6</x:v>
      </x:c>
      <x:c r="Y8" s="11" t="str">
        <x:v>hp: 50000000 -&gt; 49995440</x:v>
      </x:c>
      <x:c r="Z8" s="11" t="str">
        <x:v>footprint_cells = 3
meteor_damage = 800
opening_cd = 3.5
skill_cd = 12
skill_global = true</x:v>
      </x:c>
      <x:c r="AA8" s="11" t="str">
        <x:v>厄夜流星（冷却12.0秒）：召唤流星雨覆盖全场，对每个敌人造成 800 点真实伤害（无视防御）。</x:v>
      </x:c>
    </x:row>
  </x:sheetData>
  <x:mergeCells>
    <x:mergeCell ref="A1:AA1"/>
    <x:mergeCell ref="A2:AA2"/>
  </x:mergeCells>
  <x:pageMargins left="0.7" right="0.7" top="0.75" bottom="0.75" header="0.3" footer="0.3"/>
</x:worksheet>
</file>

<file path=xl/worksheets/sheet10.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4" hidden="0" customWidth="1"/>
    <x:col min="2" max="2" width="19" hidden="0" customWidth="1"/>
    <x:col min="3" max="3" width="16" hidden="0" customWidth="1"/>
    <x:col min="4" max="4" width="18" hidden="0" customWidth="1"/>
    <x:col min="5" max="5" width="105" hidden="0" customWidth="1"/>
    <x:col min="6" max="6" width="48" hidden="0" customWidth="1"/>
    <x:col min="7" max="7" width="65" hidden="0" customWidth="1"/>
    <x:col min="8" max="8" width="19" hidden="0" customWidth="1"/>
  </x:cols>
  <x:sheetData>
    <x:row r="1" ht="34" customHeight="1">
      <x:c r="A1" s="2" t="str">
        <x:v>09_宝藏与套装</x:v>
      </x:c>
      <x:c r="B1" s="2"/>
      <x:c r="C1" s="2"/>
      <x:c r="D1" s="2"/>
      <x:c r="E1" s="2"/>
      <x:c r="F1" s="2"/>
      <x:c r="G1" s="2"/>
      <x:c r="H1" s="2"/>
    </x:row>
    <x:row r="2" ht="32" customHeight="1">
      <x:c r="A2" s="4" t="str">
        <x:v>25 件宝藏及原表套装段。赌博胜利倍率已按实际结算订正为 2.5 倍。</x:v>
      </x:c>
      <x:c r="B2" s="4"/>
      <x:c r="C2" s="4"/>
      <x:c r="D2" s="4"/>
      <x:c r="E2" s="4"/>
      <x:c r="F2" s="4"/>
      <x:c r="G2" s="4"/>
      <x:c r="H2" s="4"/>
    </x:row>
    <x:row r="3" ht="28" customHeight="1">
      <x:c r="A3" s="7" t="str">
        <x:v>ID</x:v>
      </x:c>
      <x:c r="B3" s="7" t="str">
        <x:v>名称</x:v>
      </x:c>
      <x:c r="C3" s="7" t="str">
        <x:v>类别</x:v>
      </x:c>
      <x:c r="D3" s="7" t="str">
        <x:v>生效时机</x:v>
      </x:c>
      <x:c r="E3" s="7" t="str">
        <x:v>中文效果与数值</x:v>
      </x:c>
      <x:c r="F3" s="7" t="str">
        <x:v>胡牌手联动后</x:v>
      </x:c>
      <x:c r="G3" s="7" t="str">
        <x:v>固定探针</x:v>
      </x:c>
      <x:c r="H3" s="7" t="str">
        <x:v>状态</x:v>
      </x:c>
    </x:row>
    <x:row r="4" ht="38" customHeight="1">
      <x:c r="A4" s="11" t="str">
        <x:v>def_iron_wall</x:v>
      </x:c>
      <x:c r="B4" s="11" t="str">
        <x:v>铁壁之护</x:v>
      </x:c>
      <x:c r="C4" s="11" t="str">
        <x:v>防御</x:v>
      </x:c>
      <x:c r="D4" s="11" t="str">
        <x:v>开场一次</x:v>
      </x:c>
      <x:c r="E4" s="11" t="str">
        <x:v>开战时防御 +10（绝对值，不随星级缩放 → 对本来就高防的棋子收益递减）</x:v>
      </x:c>
      <x:c r="F4" s="11" t="str">
        <x:v>—（不在胡牌手 5 件内）</x:v>
      </x:c>
      <x:c r="G4" s="11" t="str">
        <x:v>defense: 12 -&gt; 22</x:v>
      </x:c>
      <x:c r="H4" s="11" t="str">
        <x:v>已审定</x:v>
      </x:c>
    </x:row>
    <x:row r="5" ht="38" customHeight="1">
      <x:c r="A5" s="15" t="str">
        <x:v>def_life_monument</x:v>
      </x:c>
      <x:c r="B5" s="15" t="str">
        <x:v>生命丰碑</x:v>
      </x:c>
      <x:c r="C5" s="15" t="str">
        <x:v>防御</x:v>
      </x:c>
      <x:c r="D5" s="15" t="str">
        <x:v>开场一次</x:v>
      </x:c>
      <x:c r="E5" s="15" t="str">
        <x:v>最大生命 ×1.20 并回满</x:v>
      </x:c>
      <x:c r="F5" s="15" t="str">
        <x:v>×1.40</x:v>
      </x:c>
      <x:c r="G5" s="15" t="str">
        <x:v>hp: 1920 -&gt; 2304；max_hp: 1920 -&gt; 2304</x:v>
      </x:c>
      <x:c r="H5" s="15" t="str">
        <x:v>已审定</x:v>
      </x:c>
    </x:row>
    <x:row r="6" ht="38" customHeight="1">
      <x:c r="A6" s="11" t="str">
        <x:v>def_formation_heal</x:v>
      </x:c>
      <x:c r="B6" s="11" t="str">
        <x:v>法阵回春</x:v>
      </x:c>
      <x:c r="C6" s="11" t="str">
        <x:v>防御</x:v>
      </x:c>
      <x:c r="D6" s="11" t="str">
        <x:v>战后结算</x:v>
      </x:c>
      <x:c r="E6" s="11" t="str">
        <x:v>胜利或平局：法阵 HP +1；失败：法阵 HP +2；不超过初始上限 50</x:v>
      </x:c>
      <x:c r="F6" s="11" t="str">
        <x:v>—（胡牌手现需黄金祭坛）</x:v>
      </x:c>
      <x:c r="G6" s="11" t="str">
        <x:v>（非开场类，见生效时机列）</x:v>
      </x:c>
      <x:c r="H6" s="11" t="str">
        <x:v>已审定</x:v>
      </x:c>
    </x:row>
    <x:row r="7" ht="38" customHeight="1">
      <x:c r="A7" s="15" t="str">
        <x:v>def_soul_counter</x:v>
      </x:c>
      <x:c r="B7" s="15" t="str">
        <x:v>亡魂反击</x:v>
      </x:c>
      <x:c r="C7" s="15" t="str">
        <x:v>防御</x:v>
      </x:c>
      <x:c r="D7" s="15" t="str">
        <x:v>自身被击杀时</x:v>
      </x:c>
      <x:c r="E7" s="15" t="str">
        <x:v>击杀你这枚棋子的单位立刻受到 其自身最大生命×35% 真实伤害</x:v>
      </x:c>
      <x:c r="F7" s="15" t="str">
        <x:v>—</x:v>
      </x:c>
      <x:c r="G7" s="15" t="str">
        <x:v>（非开场类，见生效时机列）</x:v>
      </x:c>
      <x:c r="H7" s="15" t="str">
        <x:v>已审定</x:v>
      </x:c>
    </x:row>
    <x:row r="8" ht="38" customHeight="1">
      <x:c r="A8" s="11" t="str">
        <x:v>def_lifesteal_emblem</x:v>
      </x:c>
      <x:c r="B8" s="11" t="str">
        <x:v>吸血纹章</x:v>
      </x:c>
      <x:c r="C8" s="11" t="str">
        <x:v>防御</x:v>
      </x:c>
      <x:c r="D8" s="11" t="str">
        <x:v>每次造成伤害后</x:v>
      </x:c>
      <x:c r="E8" s="11" t="str">
        <x:v>回复 本次实际伤害×20% 生命</x:v>
      </x:c>
      <x:c r="F8" s="11" t="str">
        <x:v>—</x:v>
      </x:c>
      <x:c r="G8" s="11" t="str">
        <x:v>（非开场类，见生效时机列）</x:v>
      </x:c>
      <x:c r="H8" s="11" t="str">
        <x:v>已审定</x:v>
      </x:c>
    </x:row>
    <x:row r="9" ht="38" customHeight="1">
      <x:c r="A9" s="15" t="str">
        <x:v>def_phantom_step</x:v>
      </x:c>
      <x:c r="B9" s="15" t="str">
        <x:v>幻影步伐</x:v>
      </x:c>
      <x:c r="C9" s="15" t="str">
        <x:v>防御</x:v>
      </x:c>
      <x:c r="D9" s="15" t="str">
        <x:v>开场一次</x:v>
      </x:c>
      <x:c r="E9" s="15" t="str">
        <x:v>闪避 +20%（闪避是完全免伤，不是减伤）</x:v>
      </x:c>
      <x:c r="F9" s="15" t="str">
        <x:v>—</x:v>
      </x:c>
      <x:c r="G9" s="15" t="str">
        <x:v>dodge: 0.0 -&gt; 0.2</x:v>
      </x:c>
      <x:c r="H9" s="15" t="str">
        <x:v>已审定</x:v>
      </x:c>
    </x:row>
    <x:row r="10" ht="38" customHeight="1">
      <x:c r="A10" s="11" t="str">
        <x:v>ctrl_shockwave</x:v>
      </x:c>
      <x:c r="B10" s="11" t="str">
        <x:v>震荡余波</x:v>
      </x:c>
      <x:c r="C10" s="11" t="str">
        <x:v>控制</x:v>
      </x:c>
      <x:c r="D10" s="11" t="str">
        <x:v>普攻附带·冷却5秒</x:v>
      </x:c>
      <x:c r="E10" s="11" t="str">
        <x:v>眩晕目标 1.0 秒</x:v>
      </x:c>
      <x:c r="F10" s="11" t="str">
        <x:v>眩晕 2.0 秒</x:v>
      </x:c>
      <x:c r="G10" s="11" t="str">
        <x:v>（非开场类，见生效时机列）</x:v>
      </x:c>
      <x:c r="H10" s="11" t="str">
        <x:v>已审定</x:v>
      </x:c>
    </x:row>
    <x:row r="11" ht="38" customHeight="1">
      <x:c r="A11" s="15" t="str">
        <x:v>ctrl_corrosive_needle</x:v>
      </x:c>
      <x:c r="B11" s="15" t="str">
        <x:v>腐蚀毒针</x:v>
      </x:c>
      <x:c r="C11" s="15" t="str">
        <x:v>控制</x:v>
      </x:c>
      <x:c r="D11" s="15" t="str">
        <x:v>每第4次普攻·冷却5秒</x:v>
      </x:c>
      <x:c r="E11" s="15" t="str">
        <x:v>目标流血：每秒 当前生命×6%，持续 3 秒</x:v>
      </x:c>
      <x:c r="F11" s="15" t="str">
        <x:v>—</x:v>
      </x:c>
      <x:c r="G11" s="15" t="str">
        <x:v>（非开场类，见生效时机列）</x:v>
      </x:c>
      <x:c r="H11" s="15" t="str">
        <x:v>已审定</x:v>
      </x:c>
    </x:row>
    <x:row r="12" ht="38" customHeight="1">
      <x:c r="A12" s="11" t="str">
        <x:v>ctrl_interrupt_chain</x:v>
      </x:c>
      <x:c r="B12" s="11" t="str">
        <x:v>打断锁链</x:v>
      </x:c>
      <x:c r="C12" s="11" t="str">
        <x:v>控制</x:v>
      </x:c>
      <x:c r="D12" s="11" t="str">
        <x:v>普攻附带·冷却3秒</x:v>
      </x:c>
      <x:c r="E12" s="11" t="str">
        <x:v>25% 概率缴械目标 1.5 秒</x:v>
      </x:c>
      <x:c r="F12" s="11" t="str">
        <x:v>—</x:v>
      </x:c>
      <x:c r="G12" s="11" t="str">
        <x:v>（非开场类，见生效时机列）</x:v>
      </x:c>
      <x:c r="H12" s="11" t="str">
        <x:v>已审定</x:v>
      </x:c>
    </x:row>
    <x:row r="13" ht="38" customHeight="1">
      <x:c r="A13" s="15" t="str">
        <x:v>ctrl_time_compress</x:v>
      </x:c>
      <x:c r="B13" s="15" t="str">
        <x:v>时空压缩</x:v>
      </x:c>
      <x:c r="C13" s="15" t="str">
        <x:v>控制</x:v>
      </x:c>
      <x:c r="D13" s="15" t="str">
        <x:v>开场一次（持续生效）</x:v>
      </x:c>
      <x:c r="E13" s="15" t="str">
        <x:v>本方棋子全部技能冷却 ×0.75，开场冷却也 ×0.75</x:v>
      </x:c>
      <x:c r="F13" s="15" t="str">
        <x:v>—</x:v>
      </x:c>
      <x:c r="G13" s="15" t="str">
        <x:v>skill_cd_multiplier = 0.75（单件开场实测）</x:v>
      </x:c>
      <x:c r="H13" s="15" t="str">
        <x:v>已审定</x:v>
      </x:c>
    </x:row>
    <x:row r="14" ht="38" customHeight="1">
      <x:c r="A14" s="11" t="str">
        <x:v>ctrl_binding_weight</x:v>
      </x:c>
      <x:c r="B14" s="11" t="str">
        <x:v>束缚重压</x:v>
      </x:c>
      <x:c r="C14" s="11" t="str">
        <x:v>控制</x:v>
      </x:c>
      <x:c r="D14" s="11" t="str">
        <x:v>普攻附带·冷却5秒</x:v>
      </x:c>
      <x:c r="E14" s="11" t="str">
        <x:v>目标移速 -25% / 攻速 -20% / 造成伤害 -20%，持续 2 秒</x:v>
      </x:c>
      <x:c r="F14" s="11" t="str">
        <x:v>—</x:v>
      </x:c>
      <x:c r="G14" s="11" t="str">
        <x:v>（非开场类，见生效时机列）</x:v>
      </x:c>
      <x:c r="H14" s="11" t="str">
        <x:v>已审定</x:v>
      </x:c>
    </x:row>
    <x:row r="15" ht="38" customHeight="1">
      <x:c r="A15" s="15" t="str">
        <x:v>atk_blood_pact</x:v>
      </x:c>
      <x:c r="B15" s="15" t="str">
        <x:v>血契之刃</x:v>
      </x:c>
      <x:c r="C15" s="15" t="str">
        <x:v>攻击</x:v>
      </x:c>
      <x:c r="D15" s="15" t="str">
        <x:v>开场一次</x:v>
      </x:c>
      <x:c r="E15" s="15" t="str">
        <x:v>攻击 ×1.25；代价：自身永久流血（每秒 当前生命×6%，999 秒）</x:v>
      </x:c>
      <x:c r="F15" s="15" t="str">
        <x:v>攻击 ×1.50（流血代价不变）</x:v>
      </x:c>
      <x:c r="G15" s="15" t="str">
        <x:v>atk: 93 -&gt; 116；statuses_added: bleed</x:v>
      </x:c>
      <x:c r="H15" s="15" t="str">
        <x:v>已审定</x:v>
      </x:c>
    </x:row>
    <x:row r="16" ht="38" customHeight="1">
      <x:c r="A16" s="11" t="str">
        <x:v>atk_fury_roster</x:v>
      </x:c>
      <x:c r="B16" s="11" t="str">
        <x:v>狂怒阵容</x:v>
      </x:c>
      <x:c r="C16" s="11" t="str">
        <x:v>攻击</x:v>
      </x:c>
      <x:c r="D16" s="11" t="str">
        <x:v>备战期（持续）</x:v>
      </x:c>
      <x:c r="E16" s="11" t="str">
        <x:v>上场棋子上限 7 → 8</x:v>
      </x:c>
      <x:c r="F16" s="11" t="str">
        <x:v>7 → 9</x:v>
      </x:c>
      <x:c r="G16" s="11" t="str">
        <x:v>（非开场类，见生效时机列）</x:v>
      </x:c>
      <x:c r="H16" s="11" t="str">
        <x:v>已审定</x:v>
      </x:c>
    </x:row>
    <x:row r="17" ht="38" customHeight="1">
      <x:c r="A17" s="15" t="str">
        <x:v>atk_burst_core</x:v>
      </x:c>
      <x:c r="B17" s="15" t="str">
        <x:v>爆裂核心</x:v>
      </x:c>
      <x:c r="C17" s="15" t="str">
        <x:v>攻击</x:v>
      </x:c>
      <x:c r="D17" s="15" t="str">
        <x:v>开场一次</x:v>
      </x:c>
      <x:c r="E17" s="15" t="str">
        <x:v>暴击率 +25%</x:v>
      </x:c>
      <x:c r="F17" s="15" t="str">
        <x:v>—</x:v>
      </x:c>
      <x:c r="G17" s="15" t="str">
        <x:v>crit_bonus: 0.0 -&gt; 0.25</x:v>
      </x:c>
      <x:c r="H17" s="15" t="str">
        <x:v>已审定</x:v>
      </x:c>
    </x:row>
    <x:row r="18" ht="38" customHeight="1">
      <x:c r="A18" s="11" t="str">
        <x:v>atk_wail_resonance</x:v>
      </x:c>
      <x:c r="B18" s="11" t="str">
        <x:v>哀鸣共鸣</x:v>
      </x:c>
      <x:c r="C18" s="11" t="str">
        <x:v>攻击</x:v>
      </x:c>
      <x:c r="D18" s="11" t="str">
        <x:v>击杀时</x:v>
      </x:c>
      <x:c r="E18" s="11" t="str">
        <x:v>死者周围 180 像素内敌人各受 自身最大生命×15% 真实伤害</x:v>
      </x:c>
      <x:c r="F18" s="11" t="str">
        <x:v>—</x:v>
      </x:c>
      <x:c r="G18" s="11" t="str">
        <x:v>（非开场类，见生效时机列）</x:v>
      </x:c>
      <x:c r="H18" s="11" t="str">
        <x:v>已审定</x:v>
      </x:c>
    </x:row>
    <x:row r="19" ht="38" customHeight="1">
      <x:c r="A19" s="15" t="str">
        <x:v>atk_frenzy_assault</x:v>
      </x:c>
      <x:c r="B19" s="15" t="str">
        <x:v>狂暴进攻</x:v>
      </x:c>
      <x:c r="C19" s="15" t="str">
        <x:v>攻击</x:v>
      </x:c>
      <x:c r="D19" s="15" t="str">
        <x:v>普攻附带（无冷却）</x:v>
      </x:c>
      <x:c r="E19" s="15" t="str">
        <x:v>每次普攻自身攻速 ×1.15（封顶 2.5）；换目标层数清零但攻速不回退</x:v>
      </x:c>
      <x:c r="F19" s="15" t="str">
        <x:v>—</x:v>
      </x:c>
      <x:c r="G19" s="15" t="str">
        <x:v>（非开场类，见生效时机列）</x:v>
      </x:c>
      <x:c r="H19" s="15" t="str">
        <x:v>已审定</x:v>
      </x:c>
    </x:row>
    <x:row r="20" ht="38" customHeight="1">
      <x:c r="A20" s="11" t="str">
        <x:v>money_compound</x:v>
      </x:c>
      <x:c r="B20" s="11" t="str">
        <x:v>复利之道</x:v>
      </x:c>
      <x:c r="C20" s="11" t="str">
        <x:v>金钱</x:v>
      </x:c>
      <x:c r="D20" s="11" t="str">
        <x:v>战后利息</x:v>
      </x:c>
      <x:c r="E20" s="11" t="str">
        <x:v>基础利息 5% 之外再加 5%；本回合未花金币再加 3%（实际结算与利息预览一致；免费刷新不算消费）</x:v>
      </x:c>
      <x:c r="F20" s="11" t="str">
        <x:v>—</x:v>
      </x:c>
      <x:c r="G20" s="11" t="str">
        <x:v>（非开场类，见生效时机列）</x:v>
      </x:c>
      <x:c r="H20" s="11" t="str">
        <x:v>已审定</x:v>
      </x:c>
    </x:row>
    <x:row r="21" ht="38" customHeight="1">
      <x:c r="A21" s="15" t="str">
        <x:v>money_generous_fate</x:v>
      </x:c>
      <x:c r="B21" s="15" t="str">
        <x:v>慷慨命运</x:v>
      </x:c>
      <x:c r="C21" s="15" t="str">
        <x:v>金钱</x:v>
      </x:c>
      <x:c r="D21" s="15" t="str">
        <x:v>备战期每回合1次手动</x:v>
      </x:c>
      <x:c r="E21" s="15" t="str">
        <x:v>赌博：50% 金币变为 2.5 倍 / 50% 只剩 20%</x:v>
      </x:c>
      <x:c r="F21" s="15" t="str">
        <x:v>—</x:v>
      </x:c>
      <x:c r="G21" s="15" t="str">
        <x:v>（非开场类，见生效时机列）</x:v>
      </x:c>
      <x:c r="H21" s="15" t="str">
        <x:v>已审定</x:v>
      </x:c>
    </x:row>
    <x:row r="22" ht="38" customHeight="1">
      <x:c r="A22" s="11" t="str">
        <x:v>money_discount</x:v>
      </x:c>
      <x:c r="B22" s="11" t="str">
        <x:v>折扣令牌</x:v>
      </x:c>
      <x:c r="C22" s="11" t="str">
        <x:v>金钱</x:v>
      </x:c>
      <x:c r="D22" s="11" t="str">
        <x:v>商店（持续）</x:v>
      </x:c>
      <x:c r="E22" s="11" t="str">
        <x:v>棋子价格 ×0.7（向上取整，最低 1 金）；与清仓特卖互斥，最多降价 60%</x:v>
      </x:c>
      <x:c r="F22" s="11" t="str">
        <x:v>—</x:v>
      </x:c>
      <x:c r="G22" s="11" t="str">
        <x:v>（非开场类，见生效时机列）</x:v>
      </x:c>
      <x:c r="H22" s="11" t="str">
        <x:v>已审定</x:v>
      </x:c>
    </x:row>
    <x:row r="23" ht="38" customHeight="1">
      <x:c r="A23" s="15" t="str">
        <x:v>money_golden_altar</x:v>
      </x:c>
      <x:c r="B23" s="15" t="str">
        <x:v>黄金祭坛</x:v>
      </x:c>
      <x:c r="C23" s="15" t="str">
        <x:v>金钱</x:v>
      </x:c>
      <x:c r="D23" s="15" t="str">
        <x:v>备战期每回合最多3次；战后未使用回复</x:v>
      </x:c>
      <x:c r="E23" s="15" t="str">
        <x:v>每次 -2 法阵 HP → +100 金；法阵 HP ≤10 时不可用。持有人本回合未使用：法阵 HP +1；3v3 每位持有人独立判断，最多 +3</x:v>
      </x:c>
      <x:c r="F23" s="15" t="str">
        <x:v>胡牌手激活：使用不扣法阵 HP；选到胡牌手立即 +2 法阵 HP（选到当回合也生效）</x:v>
      </x:c>
      <x:c r="G23" s="15" t="str">
        <x:v>（非开场类，见生效时机列）</x:v>
      </x:c>
      <x:c r="H23" s="15" t="str">
        <x:v>已审定</x:v>
      </x:c>
    </x:row>
    <x:row r="24" ht="38" customHeight="1">
      <x:c r="A24" s="11" t="str">
        <x:v>money_lucky_envelope</x:v>
      </x:c>
      <x:c r="B24" s="11" t="str">
        <x:v>幸运信封</x:v>
      </x:c>
      <x:c r="C24" s="11" t="str">
        <x:v>金钱</x:v>
      </x:c>
      <x:c r="D24" s="11" t="str">
        <x:v>战后结算</x:v>
      </x:c>
      <x:c r="E24" s="11" t="str">
        <x:v>战后随机 +30 / +40 / +50 金</x:v>
      </x:c>
      <x:c r="F24" s="11" t="str">
        <x:v>—</x:v>
      </x:c>
      <x:c r="G24" s="11" t="str">
        <x:v>（非开场类，见生效时机列）</x:v>
      </x:c>
      <x:c r="H24" s="11" t="str">
        <x:v>已审定</x:v>
      </x:c>
    </x:row>
    <x:row r="25" ht="38" customHeight="1">
      <x:c r="A25" s="15" t="str">
        <x:v>elem_flame_shatter</x:v>
      </x:c>
      <x:c r="B25" s="15" t="str">
        <x:v>炎焰碎裂</x:v>
      </x:c>
      <x:c r="C25" s="15" t="str">
        <x:v>属性</x:v>
      </x:c>
      <x:c r="D25" s="15" t="str">
        <x:v>普攻附带·25%概率</x:v>
      </x:c>
      <x:c r="E25" s="15" t="str">
        <x:v>触发火属性：额外 自身攻击×40% 真实伤害</x:v>
      </x:c>
      <x:c r="F25" s="15" t="str">
        <x:v>—</x:v>
      </x:c>
      <x:c r="G25" s="15" t="str">
        <x:v>（非开场类，见生效时机列）</x:v>
      </x:c>
      <x:c r="H25" s="15" t="str">
        <x:v>已审定</x:v>
      </x:c>
    </x:row>
    <x:row r="26" ht="38" customHeight="1">
      <x:c r="A26" s="11" t="str">
        <x:v>elem_frost_blade</x:v>
      </x:c>
      <x:c r="B26" s="11" t="str">
        <x:v>冰封霜刃</x:v>
      </x:c>
      <x:c r="C26" s="11" t="str">
        <x:v>属性</x:v>
      </x:c>
      <x:c r="D26" s="11" t="str">
        <x:v>普攻附带·25%概率</x:v>
      </x:c>
      <x:c r="E26" s="11" t="str">
        <x:v>25% 概率：目标移速 -35% / 攻速 -50%，持续 2 秒</x:v>
      </x:c>
      <x:c r="F26" s="11" t="str">
        <x:v>—</x:v>
      </x:c>
      <x:c r="G26" s="11" t="str">
        <x:v>（非开场类，见生效时机列）</x:v>
      </x:c>
      <x:c r="H26" s="11" t="str">
        <x:v>已审定</x:v>
      </x:c>
    </x:row>
    <x:row r="27" ht="38" customHeight="1">
      <x:c r="A27" s="15" t="str">
        <x:v>elem_thunder_haste</x:v>
      </x:c>
      <x:c r="B27" s="15" t="str">
        <x:v>雷霆加速</x:v>
      </x:c>
      <x:c r="C27" s="15" t="str">
        <x:v>属性</x:v>
      </x:c>
      <x:c r="D27" s="15" t="str">
        <x:v>普攻附带·25%概率</x:v>
      </x:c>
      <x:c r="E27" s="15" t="str">
        <x:v>自身攻速 +60%，持续 3 秒</x:v>
      </x:c>
      <x:c r="F27" s="15" t="str">
        <x:v>—</x:v>
      </x:c>
      <x:c r="G27" s="15" t="str">
        <x:v>（非开场类，见生效时机列）</x:v>
      </x:c>
      <x:c r="H27" s="15" t="str">
        <x:v>已审定</x:v>
      </x:c>
    </x:row>
    <x:row r="28" ht="38" customHeight="1">
      <x:c r="A28" s="11" t="str">
        <x:v>elem_toxic_spread</x:v>
      </x:c>
      <x:c r="B28" s="11" t="str">
        <x:v>剧毒蔓延</x:v>
      </x:c>
      <x:c r="C28" s="11" t="str">
        <x:v>属性</x:v>
      </x:c>
      <x:c r="D28" s="11" t="str">
        <x:v>普攻附带·25%概率</x:v>
      </x:c>
      <x:c r="E28" s="11" t="str">
        <x:v>触发毒属性：中毒（每秒 目标最大生命×3%，4 秒）</x:v>
      </x:c>
      <x:c r="F28" s="11" t="str">
        <x:v>—</x:v>
      </x:c>
      <x:c r="G28" s="11" t="str">
        <x:v>（非开场类，见生效时机列）</x:v>
      </x:c>
      <x:c r="H28" s="11" t="str">
        <x:v>已审定</x:v>
      </x:c>
    </x:row>
    <x:row r="29" ht="38" customHeight="1">
      <x:c r="A29" s="15"/>
      <x:c r="B29" s="15"/>
      <x:c r="C29" s="15"/>
      <x:c r="D29" s="15"/>
      <x:c r="E29" s="15"/>
      <x:c r="F29" s="15"/>
      <x:c r="G29" s="15"/>
      <x:c r="H29" s="15" t="str">
        <x:v>套装/标题</x:v>
      </x:c>
    </x:row>
    <x:row r="30" ht="38" customHeight="1">
      <x:c r="A30" s="11" t="str">
        <x:v>── 套装（引擎逐件累加实测激活门槛）──</x:v>
      </x:c>
      <x:c r="B30" s="11"/>
      <x:c r="C30" s="11"/>
      <x:c r="D30" s="11"/>
      <x:c r="E30" s="11"/>
      <x:c r="F30" s="11"/>
      <x:c r="G30" s="11"/>
      <x:c r="H30" s="11" t="str">
        <x:v>套装/标题</x:v>
      </x:c>
    </x:row>
    <x:row r="31" ht="38" customHeight="1">
      <x:c r="A31" s="15" t="str">
        <x:v>防御 套装</x:v>
      </x:c>
      <x:c r="B31" s="15" t="str">
        <x:v>共 6 件</x:v>
      </x:c>
      <x:c r="C31" s="15" t="str">
        <x:v>defense</x:v>
      </x:c>
      <x:c r="D31" s="15" t="str">
        <x:v>持有 4 件即激活</x:v>
      </x:c>
      <x:c r="E31" s="15" t="str">
        <x:v>开战时全部普通棋子：最大生命 ×1.30 并回满、防御 ×1.30、闪避 +15%</x:v>
      </x:c>
      <x:c r="F31" s="15"/>
      <x:c r="G31" s="15" t="str">
        <x:v>def_iron_wall、def_life_monument、def_formation_heal、def_soul_counter、def_lifesteal_emblem、def_phantom_step</x:v>
      </x:c>
      <x:c r="H31" s="15" t="str">
        <x:v>套装/标题</x:v>
      </x:c>
    </x:row>
    <x:row r="32" ht="38" customHeight="1">
      <x:c r="A32" s="11" t="str">
        <x:v>控制 套装</x:v>
      </x:c>
      <x:c r="B32" s="11" t="str">
        <x:v>共 5 件</x:v>
      </x:c>
      <x:c r="C32" s="11" t="str">
        <x:v>control</x:v>
      </x:c>
      <x:c r="D32" s="11" t="str">
        <x:v>持有 4 件即激活</x:v>
      </x:c>
      <x:c r="E32" s="11" t="str">
        <x:v>每次普攻若成功给目标新增了状态，再随机追加一个负面：减速20%/2s、减攻12%/2s、沉默1s、眩晕0.5s、中毒、缴械、流血6%/3s</x:v>
      </x:c>
      <x:c r="F32" s="11"/>
      <x:c r="G32" s="11" t="str">
        <x:v>ctrl_shockwave、ctrl_corrosive_needle、ctrl_interrupt_chain、ctrl_time_compress、ctrl_binding_weight</x:v>
      </x:c>
      <x:c r="H32" s="11" t="str">
        <x:v>套装/标题</x:v>
      </x:c>
    </x:row>
    <x:row r="33" ht="38" customHeight="1">
      <x:c r="A33" s="15" t="str">
        <x:v>攻击 套装</x:v>
      </x:c>
      <x:c r="B33" s="15" t="str">
        <x:v>共 5 件</x:v>
      </x:c>
      <x:c r="C33" s="15" t="str">
        <x:v>attack</x:v>
      </x:c>
      <x:c r="D33" s="15" t="str">
        <x:v>持有 4 件即激活</x:v>
      </x:c>
      <x:c r="E33" s="15" t="str">
        <x:v>持有人普通棋子：优先攻击生命比例最低的敌人；普攻后若非 Boss 目标生命 ≤10%，直接斩杀。实际斩杀的棋子攻速 +25%，持续 5 秒；再触发刷新时间，不叠加数值。3v3 同样生效。</x:v>
      </x:c>
      <x:c r="F33" s="15"/>
      <x:c r="G33" s="15" t="str">
        <x:v>atk_blood_pact、atk_fury_roster、atk_burst_core、atk_wail_resonance、atk_frenzy_assault</x:v>
      </x:c>
      <x:c r="H33" s="15" t="str">
        <x:v>套装/标题</x:v>
      </x:c>
    </x:row>
    <x:row r="34" ht="38" customHeight="1">
      <x:c r="A34" s="11" t="str">
        <x:v>金钱 套装</x:v>
      </x:c>
      <x:c r="B34" s="11" t="str">
        <x:v>共 5 件</x:v>
      </x:c>
      <x:c r="C34" s="11" t="str">
        <x:v>money</x:v>
      </x:c>
      <x:c r="D34" s="11" t="str">
        <x:v>持有 4 件即激活</x:v>
      </x:c>
      <x:c r="E34" s="11" t="str">
        <x:v>商店刷新 与 宝藏刷新 全部免费</x:v>
      </x:c>
      <x:c r="F34" s="11"/>
      <x:c r="G34" s="11" t="str">
        <x:v>money_compound、money_generous_fate、money_discount、money_golden_altar、money_lucky_envelope</x:v>
      </x:c>
      <x:c r="H34" s="11" t="str">
        <x:v>套装/标题</x:v>
      </x:c>
    </x:row>
    <x:row r="35" ht="38" customHeight="1">
      <x:c r="A35" s="15" t="str">
        <x:v>属性 套装</x:v>
      </x:c>
      <x:c r="B35" s="15" t="str">
        <x:v>共 4 件</x:v>
      </x:c>
      <x:c r="C35" s="15" t="str">
        <x:v>element</x:v>
      </x:c>
      <x:c r="D35" s="15" t="str">
        <x:v>持有 4 件即激活</x:v>
      </x:c>
      <x:c r="E35" s="15" t="str">
        <x:v>每枚普通棋子各自计算：普攻 20% 概率触发，目标周围 180 像素内敌人各受自身最大生命×10% 真实伤害；触发后该棋子内置冷却 2 秒。</x:v>
      </x:c>
      <x:c r="F35" s="15"/>
      <x:c r="G35" s="15" t="str">
        <x:v>elem_flame_shatter、elem_frost_blade、elem_thunder_haste、elem_toxic_spread</x:v>
      </x:c>
      <x:c r="H35" s="15" t="str">
        <x:v>套装/标题</x:v>
      </x:c>
    </x:row>
  </x:sheetData>
  <x:mergeCells>
    <x:mergeCell ref="A1:H1"/>
    <x:mergeCell ref="A2:H2"/>
  </x:mergeCells>
  <x:pageMargins left="0.7" right="0.7" top="0.75" bottom="0.75" header="0.3" footer="0.3"/>
</x:worksheet>
</file>

<file path=xl/worksheets/sheet11.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5" hidden="0" customWidth="1"/>
    <x:col min="2" max="2" width="20" hidden="0" customWidth="1"/>
    <x:col min="3" max="3" width="50" hidden="0" customWidth="1"/>
    <x:col min="4" max="4" width="11" hidden="0" customWidth="1"/>
    <x:col min="5" max="5" width="118" hidden="0" customWidth="1"/>
    <x:col min="6" max="6" width="17" hidden="0" customWidth="1"/>
    <x:col min="7" max="7" width="23" hidden="0" customWidth="1"/>
    <x:col min="8" max="8" width="34" hidden="0" customWidth="1"/>
    <x:col min="9" max="9" width="28" hidden="0" customWidth="1"/>
  </x:cols>
  <x:sheetData>
    <x:row r="1" ht="34" customHeight="1">
      <x:c r="A1" s="2" t="str">
        <x:v>10_宝藏联动</x:v>
      </x:c>
      <x:c r="B1" s="2"/>
      <x:c r="C1" s="2"/>
      <x:c r="D1" s="2"/>
      <x:c r="E1" s="2"/>
      <x:c r="F1" s="2"/>
      <x:c r="G1" s="2"/>
      <x:c r="H1" s="2"/>
      <x:c r="I1" s="2"/>
    </x:row>
    <x:row r="2" ht="32" customHeight="1">
      <x:c r="A2" s="4" t="str">
        <x:v>11 个联动按原表提取；凤凰涅槃按用户确认的 40% 最大生命复活定稿。</x:v>
      </x:c>
      <x:c r="B2" s="4"/>
      <x:c r="C2" s="4"/>
      <x:c r="D2" s="4"/>
      <x:c r="E2" s="4"/>
      <x:c r="F2" s="4"/>
      <x:c r="G2" s="4"/>
      <x:c r="H2" s="4"/>
      <x:c r="I2" s="4"/>
    </x:row>
    <x:row r="3" ht="28" customHeight="1">
      <x:c r="A3" s="7" t="str">
        <x:v>联动 ID</x:v>
      </x:c>
      <x:c r="B3" s="7" t="str">
        <x:v>名称</x:v>
      </x:c>
      <x:c r="C3" s="7" t="str">
        <x:v>需要宝藏</x:v>
      </x:c>
      <x:c r="D3" s="7" t="str">
        <x:v>件数</x:v>
      </x:c>
      <x:c r="E3" s="7" t="str">
        <x:v>中文效果与数值</x:v>
      </x:c>
      <x:c r="F3" s="7" t="str">
        <x:v>全齐实测</x:v>
      </x:c>
      <x:c r="G3" s="7" t="str">
        <x:v>缺一件实测</x:v>
      </x:c>
      <x:c r="H3" s="7" t="str">
        <x:v>代码位置</x:v>
      </x:c>
      <x:c r="I3" s="7" t="str">
        <x:v>状态</x:v>
      </x:c>
    </x:row>
    <x:row r="4" ht="38" customHeight="1">
      <x:c r="A4" s="11" t="str">
        <x:v>link_phoenix</x:v>
      </x:c>
      <x:c r="B4" s="11" t="str">
        <x:v>凤凰涅槃</x:v>
      </x:c>
      <x:c r="C4" s="11" t="str">
        <x:v>哀鸣共鸣 + 亡魂反击</x:v>
      </x:c>
      <x:c r="D4" s="11" t="n">
        <x:v>2</x:v>
      </x:c>
      <x:c r="E4" s="11" t="str">
        <x:v>该棋子死亡 0.1 秒后以最大生命的 40% 复活并获得 3 秒无敌，3.1 秒后强制真死；每枚棋子每场 1 次。</x:v>
      </x:c>
      <x:c r="F4" s="11" t="str">
        <x:v>✔ 激活</x:v>
      </x:c>
      <x:c r="G4" s="11" t="str">
        <x:v>❌ 不激活（正确）</x:v>
      </x:c>
      <x:c r="H4" s="11" t="str">
        <x:v>_queue_phoenix_revive</x:v>
      </x:c>
      <x:c r="I4" s="11" t="str">
        <x:v>已审定</x:v>
      </x:c>
    </x:row>
    <x:row r="5" ht="38" customHeight="1">
      <x:c r="A5" s="15" t="str">
        <x:v>link_money_magic</x:v>
      </x:c>
      <x:c r="B5" s="15" t="str">
        <x:v>金钱魔法</x:v>
      </x:c>
      <x:c r="C5" s="15" t="str">
        <x:v>幸运信封 + 时空压缩</x:v>
      </x:c>
      <x:c r="D5" s="15" t="n">
        <x:v>2</x:v>
      </x:c>
      <x:c r="E5" s="15" t="str">
        <x:v>战后额外随机 +60/70/80 金，另有 10% 概率再 +200 金。</x:v>
      </x:c>
      <x:c r="F5" s="15" t="str">
        <x:v>✔ 激活</x:v>
      </x:c>
      <x:c r="G5" s="15" t="str">
        <x:v>❌ 不激活（正确）</x:v>
      </x:c>
      <x:c r="H5" s="15" t="str">
        <x:v>EconomyService.settle_post_battle_gold</x:v>
      </x:c>
      <x:c r="I5" s="15" t="str">
        <x:v>已审定</x:v>
      </x:c>
    </x:row>
    <x:row r="6" ht="38" customHeight="1">
      <x:c r="A6" s="11" t="str">
        <x:v>link_blood_covenant</x:v>
      </x:c>
      <x:c r="B6" s="11" t="str">
        <x:v>血之契约</x:v>
      </x:c>
      <x:c r="C6" s="11" t="str">
        <x:v>炎焰碎裂 + 吸血纹章</x:v>
      </x:c>
      <x:c r="D6" s="11" t="n">
        <x:v>2</x:v>
      </x:c>
      <x:c r="E6" s="11" t="str">
        <x:v>火属性伤害从 攻击×40% 提升到 攻击×100%。
表内字段：true_damage_atk_pct = 1</x:v>
      </x:c>
      <x:c r="F6" s="11" t="str">
        <x:v>✔ 激活</x:v>
      </x:c>
      <x:c r="G6" s="11" t="str">
        <x:v>❌ 不激活（正确）</x:v>
      </x:c>
      <x:c r="H6" s="11" t="str">
        <x:v>BattleSimShared._fire_bonus_multiplier</x:v>
      </x:c>
      <x:c r="I6" s="11" t="str">
        <x:v>已审定</x:v>
      </x:c>
    </x:row>
    <x:row r="7" ht="38" customHeight="1">
      <x:c r="A7" s="15" t="str">
        <x:v>link_paralysis_shackles</x:v>
      </x:c>
      <x:c r="B7" s="15" t="str">
        <x:v>麻痹枷锁</x:v>
      </x:c>
      <x:c r="C7" s="15" t="str">
        <x:v>打断锁链 + 冰封霜刃</x:v>
      </x:c>
      <x:c r="D7" s="15" t="n">
        <x:v>2</x:v>
      </x:c>
      <x:c r="E7" s="15" t="str">
        <x:v>缴械触发时再附加冰效果、冰易伤 +25% 与治疗降低 75%，持续 4 秒。
表内字段：ice_damage_taken_bonus = 0.25；heal_reduction = 0.75</x:v>
      </x:c>
      <x:c r="F7" s="15" t="str">
        <x:v>✔ 激活</x:v>
      </x:c>
      <x:c r="G7" s="15" t="str">
        <x:v>❌ 不激活（正确）</x:v>
      </x:c>
      <x:c r="H7" s="15" t="str">
        <x:v>_apply_attack_treasure_effects</x:v>
      </x:c>
      <x:c r="I7" s="15" t="str">
        <x:v>已审定</x:v>
      </x:c>
    </x:row>
    <x:row r="8" ht="38" customHeight="1">
      <x:c r="A8" s="11" t="str">
        <x:v>link_oppression_counter</x:v>
      </x:c>
      <x:c r="B8" s="11" t="str">
        <x:v>压迫反击</x:v>
      </x:c>
      <x:c r="C8" s="11" t="str">
        <x:v>束缚重压 + 狂暴进攻</x:v>
      </x:c>
      <x:c r="D8" s="11" t="n">
        <x:v>2</x:v>
      </x:c>
      <x:c r="E8" s="11" t="str">
        <x:v>被攻击时使攻击者获得狂暴进攻的一层攻速，并使攻击者攻击 -25%，持续 2 秒。</x:v>
      </x:c>
      <x:c r="F8" s="11" t="str">
        <x:v>✔ 激活</x:v>
      </x:c>
      <x:c r="G8" s="11" t="str">
        <x:v>❌ 不激活（正确）</x:v>
      </x:c>
      <x:c r="H8" s="11" t="str">
        <x:v>_apply_defender_treasure_reaction</x:v>
      </x:c>
      <x:c r="I8" s="11" t="str">
        <x:v>已审定</x:v>
      </x:c>
    </x:row>
    <x:row r="9" ht="38" customHeight="1">
      <x:c r="A9" s="15" t="str">
        <x:v>link_fraud_fate</x:v>
      </x:c>
      <x:c r="B9" s="15" t="str">
        <x:v>诡诈命运</x:v>
      </x:c>
      <x:c r="C9" s="15" t="str">
        <x:v>幻影步伐 + 慷慨命运</x:v>
      </x:c>
      <x:c r="D9" s="15" t="n">
        <x:v>2</x:v>
      </x:c>
      <x:c r="E9" s="15" t="str">
        <x:v>赌博改为 60% 变为 2.5 倍 / 40% 只剩 50%。</x:v>
      </x:c>
      <x:c r="F9" s="15" t="str">
        <x:v>✔ 激活</x:v>
      </x:c>
      <x:c r="G9" s="15" t="str">
        <x:v>❌ 不激活（正确）</x:v>
      </x:c>
      <x:c r="H9" s="15" t="str">
        <x:v>PrepFlowController._on_generous_fate_gamble</x:v>
      </x:c>
      <x:c r="I9" s="15" t="str">
        <x:v>已审定</x:v>
      </x:c>
    </x:row>
    <x:row r="10" ht="38" customHeight="1">
      <x:c r="A10" s="11" t="str">
        <x:v>link_iron_maiden</x:v>
      </x:c>
      <x:c r="B10" s="11" t="str">
        <x:v>铁处女</x:v>
      </x:c>
      <x:c r="C10" s="11" t="str">
        <x:v>铁壁之护 + 腐蚀毒针</x:v>
      </x:c>
      <x:c r="D10" s="11" t="n">
        <x:v>2</x:v>
      </x:c>
      <x:c r="E10" s="11" t="str">
        <x:v>被攻击时（冷却 8 秒）给攻击者流血 6%/秒持续 5 秒、防御 -50% 持续 5 秒。</x:v>
      </x:c>
      <x:c r="F10" s="11" t="str">
        <x:v>✔ 激活</x:v>
      </x:c>
      <x:c r="G10" s="11" t="str">
        <x:v>❌ 不激活（正确）</x:v>
      </x:c>
      <x:c r="H10" s="11" t="str">
        <x:v>_apply_defender_treasure_reaction</x:v>
      </x:c>
      <x:c r="I10" s="11" t="str">
        <x:v>已审定</x:v>
      </x:c>
    </x:row>
    <x:row r="11" ht="38" customHeight="1">
      <x:c r="A11" s="15" t="str">
        <x:v>link_toxic_burst</x:v>
      </x:c>
      <x:c r="B11" s="15" t="str">
        <x:v>剧毒爆发</x:v>
      </x:c>
      <x:c r="C11" s="15" t="str">
        <x:v>爆裂核心 + 剧毒蔓延</x:v>
      </x:c>
      <x:c r="D11" s="15" t="n">
        <x:v>2</x:v>
      </x:c>
      <x:c r="E11" s="15" t="str">
        <x:v>造成伤害后，若目标中毒则 50% 概率立刻引爆剩余全部毒伤（按剩余跳数一次性结算）并移除中毒。
表内字段：proc_chance = 0.5</x:v>
      </x:c>
      <x:c r="F11" s="15" t="str">
        <x:v>✔ 激活</x:v>
      </x:c>
      <x:c r="G11" s="15" t="str">
        <x:v>❌ 不激活（正确）</x:v>
      </x:c>
      <x:c r="H11" s="15" t="str">
        <x:v>BattleSimTreasures._try_toxic_burst</x:v>
      </x:c>
      <x:c r="I11" s="15" t="str">
        <x:v>已审定</x:v>
      </x:c>
    </x:row>
    <x:row r="12" ht="38" customHeight="1">
      <x:c r="A12" s="11" t="str">
        <x:v>link_rich_path</x:v>
      </x:c>
      <x:c r="B12" s="11" t="str">
        <x:v>富裕之路</x:v>
      </x:c>
      <x:c r="C12" s="11" t="str">
        <x:v>复利之道 + 雷霆加速</x:v>
      </x:c>
      <x:c r="D12" s="11" t="n">
        <x:v>2</x:v>
      </x:c>
      <x:c r="E12" s="11" t="str">
        <x:v>每次造成正伤害 25% 概率 +10 金（计入 bonus_gold）。
表内字段：attack_gold_chance = 0.25</x:v>
      </x:c>
      <x:c r="F12" s="11" t="str">
        <x:v>✔ 激活</x:v>
      </x:c>
      <x:c r="G12" s="11" t="str">
        <x:v>❌ 不激活（正确）</x:v>
      </x:c>
      <x:c r="H12" s="11" t="str">
        <x:v>_apply_post_damage_treasures</x:v>
      </x:c>
      <x:c r="I12" s="11" t="str">
        <x:v>已审定</x:v>
      </x:c>
    </x:row>
    <x:row r="13" ht="38" customHeight="1">
      <x:c r="A13" s="15" t="str">
        <x:v>link_clearance_sale</x:v>
      </x:c>
      <x:c r="B13" s="15" t="str">
        <x:v>清仓特卖</x:v>
      </x:c>
      <x:c r="C13" s="15" t="str">
        <x:v>狂怒阵容 + 折扣令牌</x:v>
      </x:c>
      <x:c r="D13" s="15" t="n">
        <x:v>2</x:v>
      </x:c>
      <x:c r="E13" s="15" t="str">
        <x:v>同队只要有一人激活，队友买棋子均享受原价 ×0.4（向上取整，最低 1 金）；与折扣令牌互斥，最多降价 60%。
表内字段：shop_price_multiplier = 0.4</x:v>
      </x:c>
      <x:c r="F13" s="15" t="str">
        <x:v>✔ 激活</x:v>
      </x:c>
      <x:c r="G13" s="15" t="str">
        <x:v>❌ 不激活（正确）</x:v>
      </x:c>
      <x:c r="H13" s="15" t="str">
        <x:v>EconomyLedger.unit_cost</x:v>
      </x:c>
      <x:c r="I13" s="15" t="str">
        <x:v>已审定</x:v>
      </x:c>
    </x:row>
    <x:row r="14" ht="62" customHeight="1">
      <x:c r="A14" s="11" t="str">
        <x:v>link_hu_pai_master</x:v>
      </x:c>
      <x:c r="B14" s="11" t="str">
        <x:v>胡牌手</x:v>
      </x:c>
      <x:c r="C14" s="11" t="str">
        <x:v>生命丰碑 + 黄金祭坛 + 震荡余波 + 血契之刃 + 狂怒阵容</x:v>
      </x:c>
      <x:c r="D14" s="11" t="n">
        <x:v>5</x:v>
      </x:c>
      <x:c r="E14" s="11" t="str">
        <x:v>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x:v>
      </x:c>
      <x:c r="F14" s="11" t="str">
        <x:v>✔ 激活</x:v>
      </x:c>
      <x:c r="G14" s="11" t="str">
        <x:v>❌ 不激活（正确）</x:v>
      </x:c>
      <x:c r="H14" s="11" t="str">
        <x:v>各挂钩点的 _f_has_linkage 判定</x:v>
      </x:c>
      <x:c r="I14" s="11" t="str">
        <x:v>已审定</x:v>
      </x:c>
    </x:row>
  </x:sheetData>
  <x:mergeCells>
    <x:mergeCell ref="A1:I1"/>
    <x:mergeCell ref="A2:I2"/>
  </x:mergeCells>
  <x:pageMargins left="0.7" right="0.7" top="0.75" bottom="0.75" header="0.3" footer="0.3"/>
</x:worksheet>
</file>

<file path=xl/worksheets/sheet12.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38" hidden="0" customWidth="1"/>
    <x:col min="2" max="2" width="135" hidden="0" customWidth="1"/>
    <x:col min="3" max="3" width="55" hidden="0" customWidth="1"/>
  </x:cols>
  <x:sheetData>
    <x:row r="1" ht="34" customHeight="1">
      <x:c r="A1" s="2" t="str">
        <x:v>11_金币规则</x:v>
      </x:c>
      <x:c r="B1" s="2"/>
      <x:c r="C1" s="2"/>
    </x:row>
    <x:row r="2" ht="32" customHeight="1">
      <x:c r="A2" s="4" t="str">
        <x:v>金币、利息、击杀赏金、刷新价和结算顺序；含宠物猫 +5% 的已更新数据。</x:v>
      </x:c>
      <x:c r="B2" s="4"/>
      <x:c r="C2" s="4"/>
    </x:row>
    <x:row r="3" ht="28" customHeight="1">
      <x:c r="A3" s="7" t="str">
        <x:v>类目</x:v>
      </x:c>
      <x:c r="B3" s="7" t="str">
        <x:v>规则 / 数值（引擎实测）</x:v>
      </x:c>
      <x:c r="C3" s="7" t="str">
        <x:v>来源</x:v>
      </x:c>
    </x:row>
    <x:row r="4" ht="38" customHeight="1">
      <x:c r="A4" s="11" t="str">
        <x:v>初始金币</x:v>
      </x:c>
      <x:c r="B4" s="11" t="str">
        <x:v>100</x:v>
      </x:c>
      <x:c r="C4" s="11" t="str">
        <x:v>GameState.START_GOLD</x:v>
      </x:c>
    </x:row>
    <x:row r="5" ht="38" customHeight="1">
      <x:c r="A5" s="15" t="str">
        <x:v>★ 基础利息率</x:v>
      </x:c>
      <x:c r="B5" s="15" t="str">
        <x:v>5%：利息 = floor(结算后金币 × 0.05)。无上限、无分段。</x:v>
      </x:c>
      <x:c r="C5" s="15" t="str">
        <x:v>EconomyService.BASE_INTEREST_RATE</x:v>
      </x:c>
    </x:row>
    <x:row r="6" ht="38" customHeight="1">
      <x:c r="A6" s="11"/>
      <x:c r="B6" s="11"/>
      <x:c r="C6" s="11"/>
    </x:row>
    <x:row r="7" ht="38" customHeight="1">
      <x:c r="A7" s="15" t="str">
        <x:v>── 利息实测表 ──</x:v>
      </x:c>
      <x:c r="B7" s="15"/>
      <x:c r="C7" s="15"/>
    </x:row>
    <x:row r="8" ht="38" customHeight="1">
      <x:c r="A8" s="11" t="str">
        <x:v>当前金币</x:v>
      </x:c>
      <x:c r="B8" s="11" t="str">
        <x:v>基础 5% / +复利之道 5% / +宠物猫 5% / 三者合计（本回合已花金币；未花再 +3%）</x:v>
      </x:c>
      <x:c r="C8" s="11" t="str">
        <x:v>合计后实际到手</x:v>
      </x:c>
    </x:row>
    <x:row r="9" ht="38" customHeight="1">
      <x:c r="A9" s="15" t="str">
        <x:v>0 金</x:v>
      </x:c>
      <x:c r="B9" s="15" t="str">
        <x:v>0 / 0 / 0 / 0</x:v>
      </x:c>
      <x:c r="C9" s="15" t="str">
        <x:v>+0 金（实际 0%）</x:v>
      </x:c>
    </x:row>
    <x:row r="10" ht="38" customHeight="1">
      <x:c r="A10" s="11" t="str">
        <x:v>50 金</x:v>
      </x:c>
      <x:c r="B10" s="11" t="str">
        <x:v>2 / 4 / 3 / 7</x:v>
      </x:c>
      <x:c r="C10" s="11" t="str">
        <x:v>+7 金（实际 14%）</x:v>
      </x:c>
    </x:row>
    <x:row r="11" ht="38" customHeight="1">
      <x:c r="A11" s="15" t="str">
        <x:v>100 金</x:v>
      </x:c>
      <x:c r="B11" s="15" t="str">
        <x:v>5 / 10 / 5 / 15</x:v>
      </x:c>
      <x:c r="C11" s="15" t="str">
        <x:v>+15 金（实际 15%）</x:v>
      </x:c>
    </x:row>
    <x:row r="12" ht="38" customHeight="1">
      <x:c r="A12" s="11" t="str">
        <x:v>200 金</x:v>
      </x:c>
      <x:c r="B12" s="11" t="str">
        <x:v>10 / 20 / 10 / 30</x:v>
      </x:c>
      <x:c r="C12" s="11" t="str">
        <x:v>+30 金（实际 15%）</x:v>
      </x:c>
    </x:row>
    <x:row r="13" ht="38" customHeight="1">
      <x:c r="A13" s="15" t="str">
        <x:v>300 金</x:v>
      </x:c>
      <x:c r="B13" s="15" t="str">
        <x:v>15 / 30 / 15 / 45</x:v>
      </x:c>
      <x:c r="C13" s="15" t="str">
        <x:v>+45 金（实际 15%）</x:v>
      </x:c>
    </x:row>
    <x:row r="14" ht="38" customHeight="1">
      <x:c r="A14" s="11" t="str">
        <x:v>500 金</x:v>
      </x:c>
      <x:c r="B14" s="11" t="str">
        <x:v>25 / 50 / 25 / 75</x:v>
      </x:c>
      <x:c r="C14" s="11" t="str">
        <x:v>+75 金（实际 15%）</x:v>
      </x:c>
    </x:row>
    <x:row r="15" ht="38" customHeight="1">
      <x:c r="A15" s="15" t="str">
        <x:v>800 金</x:v>
      </x:c>
      <x:c r="B15" s="15" t="str">
        <x:v>40 / 80 / 40 / 120</x:v>
      </x:c>
      <x:c r="C15" s="15" t="str">
        <x:v>+120 金（实际 15%）</x:v>
      </x:c>
    </x:row>
    <x:row r="16" ht="38" customHeight="1">
      <x:c r="A16" s="11" t="str">
        <x:v>1000 金</x:v>
      </x:c>
      <x:c r="B16" s="11" t="str">
        <x:v>50 / 100 / 50 / 150</x:v>
      </x:c>
      <x:c r="C16" s="11" t="str">
        <x:v>+150 金（实际 15%）</x:v>
      </x:c>
    </x:row>
    <x:row r="17" ht="38" customHeight="1">
      <x:c r="A17" s="15" t="str">
        <x:v>1500 金</x:v>
      </x:c>
      <x:c r="B17" s="15" t="str">
        <x:v>75 / 150 / 75 / 225</x:v>
      </x:c>
      <x:c r="C17" s="15" t="str">
        <x:v>+225 金（实际 15%）</x:v>
      </x:c>
    </x:row>
    <x:row r="18" ht="38" customHeight="1">
      <x:c r="A18" s="11" t="str">
        <x:v>2000 金</x:v>
      </x:c>
      <x:c r="B18" s="11" t="str">
        <x:v>100 / 200 / 100 / 300</x:v>
      </x:c>
      <x:c r="C18" s="11" t="str">
        <x:v>+300 金（实际 15%）</x:v>
      </x:c>
    </x:row>
    <x:row r="19" ht="38" customHeight="1">
      <x:c r="A19" s="15"/>
      <x:c r="B19" s="15"/>
      <x:c r="C19" s="15"/>
    </x:row>
    <x:row r="20" ht="38" customHeight="1">
      <x:c r="A20" s="11" t="str">
        <x:v>── 战后结算顺序（代码里的累加次序）──</x:v>
      </x:c>
      <x:c r="B20" s="11"/>
      <x:c r="C20" s="11"/>
    </x:row>
    <x:row r="21" ht="38" customHeight="1">
      <x:c r="A21" s="15" t="str">
        <x:v>(1) 局型基础奖励</x:v>
      </x:c>
      <x:c r="B21" s="15" t="str">
        <x:v>PVE：击杀金（输赢都给）+ 胜利才给的「回合号 × 10」　｜　Boss：胜利给固定奖励，失败给「固定奖励 ×(1-Boss剩余血量比)」，且不结算击杀金　｜　PVP/final：击杀金 + 胜 100 / 负 50</x:v>
      </x:c>
      <x:c r="C21" s="15" t="str">
        <x:v>settle_post_battle_gold</x:v>
      </x:c>
    </x:row>
    <x:row r="22" ht="38" customHeight="1">
      <x:c r="A22" s="11" t="str">
        <x:v>(2) 击杀金｜PVE 野怪</x:v>
      </x:c>
      <x:c r="B22" s="11" t="str">
        <x:v>每只固定 15 金（不随场次成长；PVE 收入的成长靠「怪数」与「回合奖励」两处）</x:v>
      </x:c>
      <x:c r="C22" s="11" t="str">
        <x:v>EconomyService.PVE_MONSTER_KILL_GOLD</x:v>
      </x:c>
    </x:row>
    <x:row r="23" ht="38" customHeight="1">
      <x:c r="A23" s="15" t="str">
        <x:v>(2) 击杀金｜PVP 棋子</x:v>
      </x:c>
      <x:c r="B23" s="15" t="str">
        <x:v>1阶1★=10金　1阶2★=30金　1阶3★=40金　1阶4★=50金　2阶1★=20金　2阶2★=40金　2阶3★=50金　2阶4★=60金　3阶1★=30金　3阶2★=50金　3阶3★=60金　3阶4★=70金</x:v>
      </x:c>
      <x:c r="C23" s="15" t="str">
        <x:v>pvp_normal_kill_reward 实调</x:v>
      </x:c>
    </x:row>
    <x:row r="24" ht="62" customHeight="1">
      <x:c r="A24" s="11" t="str">
        <x:v>(2) 击杀金｜佣兵</x:v>
      </x:c>
      <x:c r="B24" s="11" t="str">
        <x:v>泡沫术士 50费→10金　甲壳守卫 100费→20金　审判剑士 150费→30金　黄金重骑 200费→40金　圣愈修女 250费→50金　镜像刺客 300费→60金　炎阳王者 350费→70金　星轨猎人 400费→80金　狂战先锋 450费→90金　黑钢统帅 500费→100金　时空观测者 550费→110金　冥界执行者 600费→120金</x:v>
      </x:c>
      <x:c r="C24" s="11" t="str">
        <x:v>pvp_mercenary_kill_reward 实调</x:v>
      </x:c>
    </x:row>
    <x:row r="25" ht="38" customHeight="1">
      <x:c r="A25" s="15" t="str">
        <x:v>(2) 击杀金｜法阵友军</x:v>
      </x:c>
      <x:c r="B25" s="15" t="str">
        <x:v>0 金</x:v>
      </x:c>
      <x:c r="C25" s="15" t="str">
        <x:v>_kill_reward_for_victim</x:v>
      </x:c>
    </x:row>
    <x:row r="26" ht="38" customHeight="1">
      <x:c r="A26" s="11" t="str">
        <x:v>(2) 跨路击杀分账</x:v>
      </x:c>
      <x:c r="B26" s="11" t="str">
        <x:v>3v3 打死别路的敌人：赏金对半分，一半给击杀者、一半给被入侵那一路的路线主（奇数余数归击杀者）</x:v>
      </x:c>
      <x:c r="C26" s="11" t="str">
        <x:v>_add_kill_reward</x:v>
      </x:c>
    </x:row>
    <x:row r="27" ht="38" customHeight="1">
      <x:c r="A27" s="15" t="str">
        <x:v>⚠ (2) 击杀金漏洞</x:v>
      </x:c>
      <x:c r="B27" s="15" t="str">
        <x:v>持续伤害（中毒/流血等）的击杀来源已由伤害上下文追踪；具体赏金按击杀者归属结算。战斗衰减的无来源击杀仍需按对应战斗结算规则处理。</x:v>
      </x:c>
      <x:c r="C27" s="15" t="str">
        <x:v>_process_pending_kill_rewards</x:v>
      </x:c>
    </x:row>
    <x:row r="28" ht="38" customHeight="1">
      <x:c r="A28" s="11" t="str">
        <x:v>(3) 胜负固定奖励</x:v>
      </x:c>
      <x:c r="B28" s="11" t="str">
        <x:v>PVP/final：胜 100 / 负 50</x:v>
      </x:c>
      <x:c r="C28" s="11" t="str">
        <x:v>EconomyService</x:v>
      </x:c>
    </x:row>
    <x:row r="29" ht="38" customHeight="1">
      <x:c r="A29" s="15" t="str">
        <x:v>(4) 连败安慰金</x:v>
      </x:c>
      <x:c r="B29" s="15" t="str">
        <x:v>0连败=0金　1连败=20金　2连败=40金　3连败=60金　4连败=80金　5连败=100金　6连败=120金</x:v>
      </x:c>
      <x:c r="C29" s="15" t="str">
        <x:v>consolation_reward 实调</x:v>
      </x:c>
    </x:row>
    <x:row r="30" ht="38" customHeight="1">
      <x:c r="A30" s="11" t="str">
        <x:v>(5) 商人棋子</x:v>
      </x:c>
      <x:c r="B30" s="11" t="str">
        <x:v>1★=+10金　2★=+20金　3★=+30金　4★=+40金（棋盘上每个商人都算，不需要存活）</x:v>
      </x:c>
      <x:c r="C30" s="11" t="str">
        <x:v>merchant_gold_from_board 实调</x:v>
      </x:c>
    </x:row>
    <x:row r="31" ht="38" customHeight="1">
      <x:c r="A31" s="15" t="str">
        <x:v>(6) 战斗内额外金币</x:v>
      </x:c>
      <x:c r="B31" s="15" t="str">
        <x:v>富裕之路联动：每次造成正伤害 25% 概率 +10 金</x:v>
      </x:c>
      <x:c r="C31" s="15" t="str">
        <x:v>bonus_gold</x:v>
      </x:c>
    </x:row>
    <x:row r="32" ht="38" customHeight="1">
      <x:c r="A32" s="11" t="str">
        <x:v>(7) 宝藏战后金币</x:v>
      </x:c>
      <x:c r="B32" s="11" t="str">
        <x:v>幸运信封 +30/40/50　｜　金钱魔法联动 +60/70/80，另 10% 概率再 +200</x:v>
      </x:c>
      <x:c r="C32" s="11" t="str">
        <x:v>settle_post_battle_gold</x:v>
      </x:c>
    </x:row>
    <x:row r="33" ht="38" customHeight="1">
      <x:c r="A33" s="15" t="str">
        <x:v>(8) 利息</x:v>
      </x:c>
      <x:c r="B33" s="15" t="str">
        <x:v>基础 5% + 复利之道 5%；本回合没花金币时复利之道再 +3%；宠物猫额外 +5%。按 EconomyService 分项结算。</x:v>
      </x:c>
      <x:c r="C33" s="15" t="str">
        <x:v>base_interest + pet_interest_bonus</x:v>
      </x:c>
    </x:row>
    <x:row r="34" ht="38" customHeight="1">
      <x:c r="A34" s="11" t="str">
        <x:v>(9) 萝卜营地固定收入</x:v>
      </x:c>
      <x:c r="B34" s="11" t="str">
        <x:v>按萝卜田等级发放，刻意放在利息之后 → 这笔钱不参与本回合利息</x:v>
      </x:c>
      <x:c r="C34" s="11" t="str">
        <x:v>CarrotEconomy.income_for_spent</x:v>
      </x:c>
    </x:row>
    <x:row r="35" ht="38" customHeight="1">
      <x:c r="A35" s="15"/>
      <x:c r="B35" s="15"/>
      <x:c r="C35" s="15"/>
    </x:row>
    <x:row r="36" ht="38" customHeight="1">
      <x:c r="A36" s="11" t="str">
        <x:v>── 战后结算实跑场景（直接调 settle_post_battle_gold）──</x:v>
      </x:c>
      <x:c r="B36" s="11"/>
      <x:c r="C36" s="11"/>
    </x:row>
    <x:row r="37" ht="38" customHeight="1">
      <x:c r="A37" s="15" t="str">
        <x:v>PVE 第1回合 胜 (杀3怪)</x:v>
      </x:c>
      <x:c r="B37" s="15" t="str">
        <x:v>结算前 100 → 结算后 162（净 +62）</x:v>
      </x:c>
      <x:c r="C37" s="15" t="str">
        <x:v>settle_post_battle_gold 实调</x:v>
      </x:c>
    </x:row>
    <x:row r="38" ht="38" customHeight="1">
      <x:c r="A38" s="11" t="str">
        <x:v>PVE 第13回合 胜 (杀8怪)</x:v>
      </x:c>
      <x:c r="B38" s="11" t="str">
        <x:v>结算前 300 → 结算后 577（净 +277）</x:v>
      </x:c>
      <x:c r="C38" s="11" t="str">
        <x:v>settle_post_battle_gold 实调</x:v>
      </x:c>
    </x:row>
    <x:row r="39" ht="38" customHeight="1">
      <x:c r="A39" s="15" t="str">
        <x:v>PVE 第13回合 败 (杀5怪)</x:v>
      </x:c>
      <x:c r="B39" s="15" t="str">
        <x:v>结算前 300 → 结算后 435（净 +135）</x:v>
      </x:c>
      <x:c r="C39" s="15" t="str">
        <x:v>settle_post_battle_gold 实调</x:v>
      </x:c>
    </x:row>
    <x:row r="40" ht="38" customHeight="1">
      <x:c r="A40" s="11" t="str">
        <x:v>Boss 第10回合 胜</x:v>
      </x:c>
      <x:c r="B40" s="11" t="str">
        <x:v>结算前 300 → 结算后 472（净 +172）</x:v>
      </x:c>
      <x:c r="C40" s="11" t="str">
        <x:v>settle_post_battle_gold 实调</x:v>
      </x:c>
    </x:row>
    <x:row r="41" ht="38" customHeight="1">
      <x:c r="A41" s="15" t="str">
        <x:v>Boss 第10回合 败(Boss剩30%)</x:v>
      </x:c>
      <x:c r="B41" s="15" t="str">
        <x:v>结算前 300 → 结算后 446（净 +146）</x:v>
      </x:c>
      <x:c r="C41" s="15" t="str">
        <x:v>settle_post_battle_gold 实调</x:v>
      </x:c>
    </x:row>
    <x:row r="42" ht="38" customHeight="1">
      <x:c r="A42" s="11" t="str">
        <x:v>PVP 第12回合 胜(击杀120)</x:v>
      </x:c>
      <x:c r="B42" s="11" t="str">
        <x:v>结算前 400 → 结算后 651（净 +251）</x:v>
      </x:c>
      <x:c r="C42" s="11" t="str">
        <x:v>settle_post_battle_gold 实调</x:v>
      </x:c>
    </x:row>
    <x:row r="43" ht="38" customHeight="1">
      <x:c r="A43" s="15" t="str">
        <x:v>PVP 第12回合 败</x:v>
      </x:c>
      <x:c r="B43" s="15" t="str">
        <x:v>结算前 400 → 结算后 535（净 +135）</x:v>
      </x:c>
      <x:c r="C43" s="15" t="str">
        <x:v>settle_post_battle_gold 实调</x:v>
      </x:c>
    </x:row>
    <x:row r="44" ht="38" customHeight="1">
      <x:c r="A44" s="11"/>
      <x:c r="B44" s="11"/>
      <x:c r="C44" s="11"/>
    </x:row>
    <x:row r="45" ht="38" customHeight="1">
      <x:c r="A45" s="15" t="str">
        <x:v>── 花钱的地方 ──</x:v>
      </x:c>
      <x:c r="B45" s="15"/>
      <x:c r="C45" s="15"/>
    </x:row>
    <x:row r="46" ht="38" customHeight="1">
      <x:c r="A46" s="11" t="str">
        <x:v>10 金原价棋子</x:v>
      </x:c>
      <x:c r="B46" s="11" t="str">
        <x:v>原价 10 金　｜　折扣令牌 7 金　｜　清仓特卖 4 金（队友共享）</x:v>
      </x:c>
      <x:c r="C46" s="11" t="str">
        <x:v>EconomyLedger.unit_cost 实调</x:v>
      </x:c>
    </x:row>
    <x:row r="47" ht="38" customHeight="1">
      <x:c r="A47" s="15" t="str">
        <x:v>20 金原价棋子</x:v>
      </x:c>
      <x:c r="B47" s="15" t="str">
        <x:v>原价 20 金　｜　折扣令牌 14 金　｜　清仓特卖 8 金（队友共享）</x:v>
      </x:c>
      <x:c r="C47" s="15" t="str">
        <x:v>EconomyLedger.unit_cost 实调</x:v>
      </x:c>
    </x:row>
    <x:row r="48" ht="38" customHeight="1">
      <x:c r="A48" s="11" t="str">
        <x:v>30 金原价棋子</x:v>
      </x:c>
      <x:c r="B48" s="11" t="str">
        <x:v>原价 30 金　｜　折扣令牌 21 金　｜　清仓特卖 12 金（队友共享）</x:v>
      </x:c>
      <x:c r="C48" s="11" t="str">
        <x:v>EconomyLedger.unit_cost 实调</x:v>
      </x:c>
    </x:row>
    <x:row r="49" ht="38" customHeight="1">
      <x:c r="A49" s="15" t="str">
        <x:v>50 金原价棋子</x:v>
      </x:c>
      <x:c r="B49" s="15" t="str">
        <x:v>原价 50 金　｜　折扣令牌 35 金　｜　清仓特卖 20 金（队友共享）</x:v>
      </x:c>
      <x:c r="C49" s="15" t="str">
        <x:v>EconomyLedger.unit_cost 实调</x:v>
      </x:c>
    </x:row>
    <x:row r="50" ht="38" customHeight="1">
      <x:c r="A50" s="11" t="str">
        <x:v>棋子出售返还</x:v>
      </x:c>
      <x:c r="B50" s="11" t="str">
        <x:v>实付20→退10　实付30→退15　实付50→退25（按实付价而非定价表；星级倍率 1★×0.5 / 2★×1.0 / 3★×1.5）</x:v>
      </x:c>
      <x:c r="C50" s="11" t="str">
        <x:v>EconomyLedger.sell_refund 实调</x:v>
      </x:c>
    </x:row>
    <x:row r="51" ht="38" customHeight="1">
      <x:c r="A51" s="15" t="str">
        <x:v>商店刷新价</x:v>
      </x:c>
      <x:c r="B51" s="15" t="str">
        <x:v>第0次=0金　第1次=10金　第2次=20金　第3次=40金　第4次=80金　第5次=160金　第6次=320金　第7次=640金（金钱套装激活则全 0）</x:v>
      </x:c>
      <x:c r="C51" s="15" t="str">
        <x:v>shop_refresh_cost 实调</x:v>
      </x:c>
    </x:row>
    <x:row r="52" ht="38" customHeight="1">
      <x:c r="A52" s="11" t="str">
        <x:v>宝藏刷新价</x:v>
      </x:c>
      <x:c r="B52" s="11" t="str">
        <x:v>第0次=50金　第1次=100金　第2次=200金　第3次=400金　第4次=800金　第5次=1600金　第6次=3200金　第7次=6400金（金钱套装激活则全 0）</x:v>
      </x:c>
      <x:c r="C52" s="11" t="str">
        <x:v>TreasureService.refresh_cost 实调</x:v>
      </x:c>
    </x:row>
    <x:row r="53" ht="38" customHeight="1">
      <x:c r="A53" s="15" t="str">
        <x:v>★ 4★ 升级金币</x:v>
      </x:c>
      <x:c r="B53" s="15" t="str">
        <x:v>1阶=500金　2阶=800金　3阶=1100金（另需 1 颗同属性升级石）</x:v>
      </x:c>
      <x:c r="C53" s="15" t="str">
        <x:v>four_star_gold 实调</x:v>
      </x:c>
    </x:row>
    <x:row r="54" ht="38" customHeight="1">
      <x:c r="A54" s="11" t="str">
        <x:v>黄金祭坛</x:v>
      </x:c>
      <x:c r="B54" s="11" t="str">
        <x:v>每次 -2 法阵 HP → +100 金，每回合最多 3 次；HP ≤10 不可用。持有人未使用则回合末 +1 HP（3v3 最多 +3）；胡牌手激活后使用不扣 HP。</x:v>
      </x:c>
      <x:c r="C54" s="11" t="str">
        <x:v>NetworkService.ALTAR_*</x:v>
      </x:c>
    </x:row>
    <x:row r="55" ht="38" customHeight="1">
      <x:c r="A55" s="15"/>
      <x:c r="B55" s="15"/>
      <x:c r="C55" s="15"/>
    </x:row>
    <x:row r="56" ht="38" customHeight="1">
      <x:c r="A56" s="11" t="str">
        <x:v>── 商店档位曲线（把 0~1 扫 10000 次实测）──</x:v>
      </x:c>
      <x:c r="B56" s="11"/>
      <x:c r="C56" s="11"/>
    </x:row>
    <x:row r="57" ht="38" customHeight="1">
      <x:c r="A57" s="15" t="str">
        <x:v>第 1 回合起</x:v>
      </x:c>
      <x:c r="B57" s="15" t="str">
        <x:v>1阶 80%　｜　2阶 20%　｜　3阶 0%</x:v>
      </x:c>
      <x:c r="C57" s="15" t="str">
        <x:v>ShopRoll.tier_for_roll 实测</x:v>
      </x:c>
    </x:row>
    <x:row r="58" ht="38" customHeight="1">
      <x:c r="A58" s="11" t="str">
        <x:v>第 5 回合起</x:v>
      </x:c>
      <x:c r="B58" s="11" t="str">
        <x:v>1阶 50%　｜　2阶 50%　｜　3阶 0%</x:v>
      </x:c>
      <x:c r="C58" s="11" t="str">
        <x:v>ShopRoll.tier_for_roll 实测</x:v>
      </x:c>
    </x:row>
    <x:row r="59" ht="38" customHeight="1">
      <x:c r="A59" s="15" t="str">
        <x:v>第 10 回合起</x:v>
      </x:c>
      <x:c r="B59" s="15" t="str">
        <x:v>1阶 25%　｜　2阶 60%　｜　3阶 15%</x:v>
      </x:c>
      <x:c r="C59" s="15" t="str">
        <x:v>ShopRoll.tier_for_roll 实测</x:v>
      </x:c>
    </x:row>
    <x:row r="60" ht="38" customHeight="1">
      <x:c r="A60" s="11" t="str">
        <x:v>第 15 回合起</x:v>
      </x:c>
      <x:c r="B60" s="11" t="str">
        <x:v>1阶 15%　｜　2阶 60%　｜　3阶 25%</x:v>
      </x:c>
      <x:c r="C60" s="11" t="str">
        <x:v>ShopRoll.tier_for_roll 实测</x:v>
      </x:c>
    </x:row>
  </x:sheetData>
  <x:mergeCells>
    <x:mergeCell ref="A1:C1"/>
    <x:mergeCell ref="A2:C2"/>
  </x:mergeCells>
  <x:pageMargins left="0.7" right="0.7" top="0.75" bottom="0.75" header="0.3" footer="0.3"/>
</x:worksheet>
</file>

<file path=xl/worksheets/sheet13.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38" hidden="0" customWidth="1"/>
    <x:col min="2" max="2" width="140" hidden="0" customWidth="1"/>
    <x:col min="3" max="3" width="58" hidden="0" customWidth="1"/>
  </x:cols>
  <x:sheetData>
    <x:row r="1" ht="34" customHeight="1">
      <x:c r="A1" s="2" t="str">
        <x:v>12_萝卜规则</x:v>
      </x:c>
      <x:c r="B1" s="2"/>
      <x:c r="C1" s="2"/>
    </x:row>
    <x:row r="2" ht="32" customHeight="1">
      <x:c r="A2" s="4" t="str">
        <x:v>采集科技、萝卜田、升级石、佣兵萝卜价格；宠物松鼠加成另见宠物页。</x:v>
      </x:c>
      <x:c r="B2" s="4"/>
      <x:c r="C2" s="4"/>
    </x:row>
    <x:row r="3" ht="28" customHeight="1">
      <x:c r="A3" s="7" t="str">
        <x:v>类目</x:v>
      </x:c>
      <x:c r="B3" s="7" t="str">
        <x:v>规则 / 数值（引擎实测）</x:v>
      </x:c>
      <x:c r="C3" s="7" t="str">
        <x:v>来源</x:v>
      </x:c>
    </x:row>
    <x:row r="4" ht="38" customHeight="1">
      <x:c r="A4" s="11" t="str">
        <x:v>★ 每回合总产量</x:v>
      </x:c>
      <x:c r="B4" s="11" t="str">
        <x:v>基础 3 + 采集科技加成 + 萝卜田等级加成（所有地方都必须走 total_production()）</x:v>
      </x:c>
      <x:c r="C4" s="11" t="str">
        <x:v>CarrotEconomy.total_production</x:v>
      </x:c>
    </x:row>
    <x:row r="5" ht="38" customHeight="1">
      <x:c r="A5" s="15" t="str">
        <x:v>溢出</x:v>
      </x:c>
      <x:c r="B5" s="15" t="str">
        <x:v>超过容量的部分直接丢弃，不累积</x:v>
      </x:c>
      <x:c r="C5" s="15" t="str">
        <x:v>CarrotEconomy.harvest</x:v>
      </x:c>
    </x:row>
    <x:row r="6" ht="38" customHeight="1">
      <x:c r="A6" s="11" t="str">
        <x:v>萝卜用途</x:v>
      </x:c>
      <x:c r="B6" s="11" t="str">
        <x:v>① 召唤佣兵（3~36 萝卜）　② 抽升级石每回合最多 1 次；跨回合累计第 1/2/3 次分别花 50/70/90 萝卜，之后每次再 +20。</x:v>
      </x:c>
      <x:c r="C6" s="11" t="str">
        <x:v>CarrotCampPanel / EconomyLedger</x:v>
      </x:c>
    </x:row>
    <x:row r="7" ht="38" customHeight="1">
      <x:c r="A7" s="15"/>
      <x:c r="B7" s="15"/>
      <x:c r="C7" s="15"/>
    </x:row>
    <x:row r="8" ht="38" customHeight="1">
      <x:c r="A8" s="11" t="str">
        <x:v>── 采集科技（金币买；下方实测 Lv0~Lv9，后续每级仍可升级）──</x:v>
      </x:c>
      <x:c r="B8" s="11"/>
      <x:c r="C8" s="11"/>
    </x:row>
    <x:row r="9" ht="38" customHeight="1">
      <x:c r="A9" s="15" t="str">
        <x:v>科技 Lv0</x:v>
      </x:c>
      <x:c r="B9" s="15" t="str">
        <x:v>从本级升下一级花 100 金　｜　当前只算科技的产量 = 3 /回合</x:v>
      </x:c>
      <x:c r="C9" s="15" t="str">
        <x:v>production_for_tech 实调</x:v>
      </x:c>
    </x:row>
    <x:row r="10" ht="38" customHeight="1">
      <x:c r="A10" s="11" t="str">
        <x:v>科技 Lv1</x:v>
      </x:c>
      <x:c r="B10" s="11" t="str">
        <x:v>从本级升下一级花 200 金　｜　当前只算科技的产量 = 6 /回合</x:v>
      </x:c>
      <x:c r="C10" s="11" t="str">
        <x:v>production_for_tech 实调</x:v>
      </x:c>
    </x:row>
    <x:row r="11" ht="38" customHeight="1">
      <x:c r="A11" s="15" t="str">
        <x:v>科技 Lv2</x:v>
      </x:c>
      <x:c r="B11" s="15" t="str">
        <x:v>从本级升下一级花 400 金　｜　当前只算科技的产量 = 9 /回合</x:v>
      </x:c>
      <x:c r="C11" s="15" t="str">
        <x:v>production_for_tech 实调</x:v>
      </x:c>
    </x:row>
    <x:row r="12" ht="38" customHeight="1">
      <x:c r="A12" s="11" t="str">
        <x:v>科技 Lv3</x:v>
      </x:c>
      <x:c r="B12" s="11" t="str">
        <x:v>从本级升下一级花 800 金　｜　当前只算科技的产量 = 13 /回合</x:v>
      </x:c>
      <x:c r="C12" s="11" t="str">
        <x:v>production_for_tech 实调</x:v>
      </x:c>
    </x:row>
    <x:row r="13" ht="38" customHeight="1">
      <x:c r="A13" s="15" t="str">
        <x:v>科技 Lv4</x:v>
      </x:c>
      <x:c r="B13" s="15" t="str">
        <x:v>从本级升下一级花 1600 金　｜　当前只算科技的产量 = 25 /回合</x:v>
      </x:c>
      <x:c r="C13" s="15" t="str">
        <x:v>production_for_tech 实调</x:v>
      </x:c>
    </x:row>
    <x:row r="14" ht="38" customHeight="1">
      <x:c r="A14" s="11" t="str">
        <x:v>科技 Lv5</x:v>
      </x:c>
      <x:c r="B14" s="11" t="str">
        <x:v>从本级升下一级花 1600 金　｜　当前只算科技的产量 = 35 /回合</x:v>
      </x:c>
      <x:c r="C14" s="11" t="str">
        <x:v>production_for_tech 实调</x:v>
      </x:c>
    </x:row>
    <x:row r="15" ht="38" customHeight="1">
      <x:c r="A15" s="15"/>
      <x:c r="B15" s="15"/>
      <x:c r="C15" s="15"/>
    </x:row>
    <x:row r="16" ht="38" customHeight="1">
      <x:c r="A16" s="11" t="str">
        <x:v>── 萝卜田（按累计花掉的萝卜自动升级）──</x:v>
      </x:c>
      <x:c r="B16" s="11"/>
      <x:c r="C16" s="11"/>
    </x:row>
    <x:row r="17" ht="38" customHeight="1">
      <x:c r="A17" s="15" t="str">
        <x:v>田 Lv0</x:v>
      </x:c>
      <x:c r="B17" s="15" t="str">
        <x:v>累计花费 ≥ 0 萝卜　｜　容量 12　｜　营地收入 +0 金/回合　｜　田额外产量 +0　｜　总产量 科技0=3 / 科技Lv5=35　｜　下一档门槛 9</x:v>
      </x:c>
      <x:c r="C17" s="15" t="str">
        <x:v>farm_* 实调</x:v>
      </x:c>
    </x:row>
    <x:row r="18" ht="38" customHeight="1">
      <x:c r="A18" s="11" t="str">
        <x:v>田 Lv1</x:v>
      </x:c>
      <x:c r="B18" s="11" t="str">
        <x:v>累计花费 ≥ 9 萝卜　｜　容量 24　｜　营地收入 +10 金/回合　｜　田额外产量 +2　｜　总产量 科技0=5 / 科技Lv5=37　｜　下一档门槛 20</x:v>
      </x:c>
      <x:c r="C18" s="11" t="str">
        <x:v>farm_* 实调</x:v>
      </x:c>
    </x:row>
    <x:row r="19" ht="38" customHeight="1">
      <x:c r="A19" s="15" t="str">
        <x:v>田 Lv2</x:v>
      </x:c>
      <x:c r="B19" s="15" t="str">
        <x:v>累计花费 ≥ 20 萝卜　｜　容量 40　｜　营地收入 +25 金/回合　｜　田额外产量 +4　｜　总产量 科技0=7 / 科技Lv5=39　｜　下一档门槛 35</x:v>
      </x:c>
      <x:c r="C19" s="15" t="str">
        <x:v>farm_* 实调</x:v>
      </x:c>
    </x:row>
    <x:row r="20" ht="38" customHeight="1">
      <x:c r="A20" s="11" t="str">
        <x:v>田 Lv3</x:v>
      </x:c>
      <x:c r="B20" s="11" t="str">
        <x:v>累计花费 ≥ 35 萝卜　｜　容量 60　｜　营地收入 +45 金/回合　｜　田额外产量 +6　｜　总产量 科技0=9 / 科技Lv5=41　｜　下一档门槛 55</x:v>
      </x:c>
      <x:c r="C20" s="11" t="str">
        <x:v>farm_* 实调</x:v>
      </x:c>
    </x:row>
    <x:row r="21" ht="38" customHeight="1">
      <x:c r="A21" s="15" t="str">
        <x:v>田 Lv4</x:v>
      </x:c>
      <x:c r="B21" s="15" t="str">
        <x:v>累计花费 ≥ 55 萝卜　｜　容量 90　｜　营地收入 +70 金/回合　｜　田额外产量 +8　｜　总产量 科技0=11 / 科技Lv5=43　｜　下一档门槛 75</x:v>
      </x:c>
      <x:c r="C21" s="15" t="str">
        <x:v>farm_* 实调</x:v>
      </x:c>
    </x:row>
    <x:row r="22" ht="38" customHeight="1">
      <x:c r="A22" s="11" t="str">
        <x:v>田 Lv5</x:v>
      </x:c>
      <x:c r="B22" s="11" t="str">
        <x:v>累计花费 ≥ 75 萝卜　｜　容量 150　｜　营地收入 +100 金/回合　｜　田额外产量 +12　｜　总产量 科技0=15 / 科技Lv5=47　｜　下一档门槛 110</x:v>
      </x:c>
      <x:c r="C22" s="11" t="str">
        <x:v>farm_* 实调</x:v>
      </x:c>
    </x:row>
    <x:row r="23" ht="38" customHeight="1">
      <x:c r="A23" s="15"/>
      <x:c r="B23" s="15"/>
      <x:c r="C23" s="15"/>
    </x:row>
    <x:row r="24" ht="38" customHeight="1">
      <x:c r="A24" s="11" t="str">
        <x:v>── 升级石 / 4★ ──</x:v>
      </x:c>
      <x:c r="B24" s="11"/>
      <x:c r="C24" s="11"/>
    </x:row>
    <x:row r="25" ht="38" customHeight="1">
      <x:c r="A25" s="15" t="str">
        <x:v>★ 抽石价</x:v>
      </x:c>
      <x:c r="B25" s="15" t="str">
        <x:v>升级石每回合最多抽 1 次；按整场累计次数，第 1/2/3 次分别花 50/70/90 萝卜，之后每次 +20。田 Lv3 容量 60 可付首抽；第 3 抽需田 Lv4 容量 90。</x:v>
      </x:c>
      <x:c r="C25" s="15" t="str">
        <x:v>CarrotEconomy.STONE_COST + capacity_for_spent 实调</x:v>
      </x:c>
    </x:row>
    <x:row r="26" ht="38" customHeight="1">
      <x:c r="A26" s="11" t="str">
        <x:v>石头种类</x:v>
      </x:c>
      <x:c r="B26" s="11" t="str">
        <x:v>sky　land　ren（天 / 地 / 人），三者等概率（draw_type_from_roll 三等分）</x:v>
      </x:c>
      <x:c r="C26" s="11" t="str">
        <x:v>CarrotEconomy.STONE_TYPES</x:v>
      </x:c>
    </x:row>
    <x:row r="27" ht="38" customHeight="1">
      <x:c r="A27" s="15" t="str">
        <x:v>★ 4★ 升级条件</x:v>
      </x:c>
      <x:c r="B27" s="15" t="str">
        <x:v>① 已是 3★　② 持有 1 颗与该棋子 element 相同的升级石　③ 金币够：1阶 500金　2阶 800金　3阶 1100金　④ 不能是佣兵</x:v>
      </x:c>
      <x:c r="C27" s="15" t="str">
        <x:v>GameState.four_star_check</x:v>
      </x:c>
    </x:row>
    <x:row r="28" ht="38" customHeight="1">
      <x:c r="A28" s="11" t="str">
        <x:v>4★ 收益</x:v>
      </x:c>
      <x:c r="B28" s="11" t="str">
        <x:v>属性只有 ×1.15（3.0 → 3.45），且只有 HP / 攻击 / 防御三项；真正的价值在 star4 的技能数值覆写（见「02」表）。小灵没有技能，所以给纯属性补偿 ×1.5。</x:v>
      </x:c>
      <x:c r="C28" s="11" t="str">
        <x:v>star_stat_multiplier 实调</x:v>
      </x:c>
    </x:row>
    <x:row r="29" ht="38" customHeight="1">
      <x:c r="A29" s="15" t="str">
        <x:v>石头是队伍共享</x:v>
      </x:c>
      <x:c r="B29" s="15" t="str">
        <x:v>team_upgrade_stones 是队伍共享池，不是个人池</x:v>
      </x:c>
      <x:c r="C29" s="15" t="str">
        <x:v>GameState.team_upgrade_stones</x:v>
      </x:c>
    </x:row>
    <x:row r="30" ht="38" customHeight="1">
      <x:c r="A30" s="11"/>
      <x:c r="B30" s="11"/>
      <x:c r="C30" s="11"/>
    </x:row>
    <x:row r="31" ht="38" customHeight="1">
      <x:c r="A31" s="15" t="str">
        <x:v>── 各佣兵萝卜价 ──</x:v>
      </x:c>
      <x:c r="B31" s="15"/>
      <x:c r="C31" s="15"/>
    </x:row>
    <x:row r="32" ht="38" customHeight="1">
      <x:c r="A32" s="11" t="str">
        <x:v>泡沫术士（merc_pisces_bubble）</x:v>
      </x:c>
      <x:c r="B32" s="11" t="str">
        <x:v>3 萝卜　（cost 字段 50 不是购买价，见「07_佣兵」）</x:v>
      </x:c>
      <x:c r="C32" s="11" t="str">
        <x:v>mercenaries.json</x:v>
      </x:c>
    </x:row>
    <x:row r="33" ht="38" customHeight="1">
      <x:c r="A33" s="15" t="str">
        <x:v>甲壳守卫（merc_cancer_shell）</x:v>
      </x:c>
      <x:c r="B33" s="15" t="str">
        <x:v>6 萝卜　（cost 字段 100 不是购买价，见「07_佣兵」）</x:v>
      </x:c>
      <x:c r="C33" s="15" t="str">
        <x:v>mercenaries.json</x:v>
      </x:c>
    </x:row>
    <x:row r="34" ht="38" customHeight="1">
      <x:c r="A34" s="11" t="str">
        <x:v>审判剑士（merc_libra_judge）</x:v>
      </x:c>
      <x:c r="B34" s="11" t="str">
        <x:v>9 萝卜　（cost 字段 150 不是购买价，见「07_佣兵」）</x:v>
      </x:c>
      <x:c r="C34" s="11" t="str">
        <x:v>mercenaries.json</x:v>
      </x:c>
    </x:row>
    <x:row r="35" ht="38" customHeight="1">
      <x:c r="A35" s="15" t="str">
        <x:v>黄金重骑（merc_taurus_charge）</x:v>
      </x:c>
      <x:c r="B35" s="15" t="str">
        <x:v>12 萝卜　（cost 字段 200 不是购买价，见「07_佣兵」）</x:v>
      </x:c>
      <x:c r="C35" s="15" t="str">
        <x:v>mercenaries.json</x:v>
      </x:c>
    </x:row>
    <x:row r="36" ht="38" customHeight="1">
      <x:c r="A36" s="11" t="str">
        <x:v>圣愈修女（merc_virgo_heal）</x:v>
      </x:c>
      <x:c r="B36" s="11" t="str">
        <x:v>15 萝卜　（cost 字段 250 不是购买价，见「07_佣兵」）</x:v>
      </x:c>
      <x:c r="C36" s="11" t="str">
        <x:v>mercenaries.json</x:v>
      </x:c>
    </x:row>
    <x:row r="37" ht="38" customHeight="1">
      <x:c r="A37" s="15" t="str">
        <x:v>镜像刺客（merc_gemini_assassin）</x:v>
      </x:c>
      <x:c r="B37" s="15" t="str">
        <x:v>18 萝卜　（cost 字段 300 不是购买价，见「07_佣兵」）</x:v>
      </x:c>
      <x:c r="C37" s="15" t="str">
        <x:v>mercenaries.json</x:v>
      </x:c>
    </x:row>
    <x:row r="38" ht="38" customHeight="1">
      <x:c r="A38" s="11" t="str">
        <x:v>炎阳王者（merc_leo_sun）</x:v>
      </x:c>
      <x:c r="B38" s="11" t="str">
        <x:v>21 萝卜　（cost 字段 350 不是购买价，见「07_佣兵」）</x:v>
      </x:c>
      <x:c r="C38" s="11" t="str">
        <x:v>mercenaries.json</x:v>
      </x:c>
    </x:row>
    <x:row r="39" ht="38" customHeight="1">
      <x:c r="A39" s="15" t="str">
        <x:v>星轨猎人（merc_sagittarius_rain）</x:v>
      </x:c>
      <x:c r="B39" s="15" t="str">
        <x:v>24 萝卜　（cost 字段 400 不是购买价，见「07_佣兵」）</x:v>
      </x:c>
      <x:c r="C39" s="15" t="str">
        <x:v>mercenaries.json</x:v>
      </x:c>
    </x:row>
    <x:row r="40" ht="38" customHeight="1">
      <x:c r="A40" s="11" t="str">
        <x:v>狂战先锋（merc_aries_blood）</x:v>
      </x:c>
      <x:c r="B40" s="11" t="str">
        <x:v>27 萝卜　（cost 字段 450 不是购买价，见「07_佣兵」）</x:v>
      </x:c>
      <x:c r="C40" s="11" t="str">
        <x:v>mercenaries.json</x:v>
      </x:c>
    </x:row>
    <x:row r="41" ht="38" customHeight="1">
      <x:c r="A41" s="15" t="str">
        <x:v>黑钢统帅（merc_capricorn_steel）</x:v>
      </x:c>
      <x:c r="B41" s="15" t="str">
        <x:v>30 萝卜　（cost 字段 500 不是购买价，见「07_佣兵」）</x:v>
      </x:c>
      <x:c r="C41" s="15" t="str">
        <x:v>mercenaries.json</x:v>
      </x:c>
    </x:row>
    <x:row r="42" ht="38" customHeight="1">
      <x:c r="A42" s="11" t="str">
        <x:v>时空观测者（merc_aquarius_time）</x:v>
      </x:c>
      <x:c r="B42" s="11" t="str">
        <x:v>33 萝卜　（cost 字段 550 不是购买价，见「07_佣兵」）</x:v>
      </x:c>
      <x:c r="C42" s="11" t="str">
        <x:v>mercenaries.json</x:v>
      </x:c>
    </x:row>
    <x:row r="43" ht="38" customHeight="1">
      <x:c r="A43" s="15" t="str">
        <x:v>冥界执行者（merc_scorpio_death）</x:v>
      </x:c>
      <x:c r="B43" s="15" t="str">
        <x:v>36 萝卜　（cost 字段 600 不是购买价，见「07_佣兵」）</x:v>
      </x:c>
      <x:c r="C43" s="15" t="str">
        <x:v>mercenaries.json</x:v>
      </x:c>
    </x:row>
    <x:row r="44" ht="38" customHeight="1">
      <x:c r="A44" s="11"/>
      <x:c r="B44" s="11"/>
      <x:c r="C44" s="11"/>
    </x:row>
    <x:row r="45" ht="38" customHeight="1">
      <x:c r="A45" s="15" t="str">
        <x:v>── 接近满容量时的收割实测（验证溢出）──</x:v>
      </x:c>
      <x:c r="B45" s="15"/>
      <x:c r="C45" s="15"/>
    </x:row>
    <x:row r="46" ht="38" customHeight="1">
      <x:c r="A46" s="11" t="str">
        <x:v>累计花费 0 / 科技 Lv0</x:v>
      </x:c>
      <x:c r="B46" s="11" t="str">
        <x:v>容量 12，产量 3，只差 1 格时实收 1，溢出丢弃 2</x:v>
      </x:c>
      <x:c r="C46" s="11" t="str">
        <x:v>CarrotEconomy.harvest 实调</x:v>
      </x:c>
    </x:row>
    <x:row r="47" ht="38" customHeight="1">
      <x:c r="A47" s="15" t="str">
        <x:v>累计花费 0 / 科技 Lv3</x:v>
      </x:c>
      <x:c r="B47" s="15" t="str">
        <x:v>容量 12，产量 13，只差 1 格时实收 1，溢出丢弃 12</x:v>
      </x:c>
      <x:c r="C47" s="15" t="str">
        <x:v>CarrotEconomy.harvest 实调</x:v>
      </x:c>
    </x:row>
    <x:row r="48" ht="38" customHeight="1">
      <x:c r="A48" s="11" t="str">
        <x:v>累计花费 0 / 科技 Lv5</x:v>
      </x:c>
      <x:c r="B48" s="11" t="str">
        <x:v>容量 12，产量 35，只差 1 格时实收 1，溢出丢弃 34</x:v>
      </x:c>
      <x:c r="C48" s="11" t="str">
        <x:v>CarrotEconomy.harvest 实调</x:v>
      </x:c>
    </x:row>
    <x:row r="49" ht="38" customHeight="1">
      <x:c r="A49" s="15" t="str">
        <x:v>累计花费 9 / 科技 Lv0</x:v>
      </x:c>
      <x:c r="B49" s="15" t="str">
        <x:v>容量 24，产量 5，只差 1 格时实收 1，溢出丢弃 4</x:v>
      </x:c>
      <x:c r="C49" s="15" t="str">
        <x:v>CarrotEconomy.harvest 实调</x:v>
      </x:c>
    </x:row>
    <x:row r="50" ht="38" customHeight="1">
      <x:c r="A50" s="11" t="str">
        <x:v>累计花费 9 / 科技 Lv3</x:v>
      </x:c>
      <x:c r="B50" s="11" t="str">
        <x:v>容量 24，产量 15，只差 1 格时实收 1，溢出丢弃 14</x:v>
      </x:c>
      <x:c r="C50" s="11" t="str">
        <x:v>CarrotEconomy.harvest 实调</x:v>
      </x:c>
    </x:row>
    <x:row r="51" ht="38" customHeight="1">
      <x:c r="A51" s="15" t="str">
        <x:v>累计花费 9 / 科技 Lv5</x:v>
      </x:c>
      <x:c r="B51" s="15" t="str">
        <x:v>容量 24，产量 37，只差 1 格时实收 1，溢出丢弃 36</x:v>
      </x:c>
      <x:c r="C51" s="15" t="str">
        <x:v>CarrotEconomy.harvest 实调</x:v>
      </x:c>
    </x:row>
    <x:row r="52" ht="38" customHeight="1">
      <x:c r="A52" s="11" t="str">
        <x:v>累计花费 20 / 科技 Lv0</x:v>
      </x:c>
      <x:c r="B52" s="11" t="str">
        <x:v>容量 40，产量 7，只差 1 格时实收 1，溢出丢弃 6</x:v>
      </x:c>
      <x:c r="C52" s="11" t="str">
        <x:v>CarrotEconomy.harvest 实调</x:v>
      </x:c>
    </x:row>
    <x:row r="53" ht="38" customHeight="1">
      <x:c r="A53" s="15" t="str">
        <x:v>累计花费 20 / 科技 Lv3</x:v>
      </x:c>
      <x:c r="B53" s="15" t="str">
        <x:v>容量 40，产量 17，只差 1 格时实收 1，溢出丢弃 16</x:v>
      </x:c>
      <x:c r="C53" s="15" t="str">
        <x:v>CarrotEconomy.harvest 实调</x:v>
      </x:c>
    </x:row>
    <x:row r="54" ht="38" customHeight="1">
      <x:c r="A54" s="11" t="str">
        <x:v>累计花费 20 / 科技 Lv5</x:v>
      </x:c>
      <x:c r="B54" s="11" t="str">
        <x:v>容量 40，产量 39，只差 1 格时实收 1，溢出丢弃 38</x:v>
      </x:c>
      <x:c r="C54" s="11" t="str">
        <x:v>CarrotEconomy.harvest 实调</x:v>
      </x:c>
    </x:row>
    <x:row r="55" ht="38" customHeight="1">
      <x:c r="A55" s="15" t="str">
        <x:v>累计花费 35 / 科技 Lv0</x:v>
      </x:c>
      <x:c r="B55" s="15" t="str">
        <x:v>容量 60，产量 9，只差 1 格时实收 1，溢出丢弃 8</x:v>
      </x:c>
      <x:c r="C55" s="15" t="str">
        <x:v>CarrotEconomy.harvest 实调</x:v>
      </x:c>
    </x:row>
    <x:row r="56" ht="38" customHeight="1">
      <x:c r="A56" s="11" t="str">
        <x:v>累计花费 35 / 科技 Lv3</x:v>
      </x:c>
      <x:c r="B56" s="11" t="str">
        <x:v>容量 60，产量 19，只差 1 格时实收 1，溢出丢弃 18</x:v>
      </x:c>
      <x:c r="C56" s="11" t="str">
        <x:v>CarrotEconomy.harvest 实调</x:v>
      </x:c>
    </x:row>
    <x:row r="57" ht="38" customHeight="1">
      <x:c r="A57" s="15" t="str">
        <x:v>累计花费 35 / 科技 Lv5</x:v>
      </x:c>
      <x:c r="B57" s="15" t="str">
        <x:v>容量 60，产量 41，只差 1 格时实收 1，溢出丢弃 40</x:v>
      </x:c>
      <x:c r="C57" s="15" t="str">
        <x:v>CarrotEconomy.harvest 实调</x:v>
      </x:c>
    </x:row>
    <x:row r="58" ht="38" customHeight="1">
      <x:c r="A58" s="11" t="str">
        <x:v>累计花费 55 / 科技 Lv0</x:v>
      </x:c>
      <x:c r="B58" s="11" t="str">
        <x:v>容量 90，产量 11，只差 1 格时实收 1，溢出丢弃 10</x:v>
      </x:c>
      <x:c r="C58" s="11" t="str">
        <x:v>CarrotEconomy.harvest 实调</x:v>
      </x:c>
    </x:row>
    <x:row r="59" ht="38" customHeight="1">
      <x:c r="A59" s="15" t="str">
        <x:v>累计花费 55 / 科技 Lv3</x:v>
      </x:c>
      <x:c r="B59" s="15" t="str">
        <x:v>容量 90，产量 21，只差 1 格时实收 1，溢出丢弃 20</x:v>
      </x:c>
      <x:c r="C59" s="15" t="str">
        <x:v>CarrotEconomy.harvest 实调</x:v>
      </x:c>
    </x:row>
    <x:row r="60" ht="38" customHeight="1">
      <x:c r="A60" s="11" t="str">
        <x:v>累计花费 55 / 科技 Lv5</x:v>
      </x:c>
      <x:c r="B60" s="11" t="str">
        <x:v>容量 90，产量 43，只差 1 格时实收 1，溢出丢弃 42</x:v>
      </x:c>
      <x:c r="C60" s="11" t="str">
        <x:v>CarrotEconomy.harvest 实调</x:v>
      </x:c>
    </x:row>
    <x:row r="61" ht="38" customHeight="1">
      <x:c r="A61" s="15" t="str">
        <x:v>累计花费 75 / 科技 Lv0</x:v>
      </x:c>
      <x:c r="B61" s="15" t="str">
        <x:v>容量 150，产量 15，只差 1 格时实收 1，溢出丢弃 14</x:v>
      </x:c>
      <x:c r="C61" s="15" t="str">
        <x:v>CarrotEconomy.harvest 实调</x:v>
      </x:c>
    </x:row>
    <x:row r="62" ht="38" customHeight="1">
      <x:c r="A62" s="11" t="str">
        <x:v>累计花费 75 / 科技 Lv3</x:v>
      </x:c>
      <x:c r="B62" s="11" t="str">
        <x:v>容量 150，产量 25，只差 1 格时实收 1，溢出丢弃 24</x:v>
      </x:c>
      <x:c r="C62" s="11" t="str">
        <x:v>CarrotEconomy.harvest 实调</x:v>
      </x:c>
    </x:row>
    <x:row r="63" ht="38" customHeight="1">
      <x:c r="A63" s="15" t="str">
        <x:v>累计花费 75 / 科技 Lv5</x:v>
      </x:c>
      <x:c r="B63" s="15" t="str">
        <x:v>容量 150，产量 47，只差 1 格时实收 1，溢出丢弃 46</x:v>
      </x:c>
      <x:c r="C63" s="15" t="str">
        <x:v>CarrotEconomy.harvest 实调</x:v>
      </x:c>
    </x:row>
    <x:row r="64" ht="38" customHeight="1">
      <x:c r="A64" s="11"/>
      <x:c r="B64" s="11"/>
      <x:c r="C64" s="11"/>
    </x:row>
    <x:row r="65" ht="38" customHeight="1">
      <x:c r="A65" s="15" t="str">
        <x:v>── 采集科技 Lv6~Lv9 实测（Lv10 起每级产量再 +10）──</x:v>
      </x:c>
      <x:c r="B65" s="15"/>
      <x:c r="C65" s="15"/>
    </x:row>
    <x:row r="66" ht="38" customHeight="1">
      <x:c r="A66" s="11" t="str">
        <x:v>科技 Lv6</x:v>
      </x:c>
      <x:c r="B66" s="11" t="str">
        <x:v>从本级升下一级花 1600 金　｜　当前只算科技的产量 = 45 /回合</x:v>
      </x:c>
      <x:c r="C66" s="11" t="str">
        <x:v>CarrotEconomy.production_for_tech 实调</x:v>
      </x:c>
    </x:row>
    <x:row r="67" ht="38" customHeight="1">
      <x:c r="A67" s="15" t="str">
        <x:v>科技 Lv7</x:v>
      </x:c>
      <x:c r="B67" s="15" t="str">
        <x:v>从本级升下一级花 1600 金　｜　当前只算科技的产量 = 55 /回合</x:v>
      </x:c>
      <x:c r="C67" s="15" t="str">
        <x:v>CarrotEconomy.production_for_tech 实调</x:v>
      </x:c>
    </x:row>
    <x:row r="68" ht="38" customHeight="1">
      <x:c r="A68" s="11" t="str">
        <x:v>科技 Lv8</x:v>
      </x:c>
      <x:c r="B68" s="11" t="str">
        <x:v>从本级升下一级花 1600 金　｜　当前只算科技的产量 = 65 /回合</x:v>
      </x:c>
      <x:c r="C68" s="11" t="str">
        <x:v>CarrotEconomy.production_for_tech 实调</x:v>
      </x:c>
    </x:row>
    <x:row r="69" ht="38" customHeight="1">
      <x:c r="A69" s="15" t="str">
        <x:v>科技 Lv9</x:v>
      </x:c>
      <x:c r="B69" s="15" t="str">
        <x:v>从本级升下一级花 1600 金　｜　当前只算科技的产量 = 75 /回合</x:v>
      </x:c>
      <x:c r="C69" s="15" t="str">
        <x:v>CarrotEconomy.production_for_tech 实调</x:v>
      </x:c>
    </x:row>
    <x:row r="70" ht="38" customHeight="1">
      <x:c r="A70" s="11"/>
      <x:c r="B70" s="11"/>
      <x:c r="C70" s="11"/>
    </x:row>
    <x:row r="71" ht="38" customHeight="1">
      <x:c r="A71" s="15" t="str">
        <x:v>── 萝卜田 Lv6~Lv11 实测（Lv12 起按公式继续增长）──</x:v>
      </x:c>
      <x:c r="B71" s="15"/>
      <x:c r="C71" s="15"/>
    </x:row>
    <x:row r="72" ht="38" customHeight="1">
      <x:c r="A72" s="11" t="str">
        <x:v>田 Lv6</x:v>
      </x:c>
      <x:c r="B72" s="11" t="str">
        <x:v>累计花费 ≥ 110 萝卜　｜　容量 220　｜　营地收入 +110 金/回合　｜　田额外产量 +14　｜　总产量 科技0=17 / 科技Lv5=49　｜　下一档门槛 155</x:v>
      </x:c>
      <x:c r="C72" s="11" t="str">
        <x:v>CarrotEconomy.farm_* 实调</x:v>
      </x:c>
    </x:row>
    <x:row r="73" ht="38" customHeight="1">
      <x:c r="A73" s="15" t="str">
        <x:v>田 Lv7</x:v>
      </x:c>
      <x:c r="B73" s="15" t="str">
        <x:v>累计花费 ≥ 155 萝卜　｜　容量 300　｜　营地收入 +120 金/回合　｜　田额外产量 +16　｜　总产量 科技0=19 / 科技Lv5=51　｜　下一档门槛 210</x:v>
      </x:c>
      <x:c r="C73" s="15" t="str">
        <x:v>CarrotEconomy.farm_* 实调</x:v>
      </x:c>
    </x:row>
    <x:row r="74" ht="38" customHeight="1">
      <x:c r="A74" s="11" t="str">
        <x:v>田 Lv8</x:v>
      </x:c>
      <x:c r="B74" s="11" t="str">
        <x:v>累计花费 ≥ 210 萝卜　｜　容量 390　｜　营地收入 +130 金/回合　｜　田额外产量 +18　｜　总产量 科技0=21 / 科技Lv5=53　｜　下一档门槛 275</x:v>
      </x:c>
      <x:c r="C74" s="11" t="str">
        <x:v>CarrotEconomy.farm_* 实调</x:v>
      </x:c>
    </x:row>
    <x:row r="75" ht="38" customHeight="1">
      <x:c r="A75" s="15" t="str">
        <x:v>田 Lv9</x:v>
      </x:c>
      <x:c r="B75" s="15" t="str">
        <x:v>累计花费 ≥ 275 萝卜　｜　容量 490　｜　营地收入 +140 金/回合　｜　田额外产量 +20　｜　总产量 科技0=23 / 科技Lv5=55　｜　下一档门槛 350</x:v>
      </x:c>
      <x:c r="C75" s="15" t="str">
        <x:v>CarrotEconomy.farm_* 实调</x:v>
      </x:c>
    </x:row>
    <x:row r="76" ht="38" customHeight="1">
      <x:c r="A76" s="11" t="str">
        <x:v>田 Lv10</x:v>
      </x:c>
      <x:c r="B76" s="11" t="str">
        <x:v>累计花费 ≥ 350 萝卜　｜　容量 600　｜　营地收入 +150 金/回合　｜　田额外产量 +22　｜　总产量 科技0=25 / 科技Lv5=57　｜　下一档门槛 435</x:v>
      </x:c>
      <x:c r="C76" s="11" t="str">
        <x:v>CarrotEconomy.farm_* 实调</x:v>
      </x:c>
    </x:row>
    <x:row r="77" ht="38" customHeight="1">
      <x:c r="A77" s="15" t="str">
        <x:v>田 Lv11</x:v>
      </x:c>
      <x:c r="B77" s="15" t="str">
        <x:v>累计花费 ≥ 435 萝卜　｜　容量 720　｜　营地收入 +160 金/回合　｜　田额外产量 +24　｜　总产量 科技0=27 / 科技Lv5=59　｜　下一档门槛 530</x:v>
      </x:c>
      <x:c r="C77" s="15" t="str">
        <x:v>CarrotEconomy.farm_* 实调</x:v>
      </x:c>
    </x:row>
  </x:sheetData>
  <x:mergeCells>
    <x:mergeCell ref="A1:C1"/>
    <x:mergeCell ref="A2:C2"/>
  </x:mergeCells>
  <x:pageMargins left="0.7" right="0.7" top="0.75" bottom="0.75" header="0.3" footer="0.3"/>
</x:worksheet>
</file>

<file path=xl/worksheets/sheet14.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12" hidden="0" customWidth="1"/>
    <x:col min="2" max="2" width="16" hidden="0" customWidth="1"/>
    <x:col min="3" max="3" width="15" hidden="0" customWidth="1"/>
    <x:col min="4" max="4" width="15" hidden="0" customWidth="1"/>
    <x:col min="5" max="5" width="12"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8" hidden="0" customWidth="1"/>
    <x:col min="14" max="14" width="18" hidden="0" customWidth="1"/>
    <x:col min="15" max="15" width="13" hidden="0" customWidth="1"/>
    <x:col min="16" max="16" width="13" hidden="0" customWidth="1"/>
    <x:col min="17" max="17" width="13" hidden="0" customWidth="1"/>
  </x:cols>
  <x:sheetData>
    <x:row r="1" ht="34" customHeight="1">
      <x:c r="A1" s="2" t="str">
        <x:v>13_回合与商店</x:v>
      </x:c>
      <x:c r="B1" s="2"/>
      <x:c r="C1" s="2"/>
      <x:c r="D1" s="2"/>
      <x:c r="E1" s="2"/>
      <x:c r="F1" s="2"/>
      <x:c r="G1" s="2"/>
      <x:c r="H1" s="2"/>
      <x:c r="I1" s="2"/>
      <x:c r="J1" s="2"/>
      <x:c r="K1" s="2"/>
      <x:c r="L1" s="2"/>
      <x:c r="M1" s="2"/>
      <x:c r="N1" s="2"/>
      <x:c r="O1" s="2"/>
      <x:c r="P1" s="2"/>
      <x:c r="Q1" s="2"/>
    </x:row>
    <x:row r="2" ht="32" customHeight="1">
      <x:c r="A2" s="4" t="str">
        <x:v>21 回合、怪物/Boss 成长、宝藏节点和商店阶级概率。</x:v>
      </x:c>
      <x:c r="B2" s="4"/>
      <x:c r="C2" s="4"/>
      <x:c r="D2" s="4"/>
      <x:c r="E2" s="4"/>
      <x:c r="F2" s="4"/>
      <x:c r="G2" s="4"/>
      <x:c r="H2" s="4"/>
      <x:c r="I2" s="4"/>
      <x:c r="J2" s="4"/>
      <x:c r="K2" s="4"/>
      <x:c r="L2" s="4"/>
      <x:c r="M2" s="4"/>
      <x:c r="N2" s="4"/>
      <x:c r="O2" s="4"/>
      <x:c r="P2" s="4"/>
      <x:c r="Q2" s="4"/>
    </x:row>
    <x:row r="3" ht="28" customHeight="1">
      <x:c r="A3" s="7" t="str">
        <x:v>回合</x:v>
      </x:c>
      <x:c r="B3" s="7" t="str">
        <x:v>局型</x:v>
      </x:c>
      <x:c r="C3" s="7" t="str">
        <x:v>宝藏回合</x:v>
      </x:c>
      <x:c r="D3" s="7" t="str">
        <x:v>每路野怪数</x:v>
      </x:c>
      <x:c r="E3" s="7" t="str">
        <x:v>已完PVE</x:v>
      </x:c>
      <x:c r="F3" s="7" t="str">
        <x:v>怪HP×</x:v>
      </x:c>
      <x:c r="G3" s="7" t="str">
        <x:v>怪攻×</x:v>
      </x:c>
      <x:c r="H3" s="7" t="str">
        <x:v>怪防×</x:v>
      </x:c>
      <x:c r="I3" s="7" t="str">
        <x:v>已完Boss</x:v>
      </x:c>
      <x:c r="J3" s="7" t="str">
        <x:v>BossHP×</x:v>
      </x:c>
      <x:c r="K3" s="7" t="str">
        <x:v>Boss攻×</x:v>
      </x:c>
      <x:c r="L3" s="7" t="str">
        <x:v>Boss防×</x:v>
      </x:c>
      <x:c r="M3" s="7" t="str">
        <x:v>PVE胜利奖励</x:v>
      </x:c>
      <x:c r="N3" s="7" t="str">
        <x:v>Boss胜利奖励</x:v>
      </x:c>
      <x:c r="O3" s="7" t="str">
        <x:v>商店1阶</x:v>
      </x:c>
      <x:c r="P3" s="7" t="str">
        <x:v>商店2阶</x:v>
      </x:c>
      <x:c r="Q3" s="7" t="str">
        <x:v>商店3阶</x:v>
      </x:c>
    </x:row>
    <x:row r="4" ht="38" customHeight="1">
      <x:c r="A4" s="11" t="n">
        <x:v>1</x:v>
      </x:c>
      <x:c r="B4" s="11" t="str">
        <x:v>pve</x:v>
      </x:c>
      <x:c r="C4" s="11"/>
      <x:c r="D4" s="11" t="n">
        <x:v>3</x:v>
      </x:c>
      <x:c r="E4" s="11" t="n">
        <x:v>0</x:v>
      </x:c>
      <x:c r="F4" s="11" t="str">
        <x:v>×1.00</x:v>
      </x:c>
      <x:c r="G4" s="11" t="str">
        <x:v>×1.00</x:v>
      </x:c>
      <x:c r="H4" s="11" t="str">
        <x:v>×1.00</x:v>
      </x:c>
      <x:c r="I4" s="11" t="n">
        <x:v>0</x:v>
      </x:c>
      <x:c r="J4" s="11" t="str">
        <x:v>×1.00</x:v>
      </x:c>
      <x:c r="K4" s="11" t="str">
        <x:v>×1.00</x:v>
      </x:c>
      <x:c r="L4" s="11" t="str">
        <x:v>×1.00</x:v>
      </x:c>
      <x:c r="M4" s="11" t="n">
        <x:v>10</x:v>
      </x:c>
      <x:c r="N4" s="11" t="n">
        <x:v>0</x:v>
      </x:c>
      <x:c r="O4" s="11" t="n">
        <x:v>0.8</x:v>
      </x:c>
      <x:c r="P4" s="11" t="n">
        <x:v>0.2</x:v>
      </x:c>
      <x:c r="Q4" s="11" t="n">
        <x:v>0</x:v>
      </x:c>
    </x:row>
    <x:row r="5" ht="38" customHeight="1">
      <x:c r="A5" s="15" t="n">
        <x:v>2</x:v>
      </x:c>
      <x:c r="B5" s="15" t="str">
        <x:v>pve</x:v>
      </x:c>
      <x:c r="C5" s="15"/>
      <x:c r="D5" s="15" t="n">
        <x:v>4</x:v>
      </x:c>
      <x:c r="E5" s="15" t="n">
        <x:v>1</x:v>
      </x:c>
      <x:c r="F5" s="15" t="str">
        <x:v>×1.10</x:v>
      </x:c>
      <x:c r="G5" s="15" t="str">
        <x:v>×1.08</x:v>
      </x:c>
      <x:c r="H5" s="15" t="str">
        <x:v>×1.05</x:v>
      </x:c>
      <x:c r="I5" s="15" t="n">
        <x:v>0</x:v>
      </x:c>
      <x:c r="J5" s="15" t="str">
        <x:v>×1.00</x:v>
      </x:c>
      <x:c r="K5" s="15" t="str">
        <x:v>×1.00</x:v>
      </x:c>
      <x:c r="L5" s="15" t="str">
        <x:v>×1.00</x:v>
      </x:c>
      <x:c r="M5" s="15" t="n">
        <x:v>20</x:v>
      </x:c>
      <x:c r="N5" s="15" t="n">
        <x:v>0</x:v>
      </x:c>
      <x:c r="O5" s="15" t="n">
        <x:v>0.8</x:v>
      </x:c>
      <x:c r="P5" s="15" t="n">
        <x:v>0.2</x:v>
      </x:c>
      <x:c r="Q5" s="15" t="n">
        <x:v>0</x:v>
      </x:c>
    </x:row>
    <x:row r="6" ht="38" customHeight="1">
      <x:c r="A6" s="11" t="n">
        <x:v>3</x:v>
      </x:c>
      <x:c r="B6" s="11" t="str">
        <x:v>pve</x:v>
      </x:c>
      <x:c r="C6" s="11"/>
      <x:c r="D6" s="11" t="n">
        <x:v>5</x:v>
      </x:c>
      <x:c r="E6" s="11" t="n">
        <x:v>2</x:v>
      </x:c>
      <x:c r="F6" s="11" t="str">
        <x:v>×1.21</x:v>
      </x:c>
      <x:c r="G6" s="11" t="str">
        <x:v>×1.17</x:v>
      </x:c>
      <x:c r="H6" s="11" t="str">
        <x:v>×1.10</x:v>
      </x:c>
      <x:c r="I6" s="11" t="n">
        <x:v>0</x:v>
      </x:c>
      <x:c r="J6" s="11" t="str">
        <x:v>×1.00</x:v>
      </x:c>
      <x:c r="K6" s="11" t="str">
        <x:v>×1.00</x:v>
      </x:c>
      <x:c r="L6" s="11" t="str">
        <x:v>×1.00</x:v>
      </x:c>
      <x:c r="M6" s="11" t="n">
        <x:v>30</x:v>
      </x:c>
      <x:c r="N6" s="11" t="n">
        <x:v>0</x:v>
      </x:c>
      <x:c r="O6" s="11" t="n">
        <x:v>0.8</x:v>
      </x:c>
      <x:c r="P6" s="11" t="n">
        <x:v>0.2</x:v>
      </x:c>
      <x:c r="Q6" s="11" t="n">
        <x:v>0</x:v>
      </x:c>
    </x:row>
    <x:row r="7" ht="38" customHeight="1">
      <x:c r="A7" s="15" t="n">
        <x:v>4</x:v>
      </x:c>
      <x:c r="B7" s="15" t="str">
        <x:v>pve</x:v>
      </x:c>
      <x:c r="C7" s="15" t="str">
        <x:v>是</x:v>
      </x:c>
      <x:c r="D7" s="15" t="n">
        <x:v>5</x:v>
      </x:c>
      <x:c r="E7" s="15" t="n">
        <x:v>3</x:v>
      </x:c>
      <x:c r="F7" s="15" t="str">
        <x:v>×1.33</x:v>
      </x:c>
      <x:c r="G7" s="15" t="str">
        <x:v>×1.26</x:v>
      </x:c>
      <x:c r="H7" s="15" t="str">
        <x:v>×1.16</x:v>
      </x:c>
      <x:c r="I7" s="15" t="n">
        <x:v>0</x:v>
      </x:c>
      <x:c r="J7" s="15" t="str">
        <x:v>×1.00</x:v>
      </x:c>
      <x:c r="K7" s="15" t="str">
        <x:v>×1.00</x:v>
      </x:c>
      <x:c r="L7" s="15" t="str">
        <x:v>×1.00</x:v>
      </x:c>
      <x:c r="M7" s="15" t="n">
        <x:v>40</x:v>
      </x:c>
      <x:c r="N7" s="15" t="n">
        <x:v>0</x:v>
      </x:c>
      <x:c r="O7" s="15" t="n">
        <x:v>0.8</x:v>
      </x:c>
      <x:c r="P7" s="15" t="n">
        <x:v>0.2</x:v>
      </x:c>
      <x:c r="Q7" s="15" t="n">
        <x:v>0</x:v>
      </x:c>
    </x:row>
    <x:row r="8" ht="38" customHeight="1">
      <x:c r="A8" s="11" t="n">
        <x:v>5</x:v>
      </x:c>
      <x:c r="B8" s="11" t="str">
        <x:v>boss</x:v>
      </x:c>
      <x:c r="C8" s="11"/>
      <x:c r="D8" s="11" t="n">
        <x:v>3</x:v>
      </x:c>
      <x:c r="E8" s="11" t="n">
        <x:v>4</x:v>
      </x:c>
      <x:c r="F8" s="11" t="str">
        <x:v>×1.46</x:v>
      </x:c>
      <x:c r="G8" s="11" t="str">
        <x:v>×1.36</x:v>
      </x:c>
      <x:c r="H8" s="11" t="str">
        <x:v>×1.22</x:v>
      </x:c>
      <x:c r="I8" s="11" t="n">
        <x:v>0</x:v>
      </x:c>
      <x:c r="J8" s="11" t="str">
        <x:v>×1.00</x:v>
      </x:c>
      <x:c r="K8" s="11" t="str">
        <x:v>×1.00</x:v>
      </x:c>
      <x:c r="L8" s="11" t="str">
        <x:v>×1.00</x:v>
      </x:c>
      <x:c r="M8" s="11" t="n">
        <x:v>50</x:v>
      </x:c>
      <x:c r="N8" s="11" t="n">
        <x:v>100</x:v>
      </x:c>
      <x:c r="O8" s="11" t="n">
        <x:v>0.5</x:v>
      </x:c>
      <x:c r="P8" s="11" t="n">
        <x:v>0.5</x:v>
      </x:c>
      <x:c r="Q8" s="11" t="n">
        <x:v>0</x:v>
      </x:c>
    </x:row>
    <x:row r="9" ht="38" customHeight="1">
      <x:c r="A9" s="15" t="n">
        <x:v>6</x:v>
      </x:c>
      <x:c r="B9" s="15" t="str">
        <x:v>pvp</x:v>
      </x:c>
      <x:c r="C9" s="15"/>
      <x:c r="D9" s="15" t="n">
        <x:v>0</x:v>
      </x:c>
      <x:c r="E9" s="15" t="n">
        <x:v>4</x:v>
      </x:c>
      <x:c r="F9" s="15" t="str">
        <x:v>×1.46</x:v>
      </x:c>
      <x:c r="G9" s="15" t="str">
        <x:v>×1.36</x:v>
      </x:c>
      <x:c r="H9" s="15" t="str">
        <x:v>×1.22</x:v>
      </x:c>
      <x:c r="I9" s="15" t="n">
        <x:v>1</x:v>
      </x:c>
      <x:c r="J9" s="15" t="str">
        <x:v>×1.45</x:v>
      </x:c>
      <x:c r="K9" s="15" t="str">
        <x:v>×1.35</x:v>
      </x:c>
      <x:c r="L9" s="15" t="str">
        <x:v>×1.30</x:v>
      </x:c>
      <x:c r="M9" s="15" t="n">
        <x:v>60</x:v>
      </x:c>
      <x:c r="N9" s="15" t="n">
        <x:v>0</x:v>
      </x:c>
      <x:c r="O9" s="15" t="n">
        <x:v>0.5</x:v>
      </x:c>
      <x:c r="P9" s="15" t="n">
        <x:v>0.5</x:v>
      </x:c>
      <x:c r="Q9" s="15" t="n">
        <x:v>0</x:v>
      </x:c>
    </x:row>
    <x:row r="10" ht="38" customHeight="1">
      <x:c r="A10" s="11" t="n">
        <x:v>7</x:v>
      </x:c>
      <x:c r="B10" s="11" t="str">
        <x:v>pve</x:v>
      </x:c>
      <x:c r="C10" s="11"/>
      <x:c r="D10" s="11" t="n">
        <x:v>6</x:v>
      </x:c>
      <x:c r="E10" s="11" t="n">
        <x:v>4</x:v>
      </x:c>
      <x:c r="F10" s="11" t="str">
        <x:v>×1.46</x:v>
      </x:c>
      <x:c r="G10" s="11" t="str">
        <x:v>×1.36</x:v>
      </x:c>
      <x:c r="H10" s="11" t="str">
        <x:v>×1.22</x:v>
      </x:c>
      <x:c r="I10" s="11" t="n">
        <x:v>1</x:v>
      </x:c>
      <x:c r="J10" s="11" t="str">
        <x:v>×1.45</x:v>
      </x:c>
      <x:c r="K10" s="11" t="str">
        <x:v>×1.35</x:v>
      </x:c>
      <x:c r="L10" s="11" t="str">
        <x:v>×1.30</x:v>
      </x:c>
      <x:c r="M10" s="11" t="n">
        <x:v>70</x:v>
      </x:c>
      <x:c r="N10" s="11" t="n">
        <x:v>0</x:v>
      </x:c>
      <x:c r="O10" s="11" t="n">
        <x:v>0.5</x:v>
      </x:c>
      <x:c r="P10" s="11" t="n">
        <x:v>0.5</x:v>
      </x:c>
      <x:c r="Q10" s="11" t="n">
        <x:v>0</x:v>
      </x:c>
    </x:row>
    <x:row r="11" ht="38" customHeight="1">
      <x:c r="A11" s="15" t="n">
        <x:v>8</x:v>
      </x:c>
      <x:c r="B11" s="15" t="str">
        <x:v>pve</x:v>
      </x:c>
      <x:c r="C11" s="15" t="str">
        <x:v>是</x:v>
      </x:c>
      <x:c r="D11" s="15" t="n">
        <x:v>6</x:v>
      </x:c>
      <x:c r="E11" s="15" t="n">
        <x:v>5</x:v>
      </x:c>
      <x:c r="F11" s="15" t="str">
        <x:v>×1.61</x:v>
      </x:c>
      <x:c r="G11" s="15" t="str">
        <x:v>×1.47</x:v>
      </x:c>
      <x:c r="H11" s="15" t="str">
        <x:v>×1.28</x:v>
      </x:c>
      <x:c r="I11" s="15" t="n">
        <x:v>1</x:v>
      </x:c>
      <x:c r="J11" s="15" t="str">
        <x:v>×1.45</x:v>
      </x:c>
      <x:c r="K11" s="15" t="str">
        <x:v>×1.35</x:v>
      </x:c>
      <x:c r="L11" s="15" t="str">
        <x:v>×1.30</x:v>
      </x:c>
      <x:c r="M11" s="15" t="n">
        <x:v>80</x:v>
      </x:c>
      <x:c r="N11" s="15" t="n">
        <x:v>0</x:v>
      </x:c>
      <x:c r="O11" s="15" t="n">
        <x:v>0.5</x:v>
      </x:c>
      <x:c r="P11" s="15" t="n">
        <x:v>0.5</x:v>
      </x:c>
      <x:c r="Q11" s="15" t="n">
        <x:v>0</x:v>
      </x:c>
    </x:row>
    <x:row r="12" ht="38" customHeight="1">
      <x:c r="A12" s="11" t="n">
        <x:v>9</x:v>
      </x:c>
      <x:c r="B12" s="11" t="str">
        <x:v>pve</x:v>
      </x:c>
      <x:c r="C12" s="11"/>
      <x:c r="D12" s="11" t="n">
        <x:v>6</x:v>
      </x:c>
      <x:c r="E12" s="11" t="n">
        <x:v>6</x:v>
      </x:c>
      <x:c r="F12" s="11" t="str">
        <x:v>×1.77</x:v>
      </x:c>
      <x:c r="G12" s="11" t="str">
        <x:v>×1.59</x:v>
      </x:c>
      <x:c r="H12" s="11" t="str">
        <x:v>×1.34</x:v>
      </x:c>
      <x:c r="I12" s="11" t="n">
        <x:v>1</x:v>
      </x:c>
      <x:c r="J12" s="11" t="str">
        <x:v>×1.45</x:v>
      </x:c>
      <x:c r="K12" s="11" t="str">
        <x:v>×1.35</x:v>
      </x:c>
      <x:c r="L12" s="11" t="str">
        <x:v>×1.30</x:v>
      </x:c>
      <x:c r="M12" s="11" t="n">
        <x:v>90</x:v>
      </x:c>
      <x:c r="N12" s="11" t="n">
        <x:v>0</x:v>
      </x:c>
      <x:c r="O12" s="11" t="n">
        <x:v>0.5</x:v>
      </x:c>
      <x:c r="P12" s="11" t="n">
        <x:v>0.5</x:v>
      </x:c>
      <x:c r="Q12" s="11" t="n">
        <x:v>0</x:v>
      </x:c>
    </x:row>
    <x:row r="13" ht="38" customHeight="1">
      <x:c r="A13" s="15" t="n">
        <x:v>10</x:v>
      </x:c>
      <x:c r="B13" s="15" t="str">
        <x:v>boss</x:v>
      </x:c>
      <x:c r="C13" s="15"/>
      <x:c r="D13" s="15" t="n">
        <x:v>3</x:v>
      </x:c>
      <x:c r="E13" s="15" t="n">
        <x:v>7</x:v>
      </x:c>
      <x:c r="F13" s="15" t="str">
        <x:v>×1.95</x:v>
      </x:c>
      <x:c r="G13" s="15" t="str">
        <x:v>×1.71</x:v>
      </x:c>
      <x:c r="H13" s="15" t="str">
        <x:v>×1.41</x:v>
      </x:c>
      <x:c r="I13" s="15" t="n">
        <x:v>1</x:v>
      </x:c>
      <x:c r="J13" s="15" t="str">
        <x:v>×1.45</x:v>
      </x:c>
      <x:c r="K13" s="15" t="str">
        <x:v>×1.35</x:v>
      </x:c>
      <x:c r="L13" s="15" t="str">
        <x:v>×1.30</x:v>
      </x:c>
      <x:c r="M13" s="15" t="n">
        <x:v>100</x:v>
      </x:c>
      <x:c r="N13" s="15" t="n">
        <x:v>150</x:v>
      </x:c>
      <x:c r="O13" s="15" t="n">
        <x:v>0.25</x:v>
      </x:c>
      <x:c r="P13" s="15" t="n">
        <x:v>0.6</x:v>
      </x:c>
      <x:c r="Q13" s="15" t="n">
        <x:v>0.15</x:v>
      </x:c>
    </x:row>
    <x:row r="14" ht="38" customHeight="1">
      <x:c r="A14" s="11" t="n">
        <x:v>11</x:v>
      </x:c>
      <x:c r="B14" s="11" t="str">
        <x:v>pve</x:v>
      </x:c>
      <x:c r="C14" s="11"/>
      <x:c r="D14" s="11" t="n">
        <x:v>8</x:v>
      </x:c>
      <x:c r="E14" s="11" t="n">
        <x:v>7</x:v>
      </x:c>
      <x:c r="F14" s="11" t="str">
        <x:v>×1.95</x:v>
      </x:c>
      <x:c r="G14" s="11" t="str">
        <x:v>×1.71</x:v>
      </x:c>
      <x:c r="H14" s="11" t="str">
        <x:v>×1.41</x:v>
      </x:c>
      <x:c r="I14" s="11" t="n">
        <x:v>2</x:v>
      </x:c>
      <x:c r="J14" s="11" t="str">
        <x:v>×2.10</x:v>
      </x:c>
      <x:c r="K14" s="11" t="str">
        <x:v>×1.82</x:v>
      </x:c>
      <x:c r="L14" s="11" t="str">
        <x:v>×1.69</x:v>
      </x:c>
      <x:c r="M14" s="11" t="n">
        <x:v>110</x:v>
      </x:c>
      <x:c r="N14" s="11" t="n">
        <x:v>0</x:v>
      </x:c>
      <x:c r="O14" s="11" t="n">
        <x:v>0.25</x:v>
      </x:c>
      <x:c r="P14" s="11" t="n">
        <x:v>0.6</x:v>
      </x:c>
      <x:c r="Q14" s="11" t="n">
        <x:v>0.15</x:v>
      </x:c>
    </x:row>
    <x:row r="15" ht="38" customHeight="1">
      <x:c r="A15" s="15" t="n">
        <x:v>12</x:v>
      </x:c>
      <x:c r="B15" s="15" t="str">
        <x:v>pvp</x:v>
      </x:c>
      <x:c r="C15" s="15" t="str">
        <x:v>是</x:v>
      </x:c>
      <x:c r="D15" s="15" t="n">
        <x:v>0</x:v>
      </x:c>
      <x:c r="E15" s="15" t="n">
        <x:v>8</x:v>
      </x:c>
      <x:c r="F15" s="15" t="str">
        <x:v>×2.14</x:v>
      </x:c>
      <x:c r="G15" s="15" t="str">
        <x:v>×1.85</x:v>
      </x:c>
      <x:c r="H15" s="15" t="str">
        <x:v>×1.48</x:v>
      </x:c>
      <x:c r="I15" s="15" t="n">
        <x:v>2</x:v>
      </x:c>
      <x:c r="J15" s="15" t="str">
        <x:v>×2.10</x:v>
      </x:c>
      <x:c r="K15" s="15" t="str">
        <x:v>×1.82</x:v>
      </x:c>
      <x:c r="L15" s="15" t="str">
        <x:v>×1.69</x:v>
      </x:c>
      <x:c r="M15" s="15" t="n">
        <x:v>120</x:v>
      </x:c>
      <x:c r="N15" s="15" t="n">
        <x:v>0</x:v>
      </x:c>
      <x:c r="O15" s="15" t="n">
        <x:v>0.25</x:v>
      </x:c>
      <x:c r="P15" s="15" t="n">
        <x:v>0.6</x:v>
      </x:c>
      <x:c r="Q15" s="15" t="n">
        <x:v>0.15</x:v>
      </x:c>
    </x:row>
    <x:row r="16" ht="38" customHeight="1">
      <x:c r="A16" s="11" t="n">
        <x:v>13</x:v>
      </x:c>
      <x:c r="B16" s="11" t="str">
        <x:v>pve</x:v>
      </x:c>
      <x:c r="C16" s="11"/>
      <x:c r="D16" s="11" t="n">
        <x:v>8</x:v>
      </x:c>
      <x:c r="E16" s="11" t="n">
        <x:v>8</x:v>
      </x:c>
      <x:c r="F16" s="11" t="str">
        <x:v>×2.14</x:v>
      </x:c>
      <x:c r="G16" s="11" t="str">
        <x:v>×1.85</x:v>
      </x:c>
      <x:c r="H16" s="11" t="str">
        <x:v>×1.48</x:v>
      </x:c>
      <x:c r="I16" s="11" t="n">
        <x:v>2</x:v>
      </x:c>
      <x:c r="J16" s="11" t="str">
        <x:v>×2.10</x:v>
      </x:c>
      <x:c r="K16" s="11" t="str">
        <x:v>×1.82</x:v>
      </x:c>
      <x:c r="L16" s="11" t="str">
        <x:v>×1.69</x:v>
      </x:c>
      <x:c r="M16" s="11" t="n">
        <x:v>130</x:v>
      </x:c>
      <x:c r="N16" s="11" t="n">
        <x:v>0</x:v>
      </x:c>
      <x:c r="O16" s="11" t="n">
        <x:v>0.25</x:v>
      </x:c>
      <x:c r="P16" s="11" t="n">
        <x:v>0.6</x:v>
      </x:c>
      <x:c r="Q16" s="11" t="n">
        <x:v>0.15</x:v>
      </x:c>
    </x:row>
    <x:row r="17" ht="38" customHeight="1">
      <x:c r="A17" s="15" t="n">
        <x:v>14</x:v>
      </x:c>
      <x:c r="B17" s="15" t="str">
        <x:v>pve</x:v>
      </x:c>
      <x:c r="C17" s="15"/>
      <x:c r="D17" s="15" t="n">
        <x:v>12</x:v>
      </x:c>
      <x:c r="E17" s="15" t="n">
        <x:v>9</x:v>
      </x:c>
      <x:c r="F17" s="15" t="str">
        <x:v>×2.36</x:v>
      </x:c>
      <x:c r="G17" s="15" t="str">
        <x:v>×2.00</x:v>
      </x:c>
      <x:c r="H17" s="15" t="str">
        <x:v>×1.55</x:v>
      </x:c>
      <x:c r="I17" s="15" t="n">
        <x:v>2</x:v>
      </x:c>
      <x:c r="J17" s="15" t="str">
        <x:v>×2.10</x:v>
      </x:c>
      <x:c r="K17" s="15" t="str">
        <x:v>×1.82</x:v>
      </x:c>
      <x:c r="L17" s="15" t="str">
        <x:v>×1.69</x:v>
      </x:c>
      <x:c r="M17" s="15" t="n">
        <x:v>140</x:v>
      </x:c>
      <x:c r="N17" s="15" t="n">
        <x:v>0</x:v>
      </x:c>
      <x:c r="O17" s="15" t="n">
        <x:v>0.25</x:v>
      </x:c>
      <x:c r="P17" s="15" t="n">
        <x:v>0.6</x:v>
      </x:c>
      <x:c r="Q17" s="15" t="n">
        <x:v>0.15</x:v>
      </x:c>
    </x:row>
    <x:row r="18" ht="38" customHeight="1">
      <x:c r="A18" s="11" t="n">
        <x:v>15</x:v>
      </x:c>
      <x:c r="B18" s="11" t="str">
        <x:v>boss</x:v>
      </x:c>
      <x:c r="C18" s="11"/>
      <x:c r="D18" s="11" t="n">
        <x:v>3</x:v>
      </x:c>
      <x:c r="E18" s="11" t="n">
        <x:v>10</x:v>
      </x:c>
      <x:c r="F18" s="11" t="str">
        <x:v>×2.59</x:v>
      </x:c>
      <x:c r="G18" s="11" t="str">
        <x:v>×2.16</x:v>
      </x:c>
      <x:c r="H18" s="11" t="str">
        <x:v>×1.63</x:v>
      </x:c>
      <x:c r="I18" s="11" t="n">
        <x:v>2</x:v>
      </x:c>
      <x:c r="J18" s="11" t="str">
        <x:v>×2.10</x:v>
      </x:c>
      <x:c r="K18" s="11" t="str">
        <x:v>×1.82</x:v>
      </x:c>
      <x:c r="L18" s="11" t="str">
        <x:v>×1.69</x:v>
      </x:c>
      <x:c r="M18" s="11" t="n">
        <x:v>150</x:v>
      </x:c>
      <x:c r="N18" s="11" t="n">
        <x:v>250</x:v>
      </x:c>
      <x:c r="O18" s="11" t="n">
        <x:v>0.15</x:v>
      </x:c>
      <x:c r="P18" s="11" t="n">
        <x:v>0.6</x:v>
      </x:c>
      <x:c r="Q18" s="11" t="n">
        <x:v>0.25</x:v>
      </x:c>
    </x:row>
    <x:row r="19" ht="38" customHeight="1">
      <x:c r="A19" s="15" t="n">
        <x:v>16</x:v>
      </x:c>
      <x:c r="B19" s="15" t="str">
        <x:v>pve</x:v>
      </x:c>
      <x:c r="C19" s="15" t="str">
        <x:v>是</x:v>
      </x:c>
      <x:c r="D19" s="15" t="n">
        <x:v>12</x:v>
      </x:c>
      <x:c r="E19" s="15" t="n">
        <x:v>10</x:v>
      </x:c>
      <x:c r="F19" s="15" t="str">
        <x:v>×2.59</x:v>
      </x:c>
      <x:c r="G19" s="15" t="str">
        <x:v>×2.16</x:v>
      </x:c>
      <x:c r="H19" s="15" t="str">
        <x:v>×1.63</x:v>
      </x:c>
      <x:c r="I19" s="15" t="n">
        <x:v>3</x:v>
      </x:c>
      <x:c r="J19" s="15" t="str">
        <x:v>×3.05</x:v>
      </x:c>
      <x:c r="K19" s="15" t="str">
        <x:v>×2.46</x:v>
      </x:c>
      <x:c r="L19" s="15" t="str">
        <x:v>×2.20</x:v>
      </x:c>
      <x:c r="M19" s="15" t="n">
        <x:v>160</x:v>
      </x:c>
      <x:c r="N19" s="15" t="n">
        <x:v>0</x:v>
      </x:c>
      <x:c r="O19" s="15" t="n">
        <x:v>0.15</x:v>
      </x:c>
      <x:c r="P19" s="15" t="n">
        <x:v>0.6</x:v>
      </x:c>
      <x:c r="Q19" s="15" t="n">
        <x:v>0.25</x:v>
      </x:c>
    </x:row>
    <x:row r="20" ht="38" customHeight="1">
      <x:c r="A20" s="11" t="n">
        <x:v>17</x:v>
      </x:c>
      <x:c r="B20" s="11" t="str">
        <x:v>pve</x:v>
      </x:c>
      <x:c r="C20" s="11"/>
      <x:c r="D20" s="11" t="n">
        <x:v>12</x:v>
      </x:c>
      <x:c r="E20" s="11" t="n">
        <x:v>11</x:v>
      </x:c>
      <x:c r="F20" s="11" t="str">
        <x:v>×2.85</x:v>
      </x:c>
      <x:c r="G20" s="11" t="str">
        <x:v>×2.33</x:v>
      </x:c>
      <x:c r="H20" s="11" t="str">
        <x:v>×1.71</x:v>
      </x:c>
      <x:c r="I20" s="11" t="n">
        <x:v>3</x:v>
      </x:c>
      <x:c r="J20" s="11" t="str">
        <x:v>×3.05</x:v>
      </x:c>
      <x:c r="K20" s="11" t="str">
        <x:v>×2.46</x:v>
      </x:c>
      <x:c r="L20" s="11" t="str">
        <x:v>×2.20</x:v>
      </x:c>
      <x:c r="M20" s="11" t="n">
        <x:v>170</x:v>
      </x:c>
      <x:c r="N20" s="11" t="n">
        <x:v>0</x:v>
      </x:c>
      <x:c r="O20" s="11" t="n">
        <x:v>0.15</x:v>
      </x:c>
      <x:c r="P20" s="11" t="n">
        <x:v>0.6</x:v>
      </x:c>
      <x:c r="Q20" s="11" t="n">
        <x:v>0.25</x:v>
      </x:c>
    </x:row>
    <x:row r="21" ht="38" customHeight="1">
      <x:c r="A21" s="15" t="n">
        <x:v>18</x:v>
      </x:c>
      <x:c r="B21" s="15" t="str">
        <x:v>pvp</x:v>
      </x:c>
      <x:c r="C21" s="15"/>
      <x:c r="D21" s="15" t="n">
        <x:v>0</x:v>
      </x:c>
      <x:c r="E21" s="15" t="n">
        <x:v>12</x:v>
      </x:c>
      <x:c r="F21" s="15" t="str">
        <x:v>×3.14</x:v>
      </x:c>
      <x:c r="G21" s="15" t="str">
        <x:v>×2.52</x:v>
      </x:c>
      <x:c r="H21" s="15" t="str">
        <x:v>×1.80</x:v>
      </x:c>
      <x:c r="I21" s="15" t="n">
        <x:v>3</x:v>
      </x:c>
      <x:c r="J21" s="15" t="str">
        <x:v>×3.05</x:v>
      </x:c>
      <x:c r="K21" s="15" t="str">
        <x:v>×2.46</x:v>
      </x:c>
      <x:c r="L21" s="15" t="str">
        <x:v>×2.20</x:v>
      </x:c>
      <x:c r="M21" s="15" t="n">
        <x:v>180</x:v>
      </x:c>
      <x:c r="N21" s="15" t="n">
        <x:v>0</x:v>
      </x:c>
      <x:c r="O21" s="15" t="n">
        <x:v>0.15</x:v>
      </x:c>
      <x:c r="P21" s="15" t="n">
        <x:v>0.6</x:v>
      </x:c>
      <x:c r="Q21" s="15" t="n">
        <x:v>0.25</x:v>
      </x:c>
    </x:row>
    <x:row r="22" ht="38" customHeight="1">
      <x:c r="A22" s="11" t="n">
        <x:v>19</x:v>
      </x:c>
      <x:c r="B22" s="11" t="str">
        <x:v>pve</x:v>
      </x:c>
      <x:c r="C22" s="11"/>
      <x:c r="D22" s="11" t="n">
        <x:v>15</x:v>
      </x:c>
      <x:c r="E22" s="11" t="n">
        <x:v>12</x:v>
      </x:c>
      <x:c r="F22" s="11" t="str">
        <x:v>×3.14</x:v>
      </x:c>
      <x:c r="G22" s="11" t="str">
        <x:v>×2.52</x:v>
      </x:c>
      <x:c r="H22" s="11" t="str">
        <x:v>×1.80</x:v>
      </x:c>
      <x:c r="I22" s="11" t="n">
        <x:v>3</x:v>
      </x:c>
      <x:c r="J22" s="11" t="str">
        <x:v>×3.05</x:v>
      </x:c>
      <x:c r="K22" s="11" t="str">
        <x:v>×2.46</x:v>
      </x:c>
      <x:c r="L22" s="11" t="str">
        <x:v>×2.20</x:v>
      </x:c>
      <x:c r="M22" s="11" t="n">
        <x:v>190</x:v>
      </x:c>
      <x:c r="N22" s="11" t="n">
        <x:v>0</x:v>
      </x:c>
      <x:c r="O22" s="11" t="n">
        <x:v>0.15</x:v>
      </x:c>
      <x:c r="P22" s="11" t="n">
        <x:v>0.6</x:v>
      </x:c>
      <x:c r="Q22" s="11" t="n">
        <x:v>0.25</x:v>
      </x:c>
    </x:row>
    <x:row r="23" ht="38" customHeight="1">
      <x:c r="A23" s="15" t="n">
        <x:v>20</x:v>
      </x:c>
      <x:c r="B23" s="15" t="str">
        <x:v>boss</x:v>
      </x:c>
      <x:c r="C23" s="15" t="str">
        <x:v>是</x:v>
      </x:c>
      <x:c r="D23" s="15" t="n">
        <x:v>18</x:v>
      </x:c>
      <x:c r="E23" s="15" t="n">
        <x:v>13</x:v>
      </x:c>
      <x:c r="F23" s="15" t="str">
        <x:v>×3.45</x:v>
      </x:c>
      <x:c r="G23" s="15" t="str">
        <x:v>×2.72</x:v>
      </x:c>
      <x:c r="H23" s="15" t="str">
        <x:v>×1.89</x:v>
      </x:c>
      <x:c r="I23" s="15" t="n">
        <x:v>3</x:v>
      </x:c>
      <x:c r="J23" s="15" t="str">
        <x:v>×3.05</x:v>
      </x:c>
      <x:c r="K23" s="15" t="str">
        <x:v>×2.46</x:v>
      </x:c>
      <x:c r="L23" s="15" t="str">
        <x:v>×2.20</x:v>
      </x:c>
      <x:c r="M23" s="15" t="n">
        <x:v>200</x:v>
      </x:c>
      <x:c r="N23" s="15" t="n">
        <x:v>400</x:v>
      </x:c>
      <x:c r="O23" s="15" t="n">
        <x:v>0.15</x:v>
      </x:c>
      <x:c r="P23" s="15" t="n">
        <x:v>0.6</x:v>
      </x:c>
      <x:c r="Q23" s="15" t="n">
        <x:v>0.25</x:v>
      </x:c>
    </x:row>
    <x:row r="24" ht="38" customHeight="1">
      <x:c r="A24" s="11" t="n">
        <x:v>21</x:v>
      </x:c>
      <x:c r="B24" s="11" t="str">
        <x:v>final</x:v>
      </x:c>
      <x:c r="C24" s="11"/>
      <x:c r="D24" s="11" t="n">
        <x:v>0</x:v>
      </x:c>
      <x:c r="E24" s="11" t="n">
        <x:v>13</x:v>
      </x:c>
      <x:c r="F24" s="11" t="str">
        <x:v>×3.45</x:v>
      </x:c>
      <x:c r="G24" s="11" t="str">
        <x:v>×2.72</x:v>
      </x:c>
      <x:c r="H24" s="11" t="str">
        <x:v>×1.89</x:v>
      </x:c>
      <x:c r="I24" s="11" t="n">
        <x:v>4</x:v>
      </x:c>
      <x:c r="J24" s="11" t="str">
        <x:v>×4.42</x:v>
      </x:c>
      <x:c r="K24" s="11" t="str">
        <x:v>×3.32</x:v>
      </x:c>
      <x:c r="L24" s="11" t="str">
        <x:v>×2.86</x:v>
      </x:c>
      <x:c r="M24" s="11" t="n">
        <x:v>210</x:v>
      </x:c>
      <x:c r="N24" s="11" t="n">
        <x:v>0</x:v>
      </x:c>
      <x:c r="O24" s="11" t="n">
        <x:v>0.15</x:v>
      </x:c>
      <x:c r="P24" s="11" t="n">
        <x:v>0.6</x:v>
      </x:c>
      <x:c r="Q24" s="11" t="n">
        <x:v>0.25</x:v>
      </x:c>
    </x:row>
  </x:sheetData>
  <x:mergeCells>
    <x:mergeCell ref="A1:Q1"/>
    <x:mergeCell ref="A2:Q2"/>
  </x:mergeCells>
  <x:pageMargins left="0.7" right="0.7" top="0.75" bottom="0.75" header="0.3" footer="0.3"/>
</x:worksheet>
</file>

<file path=xl/worksheets/sheet1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7" hidden="0" customWidth="1"/>
    <x:col min="2" max="2" width="45" hidden="0" customWidth="1"/>
    <x:col min="3" max="3" width="70" hidden="0" customWidth="1"/>
    <x:col min="4" max="4" width="90" hidden="0" customWidth="1"/>
  </x:cols>
  <x:sheetData>
    <x:row r="1" ht="34" customHeight="1">
      <x:c r="A1" s="2" t="str">
        <x:v>14_界面映射</x:v>
      </x:c>
      <x:c r="B1" s="2"/>
      <x:c r="C1" s="2"/>
      <x:c r="D1" s="2"/>
    </x:row>
    <x:row r="2" ht="32" customHeight="1">
      <x:c r="A2" s="4" t="str">
        <x:v>所有显示按稳定 ID 查询 final_status.json；动态星级、成长和回合倍率继续由现有战斗/经济服务计算。</x:v>
      </x:c>
      <x:c r="B2" s="4"/>
      <x:c r="C2" s="4"/>
      <x:c r="D2" s="4"/>
    </x:row>
    <x:row r="3" ht="28" customHeight="1">
      <x:c r="A3" s="7" t="str">
        <x:v>界面</x:v>
      </x:c>
      <x:c r="B3" s="7" t="str">
        <x:v>显示内容</x:v>
      </x:c>
      <x:c r="C3" s="7" t="str">
        <x:v>统一入口</x:v>
      </x:c>
      <x:c r="D3" s="7" t="str">
        <x:v>备注</x:v>
      </x:c>
    </x:row>
    <x:row r="4" ht="38" customHeight="1">
      <x:c r="A4" s="11" t="str">
        <x:v>备战棋子详情</x:v>
      </x:c>
      <x:c r="B4" s="11" t="str">
        <x:v>棋子技能中文说明、星级</x:v>
      </x:c>
      <x:c r="C4" s="11" t="str">
        <x:v>UnitDetailFormat → FinalStatusCatalog.units</x:v>
      </x:c>
      <x:c r="D4" s="11" t="str">
        <x:v>当前 HP/攻击/防御仍按 UnitFactory/UnitGrowth 动态计算</x:v>
      </x:c>
    </x:row>
    <x:row r="5" ht="38" customHeight="1">
      <x:c r="A5" s="15" t="str">
        <x:v>图鉴</x:v>
      </x:c>
      <x:c r="B5" s="15" t="str">
        <x:v>棋子技能、宠物、宝藏、联动</x:v>
      </x:c>
      <x:c r="C5" s="15" t="str">
        <x:v>CodexService / UnitDetailFormat / PetService → FinalStatusCatalog</x:v>
      </x:c>
      <x:c r="D5" s="15" t="str">
        <x:v>解锁与隐藏状态保留</x:v>
      </x:c>
    </x:row>
    <x:row r="6" ht="38" customHeight="1">
      <x:c r="A6" s="11" t="str">
        <x:v>备战羁绊</x:v>
      </x:c>
      <x:c r="B6" s="11" t="str">
        <x:v>五族各档说明</x:v>
      </x:c>
      <x:c r="C6" s="11" t="str">
        <x:v>SynergyPanel → FinalStatusCatalog.synergies</x:v>
      </x:c>
      <x:c r="D6" s="11" t="str">
        <x:v>门槛仍由 SynergyService 判定</x:v>
      </x:c>
    </x:row>
    <x:row r="7" ht="38" customHeight="1">
      <x:c r="A7" s="15" t="str">
        <x:v>备战宝藏</x:v>
      </x:c>
      <x:c r="B7" s="15" t="str">
        <x:v>宝藏、联动效果</x:v>
      </x:c>
      <x:c r="C7" s="15" t="str">
        <x:v>TreasureChoicePanel → FinalStatusCatalog.treasures/linkages</x:v>
      </x:c>
      <x:c r="D7" s="15" t="str">
        <x:v>待确认项用现有说明</x:v>
      </x:c>
    </x:row>
    <x:row r="8" ht="38" customHeight="1">
      <x:c r="A8" s="11" t="str">
        <x:v>备战宠物</x:v>
      </x:c>
      <x:c r="B8" s="11" t="str">
        <x:v>名称和短说明</x:v>
      </x:c>
      <x:c r="C8" s="11" t="str">
        <x:v>PetService → FinalStatusCatalog.pets</x:v>
      </x:c>
      <x:c r="D8" s="11" t="str">
        <x:v>卡片仍使用适合两行的摘要</x:v>
      </x:c>
    </x:row>
    <x:row r="9" ht="38" customHeight="1">
      <x:c r="A9" s="15" t="str">
        <x:v>背包宠物</x:v>
      </x:c>
      <x:c r="B9" s="15" t="str">
        <x:v>摘要、详细技能</x:v>
      </x:c>
      <x:c r="C9" s="15" t="str">
        <x:v>PetService → FinalStatusCatalog.pets</x:v>
      </x:c>
      <x:c r="D9" s="15" t="str">
        <x:v>归属/出战状态继续从账号读取</x:v>
      </x:c>
    </x:row>
    <x:row r="10" ht="38" customHeight="1">
      <x:c r="A10" s="11" t="str">
        <x:v>商城宠物</x:v>
      </x:c>
      <x:c r="B10" s="11" t="str">
        <x:v>名称、技能详情</x:v>
      </x:c>
      <x:c r="C10" s="11" t="str">
        <x:v>PetService → FinalStatusCatalog.pets</x:v>
      </x:c>
      <x:c r="D10" s="11" t="str">
        <x:v>价格和可售状态以服务端目录为准</x:v>
      </x:c>
    </x:row>
    <x:row r="11" ht="38" customHeight="1">
      <x:c r="A11" s="15" t="str">
        <x:v>战斗显示</x:v>
      </x:c>
      <x:c r="B11" s="15" t="str">
        <x:v>单位名、动态属性和回放</x:v>
      </x:c>
      <x:c r="C11" s="15" t="str">
        <x:v>DataRegistry/UnitDetailFormat；战斗仍以服务端回放为准</x:v>
      </x:c>
      <x:c r="D11" s="15" t="str">
        <x:v>不让显示目录参与伤害计算</x:v>
      </x:c>
    </x:row>
  </x:sheetData>
  <x:mergeCells>
    <x:mergeCell ref="A1:D1"/>
    <x:mergeCell ref="A2:D2"/>
  </x:mergeCells>
  <x:pageMargins left="0.7" right="0.7" top="0.75" bottom="0.75" header="0.3" footer="0.3"/>
</x:worksheet>
</file>

<file path=xl/worksheets/sheet16.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9" hidden="0" customWidth="1"/>
    <x:col min="2" max="2" width="75" hidden="0" customWidth="1"/>
    <x:col min="3" max="3" width="88" hidden="0" customWidth="1"/>
    <x:col min="4" max="4" width="35" hidden="0" customWidth="1"/>
    <x:col min="5" max="5" width="76" hidden="0" customWidth="1"/>
  </x:cols>
  <x:sheetData>
    <x:row r="1" ht="34" customHeight="1">
      <x:c r="A1" s="2" t="str">
        <x:v>15_冲突与验证</x:v>
      </x:c>
      <x:c r="B1" s="2"/>
      <x:c r="C1" s="2"/>
      <x:c r="D1" s="2"/>
      <x:c r="E1" s="2"/>
    </x:row>
    <x:row r="2" ht="32" customHeight="1">
      <x:c r="A2" s="4" t="str">
        <x:v>记录新表与运行值的差异及用户定稿决定。</x:v>
      </x:c>
      <x:c r="B2" s="4"/>
      <x:c r="C2" s="4"/>
      <x:c r="D2" s="4"/>
      <x:c r="E2" s="4"/>
    </x:row>
    <x:row r="3" ht="28" customHeight="1">
      <x:c r="A3" s="7" t="str">
        <x:v>项目</x:v>
      </x:c>
      <x:c r="B3" s="7" t="str">
        <x:v>新表写法</x:v>
      </x:c>
      <x:c r="C3" s="7" t="str">
        <x:v>当前运行代码 / 既有显示</x:v>
      </x:c>
      <x:c r="D3" s="7" t="str">
        <x:v>处理状态</x:v>
      </x:c>
      <x:c r="E3" s="7" t="str">
        <x:v>证据</x:v>
      </x:c>
    </x:row>
    <x:row r="4" ht="38" customHeight="1">
      <x:c r="A4" s="11" t="str">
        <x:v>灵族羁绊</x:v>
      </x:c>
      <x:c r="B4" s="11" t="str">
        <x:v>旧表写每死 30 个单位复制一只亡灵（40% 属性）</x:v>
      </x:c>
      <x:c r="C4" s="11" t="str">
        <x:v>现有 1 档双毒，2 档中毒期间治疗与吸血 -30%</x:v>
      </x:c>
      <x:c r="D4" s="11" t="str">
        <x:v>用户确认：按现行减疗</x:v>
      </x:c>
      <x:c r="E4" s="11" t="str">
        <x:v>10_种族羁绊!C12 / SynergyService.gd</x:v>
      </x:c>
    </x:row>
    <x:row r="5" ht="38" customHeight="1">
      <x:c r="A5" s="15" t="str">
        <x:v>凤凰涅槃</x:v>
      </x:c>
      <x:c r="B5" s="15" t="str">
        <x:v>最大生命 40% 复活</x:v>
      </x:c>
      <x:c r="C5" s="15" t="str">
        <x:v>此前实际入场时回满生命，现有备战提示为满血</x:v>
      </x:c>
      <x:c r="D5" s="15" t="str">
        <x:v>用户确认：玩法改为 40% 生命</x:v>
      </x:c>
      <x:c r="E5" s="15" t="str">
        <x:v>11_宝藏联动!E4 / BattleSimTreasures.gd</x:v>
      </x:c>
    </x:row>
    <x:row r="6" ht="38" customHeight="1">
      <x:c r="A6" s="11" t="str">
        <x:v>慷慨命运与诡诈命运</x:v>
      </x:c>
      <x:c r="B6" s="11" t="str">
        <x:v>胜利时金币“翻倍”</x:v>
      </x:c>
      <x:c r="C6" s="11" t="str">
        <x:v>EconomyLedger 按 2.5 倍结算；现有 UI 写 2.5 倍</x:v>
      </x:c>
      <x:c r="D6" s="11" t="str">
        <x:v>用户确认：按实际结算 2.5 倍</x:v>
      </x:c>
      <x:c r="E6" s="11" t="str">
        <x:v>09_宝藏!E21 / 11_宝藏联动!E9</x:v>
      </x:c>
    </x:row>
    <x:row r="7" ht="38" customHeight="1">
      <x:c r="A7" s="15" t="str">
        <x:v>线上服务端逐项系数</x:v>
      </x:c>
      <x:c r="B7" s="15" t="str">
        <x:v>本机运行值</x:v>
      </x:c>
      <x:c r="C7" s="15" t="str">
        <x:v>用户实战日志没有逐击系数</x:v>
      </x:c>
      <x:c r="D7" s="15" t="str">
        <x:v>线上待核</x:v>
      </x:c>
      <x:c r="E7" s="15" t="str">
        <x:v>2026-10-07 线上回放日志</x:v>
      </x:c>
    </x:row>
  </x:sheetData>
  <x:mergeCells>
    <x:mergeCell ref="A1:E1"/>
    <x:mergeCell ref="A2:E2"/>
  </x:mergeCells>
  <x:pageMargins left="0.7" right="0.7" top="0.75" bottom="0.75" header="0.3" footer="0.3"/>
</x:worksheet>
</file>

<file path=xl/worksheets/sheet17.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46" hidden="0" customWidth="1"/>
    <x:col min="2" max="2" width="76" hidden="0" customWidth="1"/>
    <x:col min="3" max="3" width="16" hidden="0" customWidth="1"/>
    <x:col min="4" max="4" width="105" hidden="0" customWidth="1"/>
  </x:cols>
  <x:sheetData>
    <x:row r="1" ht="34" customHeight="1">
      <x:c r="A1" s="17" t="str">
        <x:v>90_运行配置</x:v>
      </x:c>
      <x:c r="B1" s="17"/>
      <x:c r="C1" s="17"/>
      <x:c r="D1" s="17"/>
    </x:row>
    <x:row r="2" ht="42" customHeight="1">
      <x:c r="A2" s="4" t="str">
        <x:v>历史配置快照，仅供查阅，不再参与运行前同步。基础数值以 01/03/05/06/08 业务页为准；其余复杂字段以项目中的 JSON / GDScript 为准。</x:v>
      </x:c>
      <x:c r="B2" s="4"/>
      <x:c r="C2" s="4"/>
      <x:c r="D2" s="4"/>
    </x:row>
    <x:row r="3" ht="28" customHeight="1">
      <x:c r="A3" s="20" t="str">
        <x:v>运行文件</x:v>
      </x:c>
      <x:c r="B3" s="20" t="str">
        <x:v>JSON 路径</x:v>
      </x:c>
      <x:c r="C3" s="20" t="str">
        <x:v>类型</x:v>
      </x:c>
      <x:c r="D3" s="20" t="str">
        <x:v>值（JSON）</x:v>
      </x:c>
    </x:row>
    <x:row r="4" ht="22" customHeight="1">
      <x:c r="A4" s="21" t="str">
        <x:v>data/rounds/round_schedule.json</x:v>
      </x:c>
      <x:c r="B4" s="21" t="str">
        <x:v>$</x:v>
      </x:c>
      <x:c r="C4" s="21" t="str">
        <x:v>object</x:v>
      </x:c>
      <x:c r="D4" s="21" t="str"/>
    </x:row>
    <x:row r="5" ht="22" customHeight="1">
      <x:c r="A5" s="21" t="str">
        <x:v>data/rounds/round_schedule.json</x:v>
      </x:c>
      <x:c r="B5" s="21" t="str">
        <x:v>$/final_round</x:v>
      </x:c>
      <x:c r="C5" s="21" t="str">
        <x:v>int</x:v>
      </x:c>
      <x:c r="D5" s="21" t="str">
        <x:v>21</x:v>
      </x:c>
    </x:row>
    <x:row r="6" ht="22" customHeight="1">
      <x:c r="A6" s="21" t="str">
        <x:v>data/rounds/round_schedule.json</x:v>
      </x:c>
      <x:c r="B6" s="21" t="str">
        <x:v>$/pvp_rounds</x:v>
      </x:c>
      <x:c r="C6" s="21" t="str">
        <x:v>array</x:v>
      </x:c>
      <x:c r="D6" s="21" t="str"/>
    </x:row>
    <x:row r="7" ht="22" customHeight="1">
      <x:c r="A7" s="21" t="str">
        <x:v>data/rounds/round_schedule.json</x:v>
      </x:c>
      <x:c r="B7" s="21" t="str">
        <x:v>$/pvp_rounds/0</x:v>
      </x:c>
      <x:c r="C7" s="21" t="str">
        <x:v>int</x:v>
      </x:c>
      <x:c r="D7" s="21" t="str">
        <x:v>6</x:v>
      </x:c>
    </x:row>
    <x:row r="8" ht="22" customHeight="1">
      <x:c r="A8" s="21" t="str">
        <x:v>data/rounds/round_schedule.json</x:v>
      </x:c>
      <x:c r="B8" s="21" t="str">
        <x:v>$/pvp_rounds/1</x:v>
      </x:c>
      <x:c r="C8" s="21" t="str">
        <x:v>int</x:v>
      </x:c>
      <x:c r="D8" s="21" t="str">
        <x:v>12</x:v>
      </x:c>
    </x:row>
    <x:row r="9" ht="22" customHeight="1">
      <x:c r="A9" s="21" t="str">
        <x:v>data/rounds/round_schedule.json</x:v>
      </x:c>
      <x:c r="B9" s="21" t="str">
        <x:v>$/pvp_rounds/2</x:v>
      </x:c>
      <x:c r="C9" s="21" t="str">
        <x:v>int</x:v>
      </x:c>
      <x:c r="D9" s="21" t="str">
        <x:v>18</x:v>
      </x:c>
    </x:row>
    <x:row r="10" ht="22" customHeight="1">
      <x:c r="A10" s="21" t="str">
        <x:v>data/rounds/round_schedule.json</x:v>
      </x:c>
      <x:c r="B10" s="21" t="str">
        <x:v>$/pvp_rounds/3</x:v>
      </x:c>
      <x:c r="C10" s="21" t="str">
        <x:v>int</x:v>
      </x:c>
      <x:c r="D10" s="21" t="str">
        <x:v>21</x:v>
      </x:c>
    </x:row>
    <x:row r="11" ht="22" customHeight="1">
      <x:c r="A11" s="21" t="str">
        <x:v>data/rounds/round_schedule.json</x:v>
      </x:c>
      <x:c r="B11" s="21" t="str">
        <x:v>$/boss_rounds</x:v>
      </x:c>
      <x:c r="C11" s="21" t="str">
        <x:v>array</x:v>
      </x:c>
      <x:c r="D11" s="21" t="str"/>
    </x:row>
    <x:row r="12" ht="22" customHeight="1">
      <x:c r="A12" s="21" t="str">
        <x:v>data/rounds/round_schedule.json</x:v>
      </x:c>
      <x:c r="B12" s="21" t="str">
        <x:v>$/boss_rounds/0</x:v>
      </x:c>
      <x:c r="C12" s="21" t="str">
        <x:v>int</x:v>
      </x:c>
      <x:c r="D12" s="21" t="str">
        <x:v>5</x:v>
      </x:c>
    </x:row>
    <x:row r="13" ht="22" customHeight="1">
      <x:c r="A13" s="21" t="str">
        <x:v>data/rounds/round_schedule.json</x:v>
      </x:c>
      <x:c r="B13" s="21" t="str">
        <x:v>$/boss_rounds/1</x:v>
      </x:c>
      <x:c r="C13" s="21" t="str">
        <x:v>int</x:v>
      </x:c>
      <x:c r="D13" s="21" t="str">
        <x:v>10</x:v>
      </x:c>
    </x:row>
    <x:row r="14" ht="22" customHeight="1">
      <x:c r="A14" s="21" t="str">
        <x:v>data/rounds/round_schedule.json</x:v>
      </x:c>
      <x:c r="B14" s="21" t="str">
        <x:v>$/boss_rounds/2</x:v>
      </x:c>
      <x:c r="C14" s="21" t="str">
        <x:v>int</x:v>
      </x:c>
      <x:c r="D14" s="21" t="str">
        <x:v>15</x:v>
      </x:c>
    </x:row>
    <x:row r="15" ht="22" customHeight="1">
      <x:c r="A15" s="21" t="str">
        <x:v>data/rounds/round_schedule.json</x:v>
      </x:c>
      <x:c r="B15" s="21" t="str">
        <x:v>$/boss_rounds/3</x:v>
      </x:c>
      <x:c r="C15" s="21" t="str">
        <x:v>int</x:v>
      </x:c>
      <x:c r="D15" s="21" t="str">
        <x:v>20</x:v>
      </x:c>
    </x:row>
    <x:row r="16" ht="22" customHeight="1">
      <x:c r="A16" s="21" t="str">
        <x:v>data/rounds/round_schedule.json</x:v>
      </x:c>
      <x:c r="B16" s="21" t="str">
        <x:v>$/treasure_after_battle_rounds</x:v>
      </x:c>
      <x:c r="C16" s="21" t="str">
        <x:v>array</x:v>
      </x:c>
      <x:c r="D16" s="21" t="str"/>
    </x:row>
    <x:row r="17" ht="22" customHeight="1">
      <x:c r="A17" s="21" t="str">
        <x:v>data/rounds/round_schedule.json</x:v>
      </x:c>
      <x:c r="B17" s="21" t="str">
        <x:v>$/treasure_after_battle_rounds/0</x:v>
      </x:c>
      <x:c r="C17" s="21" t="str">
        <x:v>int</x:v>
      </x:c>
      <x:c r="D17" s="21" t="str">
        <x:v>4</x:v>
      </x:c>
    </x:row>
    <x:row r="18" ht="22" customHeight="1">
      <x:c r="A18" s="21" t="str">
        <x:v>data/rounds/round_schedule.json</x:v>
      </x:c>
      <x:c r="B18" s="21" t="str">
        <x:v>$/treasure_after_battle_rounds/1</x:v>
      </x:c>
      <x:c r="C18" s="21" t="str">
        <x:v>int</x:v>
      </x:c>
      <x:c r="D18" s="21" t="str">
        <x:v>8</x:v>
      </x:c>
    </x:row>
    <x:row r="19" ht="22" customHeight="1">
      <x:c r="A19" s="21" t="str">
        <x:v>data/rounds/round_schedule.json</x:v>
      </x:c>
      <x:c r="B19" s="21" t="str">
        <x:v>$/treasure_after_battle_rounds/2</x:v>
      </x:c>
      <x:c r="C19" s="21" t="str">
        <x:v>int</x:v>
      </x:c>
      <x:c r="D19" s="21" t="str">
        <x:v>12</x:v>
      </x:c>
    </x:row>
    <x:row r="20" ht="22" customHeight="1">
      <x:c r="A20" s="21" t="str">
        <x:v>data/rounds/round_schedule.json</x:v>
      </x:c>
      <x:c r="B20" s="21" t="str">
        <x:v>$/treasure_after_battle_rounds/3</x:v>
      </x:c>
      <x:c r="C20" s="21" t="str">
        <x:v>int</x:v>
      </x:c>
      <x:c r="D20" s="21" t="str">
        <x:v>16</x:v>
      </x:c>
    </x:row>
    <x:row r="21" ht="22" customHeight="1">
      <x:c r="A21" s="21" t="str">
        <x:v>data/rounds/round_schedule.json</x:v>
      </x:c>
      <x:c r="B21" s="21" t="str">
        <x:v>$/treasure_after_battle_rounds/4</x:v>
      </x:c>
      <x:c r="C21" s="21" t="str">
        <x:v>int</x:v>
      </x:c>
      <x:c r="D21" s="21" t="str">
        <x:v>20</x:v>
      </x:c>
    </x:row>
    <x:row r="22" ht="22" customHeight="1">
      <x:c r="A22" s="21" t="str">
        <x:v>data/rounds/round_schedule.json</x:v>
      </x:c>
      <x:c r="B22" s="21" t="str">
        <x:v>$/pvp_without_online_opponent</x:v>
      </x:c>
      <x:c r="C22" s="21" t="str">
        <x:v>string</x:v>
      </x:c>
      <x:c r="D22" s="21" t="str">
        <x:v>"pve"</x:v>
      </x:c>
    </x:row>
    <x:row r="23" ht="22" customHeight="1">
      <x:c r="A23" s="21" t="str">
        <x:v>data/units/race_units.json</x:v>
      </x:c>
      <x:c r="B23" s="21" t="str">
        <x:v>$</x:v>
      </x:c>
      <x:c r="C23" s="21" t="str">
        <x:v>object</x:v>
      </x:c>
      <x:c r="D23" s="21" t="str"/>
    </x:row>
    <x:row r="24" ht="22" customHeight="1">
      <x:c r="A24" s="21" t="str">
        <x:v>data/units/race_units.json</x:v>
      </x:c>
      <x:c r="B24" s="21" t="str">
        <x:v>$/star_scaling</x:v>
      </x:c>
      <x:c r="C24" s="21" t="str">
        <x:v>object</x:v>
      </x:c>
      <x:c r="D24" s="21" t="str"/>
    </x:row>
    <x:row r="25" ht="22" customHeight="1">
      <x:c r="A25" s="21" t="str">
        <x:v>data/units/race_units.json</x:v>
      </x:c>
      <x:c r="B25" s="21" t="str">
        <x:v>$/star_scaling/max_star</x:v>
      </x:c>
      <x:c r="C25" s="21" t="str">
        <x:v>int</x:v>
      </x:c>
      <x:c r="D25" s="21" t="str">
        <x:v>3</x:v>
      </x:c>
    </x:row>
    <x:row r="26" ht="22" customHeight="1">
      <x:c r="A26" s="21" t="str">
        <x:v>data/units/race_units.json</x:v>
      </x:c>
      <x:c r="B26" s="21" t="str">
        <x:v>$/star_scaling/hp_atk_def_per_star</x:v>
      </x:c>
      <x:c r="C26" s="21" t="str">
        <x:v>float</x:v>
      </x:c>
      <x:c r="D26" s="21" t="str">
        <x:v>1.5</x:v>
      </x:c>
    </x:row>
    <x:row r="27" ht="22" customHeight="1">
      <x:c r="A27" s="21" t="str">
        <x:v>data/units/race_units.json</x:v>
      </x:c>
      <x:c r="B27" s="21" t="str">
        <x:v>$/units</x:v>
      </x:c>
      <x:c r="C27" s="21" t="str">
        <x:v>array</x:v>
      </x:c>
      <x:c r="D27" s="21" t="str"/>
    </x:row>
    <x:row r="28" ht="22" customHeight="1">
      <x:c r="A28" s="21" t="str">
        <x:v>data/units/race_units.json</x:v>
      </x:c>
      <x:c r="B28" s="21" t="str">
        <x:v>$/units/0</x:v>
      </x:c>
      <x:c r="C28" s="21" t="str">
        <x:v>object</x:v>
      </x:c>
      <x:c r="D28" s="21" t="str"/>
    </x:row>
    <x:row r="29" ht="22" customHeight="1">
      <x:c r="A29" s="21" t="str">
        <x:v>data/units/race_units.json</x:v>
      </x:c>
      <x:c r="B29" s="21" t="str">
        <x:v>$/units/0/id</x:v>
      </x:c>
      <x:c r="C29" s="21" t="str">
        <x:v>string</x:v>
      </x:c>
      <x:c r="D29" s="21" t="str">
        <x:v>"god_priest"</x:v>
      </x:c>
    </x:row>
    <x:row r="30" ht="22" customHeight="1">
      <x:c r="A30" s="21" t="str">
        <x:v>data/units/race_units.json</x:v>
      </x:c>
      <x:c r="B30" s="21" t="str">
        <x:v>$/units/0/star4</x:v>
      </x:c>
      <x:c r="C30" s="21" t="str">
        <x:v>object</x:v>
      </x:c>
      <x:c r="D30" s="21" t="str"/>
    </x:row>
    <x:row r="31" ht="22" customHeight="1">
      <x:c r="A31" s="21" t="str">
        <x:v>data/units/race_units.json</x:v>
      </x:c>
      <x:c r="B31" s="21" t="str">
        <x:v>$/units/0/star4/heal_pct</x:v>
      </x:c>
      <x:c r="C31" s="21" t="str">
        <x:v>float</x:v>
      </x:c>
      <x:c r="D31" s="21" t="str">
        <x:v>0.24</x:v>
      </x:c>
    </x:row>
    <x:row r="32" ht="22" customHeight="1">
      <x:c r="A32" s="21" t="str">
        <x:v>data/units/race_units.json</x:v>
      </x:c>
      <x:c r="B32" s="21" t="str">
        <x:v>$/units/0/star4/cleanse_chance</x:v>
      </x:c>
      <x:c r="C32" s="21" t="str">
        <x:v>float</x:v>
      </x:c>
      <x:c r="D32" s="21" t="str">
        <x:v>0.5</x:v>
      </x:c>
    </x:row>
    <x:row r="33" ht="22" customHeight="1">
      <x:c r="A33" s="21" t="str">
        <x:v>data/units/race_units.json</x:v>
      </x:c>
      <x:c r="B33" s="21" t="str">
        <x:v>$/units/0/name</x:v>
      </x:c>
      <x:c r="C33" s="21" t="str">
        <x:v>string</x:v>
      </x:c>
      <x:c r="D33" s="21" t="str">
        <x:v>"神侍"</x:v>
      </x:c>
    </x:row>
    <x:row r="34" ht="22" customHeight="1">
      <x:c r="A34" s="21" t="str">
        <x:v>data/units/race_units.json</x:v>
      </x:c>
      <x:c r="B34" s="21" t="str">
        <x:v>$/units/0/race</x:v>
      </x:c>
      <x:c r="C34" s="21" t="str">
        <x:v>string</x:v>
      </x:c>
      <x:c r="D34" s="21" t="str">
        <x:v>"god"</x:v>
      </x:c>
    </x:row>
    <x:row r="35" ht="22" customHeight="1">
      <x:c r="A35" s="21" t="str">
        <x:v>data/units/race_units.json</x:v>
      </x:c>
      <x:c r="B35" s="21" t="str">
        <x:v>$/units/0/element</x:v>
      </x:c>
      <x:c r="C35" s="21" t="str">
        <x:v>string</x:v>
      </x:c>
      <x:c r="D35" s="21" t="str">
        <x:v>"ren"</x:v>
      </x:c>
    </x:row>
    <x:row r="36" ht="22" customHeight="1">
      <x:c r="A36" s="21" t="str">
        <x:v>data/units/race_units.json</x:v>
      </x:c>
      <x:c r="B36" s="21" t="str">
        <x:v>$/units/0/tier</x:v>
      </x:c>
      <x:c r="C36" s="21" t="str">
        <x:v>int</x:v>
      </x:c>
      <x:c r="D36" s="21" t="str">
        <x:v>1</x:v>
      </x:c>
    </x:row>
    <x:row r="37" ht="22" customHeight="1">
      <x:c r="A37" s="21" t="str">
        <x:v>data/units/race_units.json</x:v>
      </x:c>
      <x:c r="B37" s="21" t="str">
        <x:v>$/units/0/cost</x:v>
      </x:c>
      <x:c r="C37" s="21" t="str">
        <x:v>int</x:v>
      </x:c>
      <x:c r="D37" s="21" t="str">
        <x:v>20</x:v>
      </x:c>
    </x:row>
    <x:row r="38" ht="22" customHeight="1">
      <x:c r="A38" s="21" t="str">
        <x:v>data/units/race_units.json</x:v>
      </x:c>
      <x:c r="B38" s="21" t="str">
        <x:v>$/units/0/hp</x:v>
      </x:c>
      <x:c r="C38" s="21" t="str">
        <x:v>int</x:v>
      </x:c>
      <x:c r="D38" s="21" t="str">
        <x:v>640</x:v>
      </x:c>
    </x:row>
    <x:row r="39" ht="22" customHeight="1">
      <x:c r="A39" s="21" t="str">
        <x:v>data/units/race_units.json</x:v>
      </x:c>
      <x:c r="B39" s="21" t="str">
        <x:v>$/units/0/atk</x:v>
      </x:c>
      <x:c r="C39" s="21" t="str">
        <x:v>int</x:v>
      </x:c>
      <x:c r="D39" s="21" t="str">
        <x:v>31</x:v>
      </x:c>
    </x:row>
    <x:row r="40" ht="22" customHeight="1">
      <x:c r="A40" s="21" t="str">
        <x:v>data/units/race_units.json</x:v>
      </x:c>
      <x:c r="B40" s="21" t="str">
        <x:v>$/units/0/def</x:v>
      </x:c>
      <x:c r="C40" s="21" t="str">
        <x:v>int</x:v>
      </x:c>
      <x:c r="D40" s="21" t="str">
        <x:v>4</x:v>
      </x:c>
    </x:row>
    <x:row r="41" ht="22" customHeight="1">
      <x:c r="A41" s="21" t="str">
        <x:v>data/units/race_units.json</x:v>
      </x:c>
      <x:c r="B41" s="21" t="str">
        <x:v>$/units/0/attack_speed</x:v>
      </x:c>
      <x:c r="C41" s="21" t="str">
        <x:v>float</x:v>
      </x:c>
      <x:c r="D41" s="21" t="str">
        <x:v>0.95</x:v>
      </x:c>
    </x:row>
    <x:row r="42" ht="22" customHeight="1">
      <x:c r="A42" s="21" t="str">
        <x:v>data/units/race_units.json</x:v>
      </x:c>
      <x:c r="B42" s="21" t="str">
        <x:v>$/units/0/range</x:v>
      </x:c>
      <x:c r="C42" s="21" t="str">
        <x:v>int</x:v>
      </x:c>
      <x:c r="D42" s="21" t="str">
        <x:v>4</x:v>
      </x:c>
    </x:row>
    <x:row r="43" ht="22" customHeight="1">
      <x:c r="A43" s="21" t="str">
        <x:v>data/units/race_units.json</x:v>
      </x:c>
      <x:c r="B43" s="21" t="str">
        <x:v>$/units/0/move_speed</x:v>
      </x:c>
      <x:c r="C43" s="21" t="str">
        <x:v>float</x:v>
      </x:c>
      <x:c r="D43" s="21" t="str">
        <x:v>3.2</x:v>
      </x:c>
    </x:row>
    <x:row r="44" ht="22" customHeight="1">
      <x:c r="A44" s="21" t="str">
        <x:v>data/units/race_units.json</x:v>
      </x:c>
      <x:c r="B44" s="21" t="str">
        <x:v>$/units/0/crit</x:v>
      </x:c>
      <x:c r="C44" s="21" t="str">
        <x:v>float</x:v>
      </x:c>
      <x:c r="D44" s="21" t="str">
        <x:v>0.05</x:v>
      </x:c>
    </x:row>
    <x:row r="45" ht="22" customHeight="1">
      <x:c r="A45" s="21" t="str">
        <x:v>data/units/race_units.json</x:v>
      </x:c>
      <x:c r="B45" s="21" t="str">
        <x:v>$/units/0/crit_dmg</x:v>
      </x:c>
      <x:c r="C45" s="21" t="str">
        <x:v>float</x:v>
      </x:c>
      <x:c r="D45" s="21" t="str">
        <x:v>1.5</x:v>
      </x:c>
    </x:row>
    <x:row r="46" ht="22" customHeight="1">
      <x:c r="A46" s="21" t="str">
        <x:v>data/units/race_units.json</x:v>
      </x:c>
      <x:c r="B46" s="21" t="str">
        <x:v>$/units/0/skill_id</x:v>
      </x:c>
      <x:c r="C46" s="21" t="str">
        <x:v>string</x:v>
      </x:c>
      <x:c r="D46" s="21" t="str">
        <x:v>"lowest_ally_heal"</x:v>
      </x:c>
    </x:row>
    <x:row r="47" ht="22" customHeight="1">
      <x:c r="A47" s="21" t="str">
        <x:v>data/units/race_units.json</x:v>
      </x:c>
      <x:c r="B47" s="21" t="str">
        <x:v>$/units/0/skill_cd</x:v>
      </x:c>
      <x:c r="C47" s="21" t="str">
        <x:v>float</x:v>
      </x:c>
      <x:c r="D47" s="21" t="str">
        <x:v>4.0</x:v>
      </x:c>
    </x:row>
    <x:row r="48" ht="22" customHeight="1">
      <x:c r="A48" s="21" t="str">
        <x:v>data/units/race_units.json</x:v>
      </x:c>
      <x:c r="B48" s="21" t="str">
        <x:v>$/units/0/heal_pct</x:v>
      </x:c>
      <x:c r="C48" s="21" t="str">
        <x:v>float</x:v>
      </x:c>
      <x:c r="D48" s="21" t="str">
        <x:v>0.06</x:v>
      </x:c>
    </x:row>
    <x:row r="49" ht="22" customHeight="1">
      <x:c r="A49" s="21" t="str">
        <x:v>data/units/race_units.json</x:v>
      </x:c>
      <x:c r="B49" s="21" t="str">
        <x:v>$/units/0/cleanse_chance</x:v>
      </x:c>
      <x:c r="C49" s="21" t="str">
        <x:v>float</x:v>
      </x:c>
      <x:c r="D49" s="21" t="str">
        <x:v>0.25</x:v>
      </x:c>
    </x:row>
    <x:row r="50" ht="22" customHeight="1">
      <x:c r="A50" s="21" t="str">
        <x:v>data/units/race_units.json</x:v>
      </x:c>
      <x:c r="B50" s="21" t="str">
        <x:v>$/units/0/model</x:v>
      </x:c>
      <x:c r="C50" s="21" t="str">
        <x:v>string</x:v>
      </x:c>
      <x:c r="D50" s="21" t="str">
        <x:v>"res://assets/models/units/god_priest_refined/god_priest_refined.tscn"</x:v>
      </x:c>
    </x:row>
    <x:row r="51" ht="22" customHeight="1">
      <x:c r="A51" s="21" t="str">
        <x:v>data/units/race_units.json</x:v>
      </x:c>
      <x:c r="B51" s="21" t="str">
        <x:v>$/units/0/model_visual_scale</x:v>
      </x:c>
      <x:c r="C51" s="21" t="str">
        <x:v>float</x:v>
      </x:c>
      <x:c r="D51" s="21" t="str">
        <x:v>1.0</x:v>
      </x:c>
    </x:row>
    <x:row r="52" ht="22" customHeight="1">
      <x:c r="A52" s="21" t="str">
        <x:v>data/units/race_units.json</x:v>
      </x:c>
      <x:c r="B52" s="21" t="str">
        <x:v>$/units/0/model_base_yaw</x:v>
      </x:c>
      <x:c r="C52" s="21" t="str">
        <x:v>float</x:v>
      </x:c>
      <x:c r="D52" s="21" t="str">
        <x:v>180.0</x:v>
      </x:c>
    </x:row>
    <x:row r="53" ht="22" customHeight="1">
      <x:c r="A53" s="21" t="str">
        <x:v>data/units/race_units.json</x:v>
      </x:c>
      <x:c r="B53" s="21" t="str">
        <x:v>$/units/0/model_idle_animation_name</x:v>
      </x:c>
      <x:c r="C53" s="21" t="str">
        <x:v>string</x:v>
      </x:c>
      <x:c r="D53" s="21" t="str">
        <x:v>"idle"</x:v>
      </x:c>
    </x:row>
    <x:row r="54" ht="22" customHeight="1">
      <x:c r="A54" s="21" t="str">
        <x:v>data/units/race_units.json</x:v>
      </x:c>
      <x:c r="B54" s="21" t="str">
        <x:v>$/units/0/model_attack_animation_name</x:v>
      </x:c>
      <x:c r="C54" s="21" t="str">
        <x:v>string</x:v>
      </x:c>
      <x:c r="D54" s="21" t="str">
        <x:v>"attack"</x:v>
      </x:c>
    </x:row>
    <x:row r="55" ht="22" customHeight="1">
      <x:c r="A55" s="21" t="str">
        <x:v>data/units/race_units.json</x:v>
      </x:c>
      <x:c r="B55" s="21" t="str">
        <x:v>$/units/0/model_attack_sync_seek</x:v>
      </x:c>
      <x:c r="C55" s="21" t="str">
        <x:v>float</x:v>
      </x:c>
      <x:c r="D55" s="21" t="str">
        <x:v>0.18</x:v>
      </x:c>
    </x:row>
    <x:row r="56" ht="22" customHeight="1">
      <x:c r="A56" s="21" t="str">
        <x:v>data/units/race_units.json</x:v>
      </x:c>
      <x:c r="B56" s="21" t="str">
        <x:v>$/units/0/model_attack_lock_time</x:v>
      </x:c>
      <x:c r="C56" s="21" t="str">
        <x:v>float</x:v>
      </x:c>
      <x:c r="D56" s="21" t="str">
        <x:v>0.4</x:v>
      </x:c>
    </x:row>
    <x:row r="57" ht="22" customHeight="1">
      <x:c r="A57" s="21" t="str">
        <x:v>data/units/race_units.json</x:v>
      </x:c>
      <x:c r="B57" s="21" t="str">
        <x:v>$/units/0/model_run_animation_name</x:v>
      </x:c>
      <x:c r="C57" s="21" t="str">
        <x:v>string</x:v>
      </x:c>
      <x:c r="D57" s="21" t="str">
        <x:v>"run"</x:v>
      </x:c>
    </x:row>
    <x:row r="58" ht="22" customHeight="1">
      <x:c r="A58" s="21" t="str">
        <x:v>data/units/race_units.json</x:v>
      </x:c>
      <x:c r="B58" s="21" t="str">
        <x:v>$/units/0/name_en</x:v>
      </x:c>
      <x:c r="C58" s="21" t="str">
        <x:v>string</x:v>
      </x:c>
      <x:c r="D58" s="21" t="str">
        <x:v>"Godhand"</x:v>
      </x:c>
    </x:row>
    <x:row r="59" ht="22" customHeight="1">
      <x:c r="A59" s="21" t="str">
        <x:v>data/units/race_units.json</x:v>
      </x:c>
      <x:c r="B59" s="21" t="str">
        <x:v>$/units/1</x:v>
      </x:c>
      <x:c r="C59" s="21" t="str">
        <x:v>object</x:v>
      </x:c>
      <x:c r="D59" s="21" t="str"/>
    </x:row>
    <x:row r="60" ht="22" customHeight="1">
      <x:c r="A60" s="21" t="str">
        <x:v>data/units/race_units.json</x:v>
      </x:c>
      <x:c r="B60" s="21" t="str">
        <x:v>$/units/1/id</x:v>
      </x:c>
      <x:c r="C60" s="21" t="str">
        <x:v>string</x:v>
      </x:c>
      <x:c r="D60" s="21" t="str">
        <x:v>"god_priestess"</x:v>
      </x:c>
    </x:row>
    <x:row r="61" ht="22" customHeight="1">
      <x:c r="A61" s="21" t="str">
        <x:v>data/units/race_units.json</x:v>
      </x:c>
      <x:c r="B61" s="21" t="str">
        <x:v>$/units/1/model_in_place_actions</x:v>
      </x:c>
      <x:c r="C61" s="21" t="str">
        <x:v>array</x:v>
      </x:c>
      <x:c r="D61" s="21" t="str"/>
    </x:row>
    <x:row r="62" ht="22" customHeight="1">
      <x:c r="A62" s="21" t="str">
        <x:v>data/units/race_units.json</x:v>
      </x:c>
      <x:c r="B62" s="21" t="str">
        <x:v>$/units/1/model_in_place_actions/0</x:v>
      </x:c>
      <x:c r="C62" s="21" t="str">
        <x:v>string</x:v>
      </x:c>
      <x:c r="D62" s="21" t="str">
        <x:v>"run"</x:v>
      </x:c>
    </x:row>
    <x:row r="63" ht="22" customHeight="1">
      <x:c r="A63" s="21" t="str">
        <x:v>data/units/race_units.json</x:v>
      </x:c>
      <x:c r="B63" s="21" t="str">
        <x:v>$/units/1/star4</x:v>
      </x:c>
      <x:c r="C63" s="21" t="str">
        <x:v>object</x:v>
      </x:c>
      <x:c r="D63" s="21" t="str"/>
    </x:row>
    <x:row r="64" ht="22" customHeight="1">
      <x:c r="A64" s="21" t="str">
        <x:v>data/units/race_units.json</x:v>
      </x:c>
      <x:c r="B64" s="21" t="str">
        <x:v>$/units/1/star4/atk_bonus</x:v>
      </x:c>
      <x:c r="C64" s="21" t="str">
        <x:v>float</x:v>
      </x:c>
      <x:c r="D64" s="21" t="str">
        <x:v>0.32</x:v>
      </x:c>
    </x:row>
    <x:row r="65" ht="22" customHeight="1">
      <x:c r="A65" s="21" t="str">
        <x:v>data/units/race_units.json</x:v>
      </x:c>
      <x:c r="B65" s="21" t="str">
        <x:v>$/units/1/star4/aspd_bonus</x:v>
      </x:c>
      <x:c r="C65" s="21" t="str">
        <x:v>float</x:v>
      </x:c>
      <x:c r="D65" s="21" t="str">
        <x:v>0.45</x:v>
      </x:c>
    </x:row>
    <x:row r="66" ht="22" customHeight="1">
      <x:c r="A66" s="21" t="str">
        <x:v>data/units/race_units.json</x:v>
      </x:c>
      <x:c r="B66" s="21" t="str">
        <x:v>$/units/1/star4/skill_cd</x:v>
      </x:c>
      <x:c r="C66" s="21" t="str">
        <x:v>float</x:v>
      </x:c>
      <x:c r="D66" s="21" t="str">
        <x:v>4.5</x:v>
      </x:c>
    </x:row>
    <x:row r="67" ht="22" customHeight="1">
      <x:c r="A67" s="21" t="str">
        <x:v>data/units/race_units.json</x:v>
      </x:c>
      <x:c r="B67" s="21" t="str">
        <x:v>$/units/1/name</x:v>
      </x:c>
      <x:c r="C67" s="21" t="str">
        <x:v>string</x:v>
      </x:c>
      <x:c r="D67" s="21" t="str">
        <x:v>"大祭司"</x:v>
      </x:c>
    </x:row>
    <x:row r="68" ht="22" customHeight="1">
      <x:c r="A68" s="21" t="str">
        <x:v>data/units/race_units.json</x:v>
      </x:c>
      <x:c r="B68" s="21" t="str">
        <x:v>$/units/1/race</x:v>
      </x:c>
      <x:c r="C68" s="21" t="str">
        <x:v>string</x:v>
      </x:c>
      <x:c r="D68" s="21" t="str">
        <x:v>"god"</x:v>
      </x:c>
    </x:row>
    <x:row r="69" ht="22" customHeight="1">
      <x:c r="A69" s="21" t="str">
        <x:v>data/units/race_units.json</x:v>
      </x:c>
      <x:c r="B69" s="21" t="str">
        <x:v>$/units/1/element</x:v>
      </x:c>
      <x:c r="C69" s="21" t="str">
        <x:v>string</x:v>
      </x:c>
      <x:c r="D69" s="21" t="str">
        <x:v>"ren"</x:v>
      </x:c>
    </x:row>
    <x:row r="70" ht="22" customHeight="1">
      <x:c r="A70" s="21" t="str">
        <x:v>data/units/race_units.json</x:v>
      </x:c>
      <x:c r="B70" s="21" t="str">
        <x:v>$/units/1/tier</x:v>
      </x:c>
      <x:c r="C70" s="21" t="str">
        <x:v>int</x:v>
      </x:c>
      <x:c r="D70" s="21" t="str">
        <x:v>1</x:v>
      </x:c>
    </x:row>
    <x:row r="71" ht="22" customHeight="1">
      <x:c r="A71" s="21" t="str">
        <x:v>data/units/race_units.json</x:v>
      </x:c>
      <x:c r="B71" s="21" t="str">
        <x:v>$/units/1/cost</x:v>
      </x:c>
      <x:c r="C71" s="21" t="str">
        <x:v>int</x:v>
      </x:c>
      <x:c r="D71" s="21" t="str">
        <x:v>20</x:v>
      </x:c>
    </x:row>
    <x:row r="72" ht="22" customHeight="1">
      <x:c r="A72" s="21" t="str">
        <x:v>data/units/race_units.json</x:v>
      </x:c>
      <x:c r="B72" s="21" t="str">
        <x:v>$/units/1/hp</x:v>
      </x:c>
      <x:c r="C72" s="21" t="str">
        <x:v>int</x:v>
      </x:c>
      <x:c r="D72" s="21" t="str">
        <x:v>600</x:v>
      </x:c>
    </x:row>
    <x:row r="73" ht="22" customHeight="1">
      <x:c r="A73" s="21" t="str">
        <x:v>data/units/race_units.json</x:v>
      </x:c>
      <x:c r="B73" s="21" t="str">
        <x:v>$/units/1/atk</x:v>
      </x:c>
      <x:c r="C73" s="21" t="str">
        <x:v>int</x:v>
      </x:c>
      <x:c r="D73" s="21" t="str">
        <x:v>26</x:v>
      </x:c>
    </x:row>
    <x:row r="74" ht="22" customHeight="1">
      <x:c r="A74" s="21" t="str">
        <x:v>data/units/race_units.json</x:v>
      </x:c>
      <x:c r="B74" s="21" t="str">
        <x:v>$/units/1/def</x:v>
      </x:c>
      <x:c r="C74" s="21" t="str">
        <x:v>int</x:v>
      </x:c>
      <x:c r="D74" s="21" t="str">
        <x:v>4</x:v>
      </x:c>
    </x:row>
    <x:row r="75" ht="22" customHeight="1">
      <x:c r="A75" s="21" t="str">
        <x:v>data/units/race_units.json</x:v>
      </x:c>
      <x:c r="B75" s="21" t="str">
        <x:v>$/units/1/attack_speed</x:v>
      </x:c>
      <x:c r="C75" s="21" t="str">
        <x:v>float</x:v>
      </x:c>
      <x:c r="D75" s="21" t="str">
        <x:v>0.9</x:v>
      </x:c>
    </x:row>
    <x:row r="76" ht="22" customHeight="1">
      <x:c r="A76" s="21" t="str">
        <x:v>data/units/race_units.json</x:v>
      </x:c>
      <x:c r="B76" s="21" t="str">
        <x:v>$/units/1/range</x:v>
      </x:c>
      <x:c r="C76" s="21" t="str">
        <x:v>int</x:v>
      </x:c>
      <x:c r="D76" s="21" t="str">
        <x:v>4</x:v>
      </x:c>
    </x:row>
    <x:row r="77" ht="22" customHeight="1">
      <x:c r="A77" s="21" t="str">
        <x:v>data/units/race_units.json</x:v>
      </x:c>
      <x:c r="B77" s="21" t="str">
        <x:v>$/units/1/move_speed</x:v>
      </x:c>
      <x:c r="C77" s="21" t="str">
        <x:v>float</x:v>
      </x:c>
      <x:c r="D77" s="21" t="str">
        <x:v>3.15</x:v>
      </x:c>
    </x:row>
    <x:row r="78" ht="22" customHeight="1">
      <x:c r="A78" s="21" t="str">
        <x:v>data/units/race_units.json</x:v>
      </x:c>
      <x:c r="B78" s="21" t="str">
        <x:v>$/units/1/crit</x:v>
      </x:c>
      <x:c r="C78" s="21" t="str">
        <x:v>float</x:v>
      </x:c>
      <x:c r="D78" s="21" t="str">
        <x:v>0.05</x:v>
      </x:c>
    </x:row>
    <x:row r="79" ht="22" customHeight="1">
      <x:c r="A79" s="21" t="str">
        <x:v>data/units/race_units.json</x:v>
      </x:c>
      <x:c r="B79" s="21" t="str">
        <x:v>$/units/1/crit_dmg</x:v>
      </x:c>
      <x:c r="C79" s="21" t="str">
        <x:v>float</x:v>
      </x:c>
      <x:c r="D79" s="21" t="str">
        <x:v>1.5</x:v>
      </x:c>
    </x:row>
    <x:row r="80" ht="22" customHeight="1">
      <x:c r="A80" s="21" t="str">
        <x:v>data/units/race_units.json</x:v>
      </x:c>
      <x:c r="B80" s="21" t="str">
        <x:v>$/units/1/skill_id</x:v>
      </x:c>
      <x:c r="C80" s="21" t="str">
        <x:v>string</x:v>
      </x:c>
      <x:c r="D80" s="21" t="str">
        <x:v>"nearest_ally_bless"</x:v>
      </x:c>
    </x:row>
    <x:row r="81" ht="22" customHeight="1">
      <x:c r="A81" s="21" t="str">
        <x:v>data/units/race_units.json</x:v>
      </x:c>
      <x:c r="B81" s="21" t="str">
        <x:v>$/units/1/skill_cd</x:v>
      </x:c>
      <x:c r="C81" s="21" t="str">
        <x:v>float</x:v>
      </x:c>
      <x:c r="D81" s="21" t="str">
        <x:v>6.0</x:v>
      </x:c>
    </x:row>
    <x:row r="82" ht="22" customHeight="1">
      <x:c r="A82" s="21" t="str">
        <x:v>data/units/race_units.json</x:v>
      </x:c>
      <x:c r="B82" s="21" t="str">
        <x:v>$/units/1/atk_bonus</x:v>
      </x:c>
      <x:c r="C82" s="21" t="str">
        <x:v>float</x:v>
      </x:c>
      <x:c r="D82" s="21" t="str">
        <x:v>0.08</x:v>
      </x:c>
    </x:row>
    <x:row r="83" ht="22" customHeight="1">
      <x:c r="A83" s="21" t="str">
        <x:v>data/units/race_units.json</x:v>
      </x:c>
      <x:c r="B83" s="21" t="str">
        <x:v>$/units/1/aspd_bonus</x:v>
      </x:c>
      <x:c r="C83" s="21" t="str">
        <x:v>float</x:v>
      </x:c>
      <x:c r="D83" s="21" t="str">
        <x:v>0.15</x:v>
      </x:c>
    </x:row>
    <x:row r="84" ht="22" customHeight="1">
      <x:c r="A84" s="21" t="str">
        <x:v>data/units/race_units.json</x:v>
      </x:c>
      <x:c r="B84" s="21" t="str">
        <x:v>$/units/1/model</x:v>
      </x:c>
      <x:c r="C84" s="21" t="str">
        <x:v>string</x:v>
      </x:c>
      <x:c r="D84" s="21" t="str">
        <x:v>"res://assets/models/units/god_priestess_refined/god_priestess_refined.tscn"</x:v>
      </x:c>
    </x:row>
    <x:row r="85" ht="22" customHeight="1">
      <x:c r="A85" s="21" t="str">
        <x:v>data/units/race_units.json</x:v>
      </x:c>
      <x:c r="B85" s="21" t="str">
        <x:v>$/units/1/model_visual_scale</x:v>
      </x:c>
      <x:c r="C85" s="21" t="str">
        <x:v>int</x:v>
      </x:c>
      <x:c r="D85" s="21" t="str">
        <x:v>1</x:v>
      </x:c>
    </x:row>
    <x:row r="86" ht="22" customHeight="1">
      <x:c r="A86" s="21" t="str">
        <x:v>data/units/race_units.json</x:v>
      </x:c>
      <x:c r="B86" s="21" t="str">
        <x:v>$/units/1/model_base_yaw</x:v>
      </x:c>
      <x:c r="C86" s="21" t="str">
        <x:v>int</x:v>
      </x:c>
      <x:c r="D86" s="21" t="str">
        <x:v>180</x:v>
      </x:c>
    </x:row>
    <x:row r="87" ht="22" customHeight="1">
      <x:c r="A87" s="21" t="str">
        <x:v>data/units/race_units.json</x:v>
      </x:c>
      <x:c r="B87" s="21" t="str">
        <x:v>$/units/1/name_en</x:v>
      </x:c>
      <x:c r="C87" s="21" t="str">
        <x:v>string</x:v>
      </x:c>
      <x:c r="D87" s="21" t="str">
        <x:v>"Priestess"</x:v>
      </x:c>
    </x:row>
    <x:row r="88" ht="22" customHeight="1">
      <x:c r="A88" s="21" t="str">
        <x:v>data/units/race_units.json</x:v>
      </x:c>
      <x:c r="B88" s="21" t="str">
        <x:v>$/units/2</x:v>
      </x:c>
      <x:c r="C88" s="21" t="str">
        <x:v>object</x:v>
      </x:c>
      <x:c r="D88" s="21" t="str"/>
    </x:row>
    <x:row r="89" ht="22" customHeight="1">
      <x:c r="A89" s="21" t="str">
        <x:v>data/units/race_units.json</x:v>
      </x:c>
      <x:c r="B89" s="21" t="str">
        <x:v>$/units/2/id</x:v>
      </x:c>
      <x:c r="C89" s="21" t="str">
        <x:v>string</x:v>
      </x:c>
      <x:c r="D89" s="21" t="str">
        <x:v>"god_guard"</x:v>
      </x:c>
    </x:row>
    <x:row r="90" ht="22" customHeight="1">
      <x:c r="A90" s="21" t="str">
        <x:v>data/units/race_units.json</x:v>
      </x:c>
      <x:c r="B90" s="21" t="str">
        <x:v>$/units/2/star4</x:v>
      </x:c>
      <x:c r="C90" s="21" t="str">
        <x:v>object</x:v>
      </x:c>
      <x:c r="D90" s="21" t="str"/>
    </x:row>
    <x:row r="91" ht="22" customHeight="1">
      <x:c r="A91" s="21" t="str">
        <x:v>data/units/race_units.json</x:v>
      </x:c>
      <x:c r="B91" s="21" t="str">
        <x:v>$/units/2/star4/shield_control_immune</x:v>
      </x:c>
      <x:c r="C91" s="21" t="str">
        <x:v>bool</x:v>
      </x:c>
      <x:c r="D91" s="21" t="str">
        <x:v>true</x:v>
      </x:c>
    </x:row>
    <x:row r="92" ht="22" customHeight="1">
      <x:c r="A92" s="21" t="str">
        <x:v>data/units/race_units.json</x:v>
      </x:c>
      <x:c r="B92" s="21" t="str">
        <x:v>$/units/2/star4/start_shield_pct</x:v>
      </x:c>
      <x:c r="C92" s="21" t="str">
        <x:v>float</x:v>
      </x:c>
      <x:c r="D92" s="21" t="str">
        <x:v>0.4</x:v>
      </x:c>
    </x:row>
    <x:row r="93" ht="22" customHeight="1">
      <x:c r="A93" s="21" t="str">
        <x:v>data/units/race_units.json</x:v>
      </x:c>
      <x:c r="B93" s="21" t="str">
        <x:v>$/units/2/star4/taunt_radius</x:v>
      </x:c>
      <x:c r="C93" s="21" t="str">
        <x:v>int</x:v>
      </x:c>
      <x:c r="D93" s="21" t="str">
        <x:v>240</x:v>
      </x:c>
    </x:row>
    <x:row r="94" ht="22" customHeight="1">
      <x:c r="A94" s="21" t="str">
        <x:v>data/units/race_units.json</x:v>
      </x:c>
      <x:c r="B94" s="21" t="str">
        <x:v>$/units/2/name</x:v>
      </x:c>
      <x:c r="C94" s="21" t="str">
        <x:v>string</x:v>
      </x:c>
      <x:c r="D94" s="21" t="str">
        <x:v>"光之卫士"</x:v>
      </x:c>
    </x:row>
    <x:row r="95" ht="22" customHeight="1">
      <x:c r="A95" s="21" t="str">
        <x:v>data/units/race_units.json</x:v>
      </x:c>
      <x:c r="B95" s="21" t="str">
        <x:v>$/units/2/race</x:v>
      </x:c>
      <x:c r="C95" s="21" t="str">
        <x:v>string</x:v>
      </x:c>
      <x:c r="D95" s="21" t="str">
        <x:v>"god"</x:v>
      </x:c>
    </x:row>
    <x:row r="96" ht="22" customHeight="1">
      <x:c r="A96" s="21" t="str">
        <x:v>data/units/race_units.json</x:v>
      </x:c>
      <x:c r="B96" s="21" t="str">
        <x:v>$/units/2/element</x:v>
      </x:c>
      <x:c r="C96" s="21" t="str">
        <x:v>string</x:v>
      </x:c>
      <x:c r="D96" s="21" t="str">
        <x:v>"land"</x:v>
      </x:c>
    </x:row>
    <x:row r="97" ht="22" customHeight="1">
      <x:c r="A97" s="21" t="str">
        <x:v>data/units/race_units.json</x:v>
      </x:c>
      <x:c r="B97" s="21" t="str">
        <x:v>$/units/2/tier</x:v>
      </x:c>
      <x:c r="C97" s="21" t="str">
        <x:v>int</x:v>
      </x:c>
      <x:c r="D97" s="21" t="str">
        <x:v>2</x:v>
      </x:c>
    </x:row>
    <x:row r="98" ht="22" customHeight="1">
      <x:c r="A98" s="21" t="str">
        <x:v>data/units/race_units.json</x:v>
      </x:c>
      <x:c r="B98" s="21" t="str">
        <x:v>$/units/2/cost</x:v>
      </x:c>
      <x:c r="C98" s="21" t="str">
        <x:v>int</x:v>
      </x:c>
      <x:c r="D98" s="21" t="str">
        <x:v>30</x:v>
      </x:c>
    </x:row>
    <x:row r="99" ht="22" customHeight="1">
      <x:c r="A99" s="21" t="str">
        <x:v>data/units/race_units.json</x:v>
      </x:c>
      <x:c r="B99" s="21" t="str">
        <x:v>$/units/2/hp</x:v>
      </x:c>
      <x:c r="C99" s="21" t="str">
        <x:v>int</x:v>
      </x:c>
      <x:c r="D99" s="21" t="str">
        <x:v>1520</x:v>
      </x:c>
    </x:row>
    <x:row r="100" ht="22" customHeight="1">
      <x:c r="A100" s="21" t="str">
        <x:v>data/units/race_units.json</x:v>
      </x:c>
      <x:c r="B100" s="21" t="str">
        <x:v>$/units/2/atk</x:v>
      </x:c>
      <x:c r="C100" s="21" t="str">
        <x:v>int</x:v>
      </x:c>
      <x:c r="D100" s="21" t="str">
        <x:v>46</x:v>
      </x:c>
    </x:row>
    <x:row r="101" ht="22" customHeight="1">
      <x:c r="A101" s="21" t="str">
        <x:v>data/units/race_units.json</x:v>
      </x:c>
      <x:c r="B101" s="21" t="str">
        <x:v>$/units/2/def</x:v>
      </x:c>
      <x:c r="C101" s="21" t="str">
        <x:v>int</x:v>
      </x:c>
      <x:c r="D101" s="21" t="str">
        <x:v>14</x:v>
      </x:c>
    </x:row>
    <x:row r="102" ht="22" customHeight="1">
      <x:c r="A102" s="21" t="str">
        <x:v>data/units/race_units.json</x:v>
      </x:c>
      <x:c r="B102" s="21" t="str">
        <x:v>$/units/2/attack_speed</x:v>
      </x:c>
      <x:c r="C102" s="21" t="str">
        <x:v>float</x:v>
      </x:c>
      <x:c r="D102" s="21" t="str">
        <x:v>0.75</x:v>
      </x:c>
    </x:row>
    <x:row r="103" ht="22" customHeight="1">
      <x:c r="A103" s="21" t="str">
        <x:v>data/units/race_units.json</x:v>
      </x:c>
      <x:c r="B103" s="21" t="str">
        <x:v>$/units/2/range</x:v>
      </x:c>
      <x:c r="C103" s="21" t="str">
        <x:v>int</x:v>
      </x:c>
      <x:c r="D103" s="21" t="str">
        <x:v>1</x:v>
      </x:c>
    </x:row>
    <x:row r="104" ht="22" customHeight="1">
      <x:c r="A104" s="21" t="str">
        <x:v>data/units/race_units.json</x:v>
      </x:c>
      <x:c r="B104" s="21" t="str">
        <x:v>$/units/2/move_speed</x:v>
      </x:c>
      <x:c r="C104" s="21" t="str">
        <x:v>float</x:v>
      </x:c>
      <x:c r="D104" s="21" t="str">
        <x:v>3.0</x:v>
      </x:c>
    </x:row>
    <x:row r="105" ht="22" customHeight="1">
      <x:c r="A105" s="21" t="str">
        <x:v>data/units/race_units.json</x:v>
      </x:c>
      <x:c r="B105" s="21" t="str">
        <x:v>$/units/2/crit</x:v>
      </x:c>
      <x:c r="C105" s="21" t="str">
        <x:v>float</x:v>
      </x:c>
      <x:c r="D105" s="21" t="str">
        <x:v>0.05</x:v>
      </x:c>
    </x:row>
    <x:row r="106" ht="22" customHeight="1">
      <x:c r="A106" s="21" t="str">
        <x:v>data/units/race_units.json</x:v>
      </x:c>
      <x:c r="B106" s="21" t="str">
        <x:v>$/units/2/crit_dmg</x:v>
      </x:c>
      <x:c r="C106" s="21" t="str">
        <x:v>float</x:v>
      </x:c>
      <x:c r="D106" s="21" t="str">
        <x:v>1.5</x:v>
      </x:c>
    </x:row>
    <x:row r="107" ht="22" customHeight="1">
      <x:c r="A107" s="21" t="str">
        <x:v>data/units/race_units.json</x:v>
      </x:c>
      <x:c r="B107" s="21" t="str">
        <x:v>$/units/2/skill_id</x:v>
      </x:c>
      <x:c r="C107" s="21" t="str">
        <x:v>string</x:v>
      </x:c>
      <x:c r="D107" s="21" t="str">
        <x:v>"guardian_shield_taunt"</x:v>
      </x:c>
    </x:row>
    <x:row r="108" ht="22" customHeight="1">
      <x:c r="A108" s="21" t="str">
        <x:v>data/units/race_units.json</x:v>
      </x:c>
      <x:c r="B108" s="21" t="str">
        <x:v>$/units/2/start_shield_pct</x:v>
      </x:c>
      <x:c r="C108" s="21" t="str">
        <x:v>float</x:v>
      </x:c>
      <x:c r="D108" s="21" t="str">
        <x:v>0.2</x:v>
      </x:c>
    </x:row>
    <x:row r="109" ht="22" customHeight="1">
      <x:c r="A109" s="21" t="str">
        <x:v>data/units/race_units.json</x:v>
      </x:c>
      <x:c r="B109" s="21" t="str">
        <x:v>$/units/2/taunt_radius</x:v>
      </x:c>
      <x:c r="C109" s="21" t="str">
        <x:v>float</x:v>
      </x:c>
      <x:c r="D109" s="21" t="str">
        <x:v>180.0</x:v>
      </x:c>
    </x:row>
    <x:row r="110" ht="22" customHeight="1">
      <x:c r="A110" s="21" t="str">
        <x:v>data/units/race_units.json</x:v>
      </x:c>
      <x:c r="B110" s="21" t="str">
        <x:v>$/units/2/model</x:v>
      </x:c>
      <x:c r="C110" s="21" t="str">
        <x:v>string</x:v>
      </x:c>
      <x:c r="D110" s="21" t="str">
        <x:v>"res://assets/models/units/god_guard_refined/god_guard_refined.tscn"</x:v>
      </x:c>
    </x:row>
    <x:row r="111" ht="22" customHeight="1">
      <x:c r="A111" s="21" t="str">
        <x:v>data/units/race_units.json</x:v>
      </x:c>
      <x:c r="B111" s="21" t="str">
        <x:v>$/units/2/model_attack_animation_name</x:v>
      </x:c>
      <x:c r="C111" s="21" t="str">
        <x:v>string</x:v>
      </x:c>
      <x:c r="D111" s="21" t="str">
        <x:v>"attack"</x:v>
      </x:c>
    </x:row>
    <x:row r="112" ht="22" customHeight="1">
      <x:c r="A112" s="21" t="str">
        <x:v>data/units/race_units.json</x:v>
      </x:c>
      <x:c r="B112" s="21" t="str">
        <x:v>$/units/2/model_attack_sync_seek</x:v>
      </x:c>
      <x:c r="C112" s="21" t="str">
        <x:v>float</x:v>
      </x:c>
      <x:c r="D112" s="21" t="str">
        <x:v>0.35</x:v>
      </x:c>
    </x:row>
    <x:row r="113" ht="22" customHeight="1">
      <x:c r="A113" s="21" t="str">
        <x:v>data/units/race_units.json</x:v>
      </x:c>
      <x:c r="B113" s="21" t="str">
        <x:v>$/units/2/model_attack_lock_time</x:v>
      </x:c>
      <x:c r="C113" s="21" t="str">
        <x:v>float</x:v>
      </x:c>
      <x:c r="D113" s="21" t="str">
        <x:v>0.45</x:v>
      </x:c>
    </x:row>
    <x:row r="114" ht="22" customHeight="1">
      <x:c r="A114" s="21" t="str">
        <x:v>data/units/race_units.json</x:v>
      </x:c>
      <x:c r="B114" s="21" t="str">
        <x:v>$/units/2/model_run_animation_name</x:v>
      </x:c>
      <x:c r="C114" s="21" t="str">
        <x:v>string</x:v>
      </x:c>
      <x:c r="D114" s="21" t="str">
        <x:v>"run"</x:v>
      </x:c>
    </x:row>
    <x:row r="115" ht="22" customHeight="1">
      <x:c r="A115" s="21" t="str">
        <x:v>data/units/race_units.json</x:v>
      </x:c>
      <x:c r="B115" s="21" t="str">
        <x:v>$/units/2/model_visual_scale</x:v>
      </x:c>
      <x:c r="C115" s="21" t="str">
        <x:v>int</x:v>
      </x:c>
      <x:c r="D115" s="21" t="str">
        <x:v>1</x:v>
      </x:c>
    </x:row>
    <x:row r="116" ht="22" customHeight="1">
      <x:c r="A116" s="21" t="str">
        <x:v>data/units/race_units.json</x:v>
      </x:c>
      <x:c r="B116" s="21" t="str">
        <x:v>$/units/2/model_base_yaw</x:v>
      </x:c>
      <x:c r="C116" s="21" t="str">
        <x:v>int</x:v>
      </x:c>
      <x:c r="D116" s="21" t="str">
        <x:v>180</x:v>
      </x:c>
    </x:row>
    <x:row r="117" ht="22" customHeight="1">
      <x:c r="A117" s="21" t="str">
        <x:v>data/units/race_units.json</x:v>
      </x:c>
      <x:c r="B117" s="21" t="str">
        <x:v>$/units/2/name_en</x:v>
      </x:c>
      <x:c r="C117" s="21" t="str">
        <x:v>string</x:v>
      </x:c>
      <x:c r="D117" s="21" t="str">
        <x:v>"Lightguard"</x:v>
      </x:c>
    </x:row>
    <x:row r="118" ht="22" customHeight="1">
      <x:c r="A118" s="21" t="str">
        <x:v>data/units/race_units.json</x:v>
      </x:c>
      <x:c r="B118" s="21" t="str">
        <x:v>$/units/3</x:v>
      </x:c>
      <x:c r="C118" s="21" t="str">
        <x:v>object</x:v>
      </x:c>
      <x:c r="D118" s="21" t="str"/>
    </x:row>
    <x:row r="119" ht="22" customHeight="1">
      <x:c r="A119" s="21" t="str">
        <x:v>data/units/race_units.json</x:v>
      </x:c>
      <x:c r="B119" s="21" t="str">
        <x:v>$/units/3/id</x:v>
      </x:c>
      <x:c r="C119" s="21" t="str">
        <x:v>string</x:v>
      </x:c>
      <x:c r="D119" s="21" t="str">
        <x:v>"god_aurora"</x:v>
      </x:c>
    </x:row>
    <x:row r="120" ht="22" customHeight="1">
      <x:c r="A120" s="21" t="str">
        <x:v>data/units/race_units.json</x:v>
      </x:c>
      <x:c r="B120" s="21" t="str">
        <x:v>$/units/3/model_in_place_actions</x:v>
      </x:c>
      <x:c r="C120" s="21" t="str">
        <x:v>array</x:v>
      </x:c>
      <x:c r="D120" s="21" t="str"/>
    </x:row>
    <x:row r="121" ht="22" customHeight="1">
      <x:c r="A121" s="21" t="str">
        <x:v>data/units/race_units.json</x:v>
      </x:c>
      <x:c r="B121" s="21" t="str">
        <x:v>$/units/3/model_in_place_actions/0</x:v>
      </x:c>
      <x:c r="C121" s="21" t="str">
        <x:v>string</x:v>
      </x:c>
      <x:c r="D121" s="21" t="str">
        <x:v>"run"</x:v>
      </x:c>
    </x:row>
    <x:row r="122" ht="22" customHeight="1">
      <x:c r="A122" s="21" t="str">
        <x:v>data/units/race_units.json</x:v>
      </x:c>
      <x:c r="B122" s="21" t="str">
        <x:v>$/units/3/star4</x:v>
      </x:c>
      <x:c r="C122" s="21" t="str">
        <x:v>object</x:v>
      </x:c>
      <x:c r="D122" s="21" t="str"/>
    </x:row>
    <x:row r="123" ht="22" customHeight="1">
      <x:c r="A123" s="21" t="str">
        <x:v>data/units/race_units.json</x:v>
      </x:c>
      <x:c r="B123" s="21" t="str">
        <x:v>$/units/3/star4/third_hit_double</x:v>
      </x:c>
      <x:c r="C123" s="21" t="str">
        <x:v>bool</x:v>
      </x:c>
      <x:c r="D123" s="21" t="str">
        <x:v>true</x:v>
      </x:c>
    </x:row>
    <x:row r="124" ht="22" customHeight="1">
      <x:c r="A124" s="21" t="str">
        <x:v>data/units/race_units.json</x:v>
      </x:c>
      <x:c r="B124" s="21" t="str">
        <x:v>$/units/3/star4/true_damage_pct</x:v>
      </x:c>
      <x:c r="C124" s="21" t="str">
        <x:v>float</x:v>
      </x:c>
      <x:c r="D124" s="21" t="str">
        <x:v>0.45</x:v>
      </x:c>
    </x:row>
    <x:row r="125" ht="22" customHeight="1">
      <x:c r="A125" s="21" t="str">
        <x:v>data/units/race_units.json</x:v>
      </x:c>
      <x:c r="B125" s="21" t="str">
        <x:v>$/units/3/name</x:v>
      </x:c>
      <x:c r="C125" s="21" t="str">
        <x:v>string</x:v>
      </x:c>
      <x:c r="D125" s="21" t="str">
        <x:v>"极光射手"</x:v>
      </x:c>
    </x:row>
    <x:row r="126" ht="22" customHeight="1">
      <x:c r="A126" s="21" t="str">
        <x:v>data/units/race_units.json</x:v>
      </x:c>
      <x:c r="B126" s="21" t="str">
        <x:v>$/units/3/race</x:v>
      </x:c>
      <x:c r="C126" s="21" t="str">
        <x:v>string</x:v>
      </x:c>
      <x:c r="D126" s="21" t="str">
        <x:v>"god"</x:v>
      </x:c>
    </x:row>
    <x:row r="127" ht="22" customHeight="1">
      <x:c r="A127" s="21" t="str">
        <x:v>data/units/race_units.json</x:v>
      </x:c>
      <x:c r="B127" s="21" t="str">
        <x:v>$/units/3/element</x:v>
      </x:c>
      <x:c r="C127" s="21" t="str">
        <x:v>string</x:v>
      </x:c>
      <x:c r="D127" s="21" t="str">
        <x:v>"sky"</x:v>
      </x:c>
    </x:row>
    <x:row r="128" ht="22" customHeight="1">
      <x:c r="A128" s="21" t="str">
        <x:v>data/units/race_units.json</x:v>
      </x:c>
      <x:c r="B128" s="21" t="str">
        <x:v>$/units/3/tier</x:v>
      </x:c>
      <x:c r="C128" s="21" t="str">
        <x:v>int</x:v>
      </x:c>
      <x:c r="D128" s="21" t="str">
        <x:v>2</x:v>
      </x:c>
    </x:row>
    <x:row r="129" ht="22" customHeight="1">
      <x:c r="A129" s="21" t="str">
        <x:v>data/units/race_units.json</x:v>
      </x:c>
      <x:c r="B129" s="21" t="str">
        <x:v>$/units/3/cost</x:v>
      </x:c>
      <x:c r="C129" s="21" t="str">
        <x:v>int</x:v>
      </x:c>
      <x:c r="D129" s="21" t="str">
        <x:v>30</x:v>
      </x:c>
    </x:row>
    <x:row r="130" ht="22" customHeight="1">
      <x:c r="A130" s="21" t="str">
        <x:v>data/units/race_units.json</x:v>
      </x:c>
      <x:c r="B130" s="21" t="str">
        <x:v>$/units/3/hp</x:v>
      </x:c>
      <x:c r="C130" s="21" t="str">
        <x:v>int</x:v>
      </x:c>
      <x:c r="D130" s="21" t="str">
        <x:v>720</x:v>
      </x:c>
    </x:row>
    <x:row r="131" ht="22" customHeight="1">
      <x:c r="A131" s="21" t="str">
        <x:v>data/units/race_units.json</x:v>
      </x:c>
      <x:c r="B131" s="21" t="str">
        <x:v>$/units/3/atk</x:v>
      </x:c>
      <x:c r="C131" s="21" t="str">
        <x:v>int</x:v>
      </x:c>
      <x:c r="D131" s="21" t="str">
        <x:v>77</x:v>
      </x:c>
    </x:row>
    <x:row r="132" ht="22" customHeight="1">
      <x:c r="A132" s="21" t="str">
        <x:v>data/units/race_units.json</x:v>
      </x:c>
      <x:c r="B132" s="21" t="str">
        <x:v>$/units/3/def</x:v>
      </x:c>
      <x:c r="C132" s="21" t="str">
        <x:v>int</x:v>
      </x:c>
      <x:c r="D132" s="21" t="str">
        <x:v>4</x:v>
      </x:c>
    </x:row>
    <x:row r="133" ht="22" customHeight="1">
      <x:c r="A133" s="21" t="str">
        <x:v>data/units/race_units.json</x:v>
      </x:c>
      <x:c r="B133" s="21" t="str">
        <x:v>$/units/3/attack_speed</x:v>
      </x:c>
      <x:c r="C133" s="21" t="str">
        <x:v>float</x:v>
      </x:c>
      <x:c r="D133" s="21" t="str">
        <x:v>1.2</x:v>
      </x:c>
    </x:row>
    <x:row r="134" ht="22" customHeight="1">
      <x:c r="A134" s="21" t="str">
        <x:v>data/units/race_units.json</x:v>
      </x:c>
      <x:c r="B134" s="21" t="str">
        <x:v>$/units/3/range</x:v>
      </x:c>
      <x:c r="C134" s="21" t="str">
        <x:v>int</x:v>
      </x:c>
      <x:c r="D134" s="21" t="str">
        <x:v>4</x:v>
      </x:c>
    </x:row>
    <x:row r="135" ht="22" customHeight="1">
      <x:c r="A135" s="21" t="str">
        <x:v>data/units/race_units.json</x:v>
      </x:c>
      <x:c r="B135" s="21" t="str">
        <x:v>$/units/3/move_speed</x:v>
      </x:c>
      <x:c r="C135" s="21" t="str">
        <x:v>float</x:v>
      </x:c>
      <x:c r="D135" s="21" t="str">
        <x:v>3.2</x:v>
      </x:c>
    </x:row>
    <x:row r="136" ht="22" customHeight="1">
      <x:c r="A136" s="21" t="str">
        <x:v>data/units/race_units.json</x:v>
      </x:c>
      <x:c r="B136" s="21" t="str">
        <x:v>$/units/3/crit</x:v>
      </x:c>
      <x:c r="C136" s="21" t="str">
        <x:v>float</x:v>
      </x:c>
      <x:c r="D136" s="21" t="str">
        <x:v>0.1</x:v>
      </x:c>
    </x:row>
    <x:row r="137" ht="22" customHeight="1">
      <x:c r="A137" s="21" t="str">
        <x:v>data/units/race_units.json</x:v>
      </x:c>
      <x:c r="B137" s="21" t="str">
        <x:v>$/units/3/crit_dmg</x:v>
      </x:c>
      <x:c r="C137" s="21" t="str">
        <x:v>float</x:v>
      </x:c>
      <x:c r="D137" s="21" t="str">
        <x:v>1.6</x:v>
      </x:c>
    </x:row>
    <x:row r="138" ht="22" customHeight="1">
      <x:c r="A138" s="21" t="str">
        <x:v>data/units/race_units.json</x:v>
      </x:c>
      <x:c r="B138" s="21" t="str">
        <x:v>$/units/3/skill_id</x:v>
      </x:c>
      <x:c r="C138" s="21" t="str">
        <x:v>string</x:v>
      </x:c>
      <x:c r="D138" s="21" t="str">
        <x:v>"true_damage_attack"</x:v>
      </x:c>
    </x:row>
    <x:row r="139" ht="22" customHeight="1">
      <x:c r="A139" s="21" t="str">
        <x:v>data/units/race_units.json</x:v>
      </x:c>
      <x:c r="B139" s="21" t="str">
        <x:v>$/units/3/true_damage_pct</x:v>
      </x:c>
      <x:c r="C139" s="21" t="str">
        <x:v>float</x:v>
      </x:c>
      <x:c r="D139" s="21" t="str">
        <x:v>0.18</x:v>
      </x:c>
    </x:row>
    <x:row r="140" ht="22" customHeight="1">
      <x:c r="A140" s="21" t="str">
        <x:v>data/units/race_units.json</x:v>
      </x:c>
      <x:c r="B140" s="21" t="str">
        <x:v>$/units/3/model</x:v>
      </x:c>
      <x:c r="C140" s="21" t="str">
        <x:v>string</x:v>
      </x:c>
      <x:c r="D140" s="21" t="str">
        <x:v>"res://assets/models/units/god_aurora_refined/god_aurora_refined.tscn"</x:v>
      </x:c>
    </x:row>
    <x:row r="141" ht="22" customHeight="1">
      <x:c r="A141" s="21" t="str">
        <x:v>data/units/race_units.json</x:v>
      </x:c>
      <x:c r="B141" s="21" t="str">
        <x:v>$/units/3/model_visual_scale</x:v>
      </x:c>
      <x:c r="C141" s="21" t="str">
        <x:v>int</x:v>
      </x:c>
      <x:c r="D141" s="21" t="str">
        <x:v>1</x:v>
      </x:c>
    </x:row>
    <x:row r="142" ht="22" customHeight="1">
      <x:c r="A142" s="21" t="str">
        <x:v>data/units/race_units.json</x:v>
      </x:c>
      <x:c r="B142" s="21" t="str">
        <x:v>$/units/3/model_base_yaw</x:v>
      </x:c>
      <x:c r="C142" s="21" t="str">
        <x:v>int</x:v>
      </x:c>
      <x:c r="D142" s="21" t="str">
        <x:v>180</x:v>
      </x:c>
    </x:row>
    <x:row r="143" ht="22" customHeight="1">
      <x:c r="A143" s="21" t="str">
        <x:v>data/units/race_units.json</x:v>
      </x:c>
      <x:c r="B143" s="21" t="str">
        <x:v>$/units/3/name_en</x:v>
      </x:c>
      <x:c r="C143" s="21" t="str">
        <x:v>string</x:v>
      </x:c>
      <x:c r="D143" s="21" t="str">
        <x:v>"Aurora"</x:v>
      </x:c>
    </x:row>
    <x:row r="144" ht="22" customHeight="1">
      <x:c r="A144" s="21" t="str">
        <x:v>data/units/race_units.json</x:v>
      </x:c>
      <x:c r="B144" s="21" t="str">
        <x:v>$/units/4</x:v>
      </x:c>
      <x:c r="C144" s="21" t="str">
        <x:v>object</x:v>
      </x:c>
      <x:c r="D144" s="21" t="str"/>
    </x:row>
    <x:row r="145" ht="22" customHeight="1">
      <x:c r="A145" s="21" t="str">
        <x:v>data/units/race_units.json</x:v>
      </x:c>
      <x:c r="B145" s="21" t="str">
        <x:v>$/units/4/id</x:v>
      </x:c>
      <x:c r="C145" s="21" t="str">
        <x:v>string</x:v>
      </x:c>
      <x:c r="D145" s="21" t="str">
        <x:v>"god_angel"</x:v>
      </x:c>
    </x:row>
    <x:row r="146" ht="22" customHeight="1">
      <x:c r="A146" s="21" t="str">
        <x:v>data/units/race_units.json</x:v>
      </x:c>
      <x:c r="B146" s="21" t="str">
        <x:v>$/units/4/star4</x:v>
      </x:c>
      <x:c r="C146" s="21" t="str">
        <x:v>object</x:v>
      </x:c>
      <x:c r="D146" s="21" t="str"/>
    </x:row>
    <x:row r="147" ht="22" customHeight="1">
      <x:c r="A147" s="21" t="str">
        <x:v>data/units/race_units.json</x:v>
      </x:c>
      <x:c r="B147" s="21" t="str">
        <x:v>$/units/4/star4/control_immune_sec</x:v>
      </x:c>
      <x:c r="C147" s="21" t="str">
        <x:v>int</x:v>
      </x:c>
      <x:c r="D147" s="21" t="str">
        <x:v>2</x:v>
      </x:c>
    </x:row>
    <x:row r="148" ht="22" customHeight="1">
      <x:c r="A148" s="21" t="str">
        <x:v>data/units/race_units.json</x:v>
      </x:c>
      <x:c r="B148" s="21" t="str">
        <x:v>$/units/4/star4/heal_pct</x:v>
      </x:c>
      <x:c r="C148" s="21" t="str">
        <x:v>float</x:v>
      </x:c>
      <x:c r="D148" s="21" t="str">
        <x:v>0.4</x:v>
      </x:c>
    </x:row>
    <x:row r="149" ht="22" customHeight="1">
      <x:c r="A149" s="21" t="str">
        <x:v>data/units/race_units.json</x:v>
      </x:c>
      <x:c r="B149" s="21" t="str">
        <x:v>$/units/4/star4/atk_bonus</x:v>
      </x:c>
      <x:c r="C149" s="21" t="str">
        <x:v>float</x:v>
      </x:c>
      <x:c r="D149" s="21" t="str">
        <x:v>0.4</x:v>
      </x:c>
    </x:row>
    <x:row r="150" ht="22" customHeight="1">
      <x:c r="A150" s="21" t="str">
        <x:v>data/units/race_units.json</x:v>
      </x:c>
      <x:c r="B150" s="21" t="str">
        <x:v>$/units/4/star4/aspd_bonus</x:v>
      </x:c>
      <x:c r="C150" s="21" t="str">
        <x:v>float</x:v>
      </x:c>
      <x:c r="D150" s="21" t="str">
        <x:v>0.45</x:v>
      </x:c>
    </x:row>
    <x:row r="151" ht="22" customHeight="1">
      <x:c r="A151" s="21" t="str">
        <x:v>data/units/race_units.json</x:v>
      </x:c>
      <x:c r="B151" s="21" t="str">
        <x:v>$/units/4/star4/skill_cd</x:v>
      </x:c>
      <x:c r="C151" s="21" t="str">
        <x:v>int</x:v>
      </x:c>
      <x:c r="D151" s="21" t="str">
        <x:v>5</x:v>
      </x:c>
    </x:row>
    <x:row r="152" ht="22" customHeight="1">
      <x:c r="A152" s="21" t="str">
        <x:v>data/units/race_units.json</x:v>
      </x:c>
      <x:c r="B152" s="21" t="str">
        <x:v>$/units/4/name</x:v>
      </x:c>
      <x:c r="C152" s="21" t="str">
        <x:v>string</x:v>
      </x:c>
      <x:c r="D152" s="21" t="str">
        <x:v>"天使"</x:v>
      </x:c>
    </x:row>
    <x:row r="153" ht="22" customHeight="1">
      <x:c r="A153" s="21" t="str">
        <x:v>data/units/race_units.json</x:v>
      </x:c>
      <x:c r="B153" s="21" t="str">
        <x:v>$/units/4/race</x:v>
      </x:c>
      <x:c r="C153" s="21" t="str">
        <x:v>string</x:v>
      </x:c>
      <x:c r="D153" s="21" t="str">
        <x:v>"god"</x:v>
      </x:c>
    </x:row>
    <x:row r="154" ht="22" customHeight="1">
      <x:c r="A154" s="21" t="str">
        <x:v>data/units/race_units.json</x:v>
      </x:c>
      <x:c r="B154" s="21" t="str">
        <x:v>$/units/4/element</x:v>
      </x:c>
      <x:c r="C154" s="21" t="str">
        <x:v>string</x:v>
      </x:c>
      <x:c r="D154" s="21" t="str">
        <x:v>"sky"</x:v>
      </x:c>
    </x:row>
    <x:row r="155" ht="22" customHeight="1">
      <x:c r="A155" s="21" t="str">
        <x:v>data/units/race_units.json</x:v>
      </x:c>
      <x:c r="B155" s="21" t="str">
        <x:v>$/units/4/tier</x:v>
      </x:c>
      <x:c r="C155" s="21" t="str">
        <x:v>int</x:v>
      </x:c>
      <x:c r="D155" s="21" t="str">
        <x:v>2</x:v>
      </x:c>
    </x:row>
    <x:row r="156" ht="22" customHeight="1">
      <x:c r="A156" s="21" t="str">
        <x:v>data/units/race_units.json</x:v>
      </x:c>
      <x:c r="B156" s="21" t="str">
        <x:v>$/units/4/cost</x:v>
      </x:c>
      <x:c r="C156" s="21" t="str">
        <x:v>int</x:v>
      </x:c>
      <x:c r="D156" s="21" t="str">
        <x:v>30</x:v>
      </x:c>
    </x:row>
    <x:row r="157" ht="22" customHeight="1">
      <x:c r="A157" s="21" t="str">
        <x:v>data/units/race_units.json</x:v>
      </x:c>
      <x:c r="B157" s="21" t="str">
        <x:v>$/units/4/hp</x:v>
      </x:c>
      <x:c r="C157" s="21" t="str">
        <x:v>int</x:v>
      </x:c>
      <x:c r="D157" s="21" t="str">
        <x:v>1080</x:v>
      </x:c>
    </x:row>
    <x:row r="158" ht="22" customHeight="1">
      <x:c r="A158" s="21" t="str">
        <x:v>data/units/race_units.json</x:v>
      </x:c>
      <x:c r="B158" s="21" t="str">
        <x:v>$/units/4/atk</x:v>
      </x:c>
      <x:c r="C158" s="21" t="str">
        <x:v>int</x:v>
      </x:c>
      <x:c r="D158" s="21" t="str">
        <x:v>48</x:v>
      </x:c>
    </x:row>
    <x:row r="159" ht="22" customHeight="1">
      <x:c r="A159" s="21" t="str">
        <x:v>data/units/race_units.json</x:v>
      </x:c>
      <x:c r="B159" s="21" t="str">
        <x:v>$/units/4/def</x:v>
      </x:c>
      <x:c r="C159" s="21" t="str">
        <x:v>int</x:v>
      </x:c>
      <x:c r="D159" s="21" t="str">
        <x:v>8</x:v>
      </x:c>
    </x:row>
    <x:row r="160" ht="22" customHeight="1">
      <x:c r="A160" s="21" t="str">
        <x:v>data/units/race_units.json</x:v>
      </x:c>
      <x:c r="B160" s="21" t="str">
        <x:v>$/units/4/attack_speed</x:v>
      </x:c>
      <x:c r="C160" s="21" t="str">
        <x:v>float</x:v>
      </x:c>
      <x:c r="D160" s="21" t="str">
        <x:v>0.95</x:v>
      </x:c>
    </x:row>
    <x:row r="161" ht="22" customHeight="1">
      <x:c r="A161" s="21" t="str">
        <x:v>data/units/race_units.json</x:v>
      </x:c>
      <x:c r="B161" s="21" t="str">
        <x:v>$/units/4/range</x:v>
      </x:c>
      <x:c r="C161" s="21" t="str">
        <x:v>int</x:v>
      </x:c>
      <x:c r="D161" s="21" t="str">
        <x:v>4</x:v>
      </x:c>
    </x:row>
    <x:row r="162" ht="22" customHeight="1">
      <x:c r="A162" s="21" t="str">
        <x:v>data/units/race_units.json</x:v>
      </x:c>
      <x:c r="B162" s="21" t="str">
        <x:v>$/units/4/move_speed</x:v>
      </x:c>
      <x:c r="C162" s="21" t="str">
        <x:v>float</x:v>
      </x:c>
      <x:c r="D162" s="21" t="str">
        <x:v>3.25</x:v>
      </x:c>
    </x:row>
    <x:row r="163" ht="22" customHeight="1">
      <x:c r="A163" s="21" t="str">
        <x:v>data/units/race_units.json</x:v>
      </x:c>
      <x:c r="B163" s="21" t="str">
        <x:v>$/units/4/crit</x:v>
      </x:c>
      <x:c r="C163" s="21" t="str">
        <x:v>float</x:v>
      </x:c>
      <x:c r="D163" s="21" t="str">
        <x:v>0.08</x:v>
      </x:c>
    </x:row>
    <x:row r="164" ht="22" customHeight="1">
      <x:c r="A164" s="21" t="str">
        <x:v>data/units/race_units.json</x:v>
      </x:c>
      <x:c r="B164" s="21" t="str">
        <x:v>$/units/4/crit_dmg</x:v>
      </x:c>
      <x:c r="C164" s="21" t="str">
        <x:v>float</x:v>
      </x:c>
      <x:c r="D164" s="21" t="str">
        <x:v>1.6</x:v>
      </x:c>
    </x:row>
    <x:row r="165" ht="22" customHeight="1">
      <x:c r="A165" s="21" t="str">
        <x:v>data/units/race_units.json</x:v>
      </x:c>
      <x:c r="B165" s="21" t="str">
        <x:v>$/units/4/skill_id</x:v>
      </x:c>
      <x:c r="C165" s="21" t="str">
        <x:v>string</x:v>
      </x:c>
      <x:c r="D165" s="21" t="str">
        <x:v>"nearby_ally_heal_buff"</x:v>
      </x:c>
    </x:row>
    <x:row r="166" ht="22" customHeight="1">
      <x:c r="A166" s="21" t="str">
        <x:v>data/units/race_units.json</x:v>
      </x:c>
      <x:c r="B166" s="21" t="str">
        <x:v>$/units/4/skill_cd</x:v>
      </x:c>
      <x:c r="C166" s="21" t="str">
        <x:v>float</x:v>
      </x:c>
      <x:c r="D166" s="21" t="str">
        <x:v>7.0</x:v>
      </x:c>
    </x:row>
    <x:row r="167" ht="22" customHeight="1">
      <x:c r="A167" s="21" t="str">
        <x:v>data/units/race_units.json</x:v>
      </x:c>
      <x:c r="B167" s="21" t="str">
        <x:v>$/units/4/heal_pct</x:v>
      </x:c>
      <x:c r="C167" s="21" t="str">
        <x:v>float</x:v>
      </x:c>
      <x:c r="D167" s="21" t="str">
        <x:v>0.15</x:v>
      </x:c>
    </x:row>
    <x:row r="168" ht="22" customHeight="1">
      <x:c r="A168" s="21" t="str">
        <x:v>data/units/race_units.json</x:v>
      </x:c>
      <x:c r="B168" s="21" t="str">
        <x:v>$/units/4/atk_bonus</x:v>
      </x:c>
      <x:c r="C168" s="21" t="str">
        <x:v>float</x:v>
      </x:c>
      <x:c r="D168" s="21" t="str">
        <x:v>0.1</x:v>
      </x:c>
    </x:row>
    <x:row r="169" ht="22" customHeight="1">
      <x:c r="A169" s="21" t="str">
        <x:v>data/units/race_units.json</x:v>
      </x:c>
      <x:c r="B169" s="21" t="str">
        <x:v>$/units/4/aspd_bonus</x:v>
      </x:c>
      <x:c r="C169" s="21" t="str">
        <x:v>float</x:v>
      </x:c>
      <x:c r="D169" s="21" t="str">
        <x:v>0.15</x:v>
      </x:c>
    </x:row>
    <x:row r="170" ht="22" customHeight="1">
      <x:c r="A170" s="21" t="str">
        <x:v>data/units/race_units.json</x:v>
      </x:c>
      <x:c r="B170" s="21" t="str">
        <x:v>$/units/4/model</x:v>
      </x:c>
      <x:c r="C170" s="21" t="str">
        <x:v>string</x:v>
      </x:c>
      <x:c r="D170" s="21" t="str">
        <x:v>"res://assets/models/units/god_angel_refined/god_angel_refined.tscn"</x:v>
      </x:c>
    </x:row>
    <x:row r="171" ht="22" customHeight="1">
      <x:c r="A171" s="21" t="str">
        <x:v>data/units/race_units.json</x:v>
      </x:c>
      <x:c r="B171" s="21" t="str">
        <x:v>$/units/4/model_visual_scale</x:v>
      </x:c>
      <x:c r="C171" s="21" t="str">
        <x:v>int</x:v>
      </x:c>
      <x:c r="D171" s="21" t="str">
        <x:v>1</x:v>
      </x:c>
    </x:row>
    <x:row r="172" ht="22" customHeight="1">
      <x:c r="A172" s="21" t="str">
        <x:v>data/units/race_units.json</x:v>
      </x:c>
      <x:c r="B172" s="21" t="str">
        <x:v>$/units/4/model_base_yaw</x:v>
      </x:c>
      <x:c r="C172" s="21" t="str">
        <x:v>int</x:v>
      </x:c>
      <x:c r="D172" s="21" t="str">
        <x:v>180</x:v>
      </x:c>
    </x:row>
    <x:row r="173" ht="22" customHeight="1">
      <x:c r="A173" s="21" t="str">
        <x:v>data/units/race_units.json</x:v>
      </x:c>
      <x:c r="B173" s="21" t="str">
        <x:v>$/units/4/opening_cd</x:v>
      </x:c>
      <x:c r="C173" s="21" t="str">
        <x:v>int</x:v>
      </x:c>
      <x:c r="D173" s="21" t="str">
        <x:v>2</x:v>
      </x:c>
    </x:row>
    <x:row r="174" ht="22" customHeight="1">
      <x:c r="A174" s="21" t="str">
        <x:v>data/units/race_units.json</x:v>
      </x:c>
      <x:c r="B174" s="21" t="str">
        <x:v>$/units/4/name_en</x:v>
      </x:c>
      <x:c r="C174" s="21" t="str">
        <x:v>string</x:v>
      </x:c>
      <x:c r="D174" s="21" t="str">
        <x:v>"Angel"</x:v>
      </x:c>
    </x:row>
    <x:row r="175" ht="22" customHeight="1">
      <x:c r="A175" s="21" t="str">
        <x:v>data/units/race_units.json</x:v>
      </x:c>
      <x:c r="B175" s="21" t="str">
        <x:v>$/units/5</x:v>
      </x:c>
      <x:c r="C175" s="21" t="str">
        <x:v>object</x:v>
      </x:c>
      <x:c r="D175" s="21" t="str"/>
    </x:row>
    <x:row r="176" ht="22" customHeight="1">
      <x:c r="A176" s="21" t="str">
        <x:v>data/units/race_units.json</x:v>
      </x:c>
      <x:c r="B176" s="21" t="str">
        <x:v>$/units/5/id</x:v>
      </x:c>
      <x:c r="C176" s="21" t="str">
        <x:v>string</x:v>
      </x:c>
      <x:c r="D176" s="21" t="str">
        <x:v>"god_arbiter"</x:v>
      </x:c>
    </x:row>
    <x:row r="177" ht="22" customHeight="1">
      <x:c r="A177" s="21" t="str">
        <x:v>data/units/race_units.json</x:v>
      </x:c>
      <x:c r="B177" s="21" t="str">
        <x:v>$/units/5/model_in_place_actions</x:v>
      </x:c>
      <x:c r="C177" s="21" t="str">
        <x:v>array</x:v>
      </x:c>
      <x:c r="D177" s="21" t="str"/>
    </x:row>
    <x:row r="178" ht="22" customHeight="1">
      <x:c r="A178" s="21" t="str">
        <x:v>data/units/race_units.json</x:v>
      </x:c>
      <x:c r="B178" s="21" t="str">
        <x:v>$/units/5/model_in_place_actions/0</x:v>
      </x:c>
      <x:c r="C178" s="21" t="str">
        <x:v>string</x:v>
      </x:c>
      <x:c r="D178" s="21" t="str">
        <x:v>"run"</x:v>
      </x:c>
    </x:row>
    <x:row r="179" ht="22" customHeight="1">
      <x:c r="A179" s="21" t="str">
        <x:v>data/units/race_units.json</x:v>
      </x:c>
      <x:c r="B179" s="21" t="str">
        <x:v>$/units/5/star4</x:v>
      </x:c>
      <x:c r="C179" s="21" t="str">
        <x:v>object</x:v>
      </x:c>
      <x:c r="D179" s="21" t="str"/>
    </x:row>
    <x:row r="180" ht="22" customHeight="1">
      <x:c r="A180" s="21" t="str">
        <x:v>data/units/race_units.json</x:v>
      </x:c>
      <x:c r="B180" s="21" t="str">
        <x:v>$/units/5/star4/damage_atk_pct</x:v>
      </x:c>
      <x:c r="C180" s="21" t="str">
        <x:v>float</x:v>
      </x:c>
      <x:c r="D180" s="21" t="str">
        <x:v>4.4</x:v>
      </x:c>
    </x:row>
    <x:row r="181" ht="22" customHeight="1">
      <x:c r="A181" s="21" t="str">
        <x:v>data/units/race_units.json</x:v>
      </x:c>
      <x:c r="B181" s="21" t="str">
        <x:v>$/units/5/star4/def_stack_pct</x:v>
      </x:c>
      <x:c r="C181" s="21" t="str">
        <x:v>float</x:v>
      </x:c>
      <x:c r="D181" s="21" t="str">
        <x:v>0.2</x:v>
      </x:c>
    </x:row>
    <x:row r="182" ht="22" customHeight="1">
      <x:c r="A182" s="21" t="str">
        <x:v>data/units/race_units.json</x:v>
      </x:c>
      <x:c r="B182" s="21" t="str">
        <x:v>$/units/5/star4/skill_cd</x:v>
      </x:c>
      <x:c r="C182" s="21" t="str">
        <x:v>int</x:v>
      </x:c>
      <x:c r="D182" s="21" t="str">
        <x:v>2</x:v>
      </x:c>
    </x:row>
    <x:row r="183" ht="22" customHeight="1">
      <x:c r="A183" s="21" t="str">
        <x:v>data/units/race_units.json</x:v>
      </x:c>
      <x:c r="B183" s="21" t="str">
        <x:v>$/units/5/name</x:v>
      </x:c>
      <x:c r="C183" s="21" t="str">
        <x:v>string</x:v>
      </x:c>
      <x:c r="D183" s="21" t="str">
        <x:v>"裁决者"</x:v>
      </x:c>
    </x:row>
    <x:row r="184" ht="22" customHeight="1">
      <x:c r="A184" s="21" t="str">
        <x:v>data/units/race_units.json</x:v>
      </x:c>
      <x:c r="B184" s="21" t="str">
        <x:v>$/units/5/race</x:v>
      </x:c>
      <x:c r="C184" s="21" t="str">
        <x:v>string</x:v>
      </x:c>
      <x:c r="D184" s="21" t="str">
        <x:v>"god"</x:v>
      </x:c>
    </x:row>
    <x:row r="185" ht="22" customHeight="1">
      <x:c r="A185" s="21" t="str">
        <x:v>data/units/race_units.json</x:v>
      </x:c>
      <x:c r="B185" s="21" t="str">
        <x:v>$/units/5/element</x:v>
      </x:c>
      <x:c r="C185" s="21" t="str">
        <x:v>string</x:v>
      </x:c>
      <x:c r="D185" s="21" t="str">
        <x:v>"land"</x:v>
      </x:c>
    </x:row>
    <x:row r="186" ht="22" customHeight="1">
      <x:c r="A186" s="21" t="str">
        <x:v>data/units/race_units.json</x:v>
      </x:c>
      <x:c r="B186" s="21" t="str">
        <x:v>$/units/5/tier</x:v>
      </x:c>
      <x:c r="C186" s="21" t="str">
        <x:v>int</x:v>
      </x:c>
      <x:c r="D186" s="21" t="str">
        <x:v>2</x:v>
      </x:c>
    </x:row>
    <x:row r="187" ht="22" customHeight="1">
      <x:c r="A187" s="21" t="str">
        <x:v>data/units/race_units.json</x:v>
      </x:c>
      <x:c r="B187" s="21" t="str">
        <x:v>$/units/5/cost</x:v>
      </x:c>
      <x:c r="C187" s="21" t="str">
        <x:v>int</x:v>
      </x:c>
      <x:c r="D187" s="21" t="str">
        <x:v>30</x:v>
      </x:c>
    </x:row>
    <x:row r="188" ht="22" customHeight="1">
      <x:c r="A188" s="21" t="str">
        <x:v>data/units/race_units.json</x:v>
      </x:c>
      <x:c r="B188" s="21" t="str">
        <x:v>$/units/5/hp</x:v>
      </x:c>
      <x:c r="C188" s="21" t="str">
        <x:v>int</x:v>
      </x:c>
      <x:c r="D188" s="21" t="str">
        <x:v>1040</x:v>
      </x:c>
    </x:row>
    <x:row r="189" ht="22" customHeight="1">
      <x:c r="A189" s="21" t="str">
        <x:v>data/units/race_units.json</x:v>
      </x:c>
      <x:c r="B189" s="21" t="str">
        <x:v>$/units/5/atk</x:v>
      </x:c>
      <x:c r="C189" s="21" t="str">
        <x:v>int</x:v>
      </x:c>
      <x:c r="D189" s="21" t="str">
        <x:v>79</x:v>
      </x:c>
    </x:row>
    <x:row r="190" ht="22" customHeight="1">
      <x:c r="A190" s="21" t="str">
        <x:v>data/units/race_units.json</x:v>
      </x:c>
      <x:c r="B190" s="21" t="str">
        <x:v>$/units/5/def</x:v>
      </x:c>
      <x:c r="C190" s="21" t="str">
        <x:v>int</x:v>
      </x:c>
      <x:c r="D190" s="21" t="str">
        <x:v>10</x:v>
      </x:c>
    </x:row>
    <x:row r="191" ht="22" customHeight="1">
      <x:c r="A191" s="21" t="str">
        <x:v>data/units/race_units.json</x:v>
      </x:c>
      <x:c r="B191" s="21" t="str">
        <x:v>$/units/5/attack_speed</x:v>
      </x:c>
      <x:c r="C191" s="21" t="str">
        <x:v>float</x:v>
      </x:c>
      <x:c r="D191" s="21" t="str">
        <x:v>0.8</x:v>
      </x:c>
    </x:row>
    <x:row r="192" ht="22" customHeight="1">
      <x:c r="A192" s="21" t="str">
        <x:v>data/units/race_units.json</x:v>
      </x:c>
      <x:c r="B192" s="21" t="str">
        <x:v>$/units/5/range</x:v>
      </x:c>
      <x:c r="C192" s="21" t="str">
        <x:v>int</x:v>
      </x:c>
      <x:c r="D192" s="21" t="str">
        <x:v>1</x:v>
      </x:c>
    </x:row>
    <x:row r="193" ht="22" customHeight="1">
      <x:c r="A193" s="21" t="str">
        <x:v>data/units/race_units.json</x:v>
      </x:c>
      <x:c r="B193" s="21" t="str">
        <x:v>$/units/5/move_speed</x:v>
      </x:c>
      <x:c r="C193" s="21" t="str">
        <x:v>float</x:v>
      </x:c>
      <x:c r="D193" s="21" t="str">
        <x:v>3.05</x:v>
      </x:c>
    </x:row>
    <x:row r="194" ht="22" customHeight="1">
      <x:c r="A194" s="21" t="str">
        <x:v>data/units/race_units.json</x:v>
      </x:c>
      <x:c r="B194" s="21" t="str">
        <x:v>$/units/5/crit</x:v>
      </x:c>
      <x:c r="C194" s="21" t="str">
        <x:v>float</x:v>
      </x:c>
      <x:c r="D194" s="21" t="str">
        <x:v>0.08</x:v>
      </x:c>
    </x:row>
    <x:row r="195" ht="22" customHeight="1">
      <x:c r="A195" s="21" t="str">
        <x:v>data/units/race_units.json</x:v>
      </x:c>
      <x:c r="B195" s="21" t="str">
        <x:v>$/units/5/crit_dmg</x:v>
      </x:c>
      <x:c r="C195" s="21" t="str">
        <x:v>float</x:v>
      </x:c>
      <x:c r="D195" s="21" t="str">
        <x:v>1.6</x:v>
      </x:c>
    </x:row>
    <x:row r="196" ht="22" customHeight="1">
      <x:c r="A196" s="21" t="str">
        <x:v>data/units/race_units.json</x:v>
      </x:c>
      <x:c r="B196" s="21" t="str">
        <x:v>$/units/5/skill_id</x:v>
      </x:c>
      <x:c r="C196" s="21" t="str">
        <x:v>string</x:v>
      </x:c>
      <x:c r="D196" s="21" t="str">
        <x:v>"judgement_strike"</x:v>
      </x:c>
    </x:row>
    <x:row r="197" ht="22" customHeight="1">
      <x:c r="A197" s="21" t="str">
        <x:v>data/units/race_units.json</x:v>
      </x:c>
      <x:c r="B197" s="21" t="str">
        <x:v>$/units/5/skill_cd</x:v>
      </x:c>
      <x:c r="C197" s="21" t="str">
        <x:v>float</x:v>
      </x:c>
      <x:c r="D197" s="21" t="str">
        <x:v>3.0</x:v>
      </x:c>
    </x:row>
    <x:row r="198" ht="22" customHeight="1">
      <x:c r="A198" s="21" t="str">
        <x:v>data/units/race_units.json</x:v>
      </x:c>
      <x:c r="B198" s="21" t="str">
        <x:v>$/units/5/damage_atk_pct</x:v>
      </x:c>
      <x:c r="C198" s="21" t="str">
        <x:v>float</x:v>
      </x:c>
      <x:c r="D198" s="21" t="str">
        <x:v>2.2</x:v>
      </x:c>
    </x:row>
    <x:row r="199" ht="22" customHeight="1">
      <x:c r="A199" s="21" t="str">
        <x:v>data/units/race_units.json</x:v>
      </x:c>
      <x:c r="B199" s="21" t="str">
        <x:v>$/units/5/def_stack_pct</x:v>
      </x:c>
      <x:c r="C199" s="21" t="str">
        <x:v>float</x:v>
      </x:c>
      <x:c r="D199" s="21" t="str">
        <x:v>0.06</x:v>
      </x:c>
    </x:row>
    <x:row r="200" ht="22" customHeight="1">
      <x:c r="A200" s="21" t="str">
        <x:v>data/units/race_units.json</x:v>
      </x:c>
      <x:c r="B200" s="21" t="str">
        <x:v>$/units/5/max_stacks</x:v>
      </x:c>
      <x:c r="C200" s="21" t="str">
        <x:v>int</x:v>
      </x:c>
      <x:c r="D200" s="21" t="str">
        <x:v>5</x:v>
      </x:c>
    </x:row>
    <x:row r="201" ht="22" customHeight="1">
      <x:c r="A201" s="21" t="str">
        <x:v>data/units/race_units.json</x:v>
      </x:c>
      <x:c r="B201" s="21" t="str">
        <x:v>$/units/5/model</x:v>
      </x:c>
      <x:c r="C201" s="21" t="str">
        <x:v>string</x:v>
      </x:c>
      <x:c r="D201" s="21" t="str">
        <x:v>"res://assets/models/units/god_arbiter_refined/god_arbiter_refined.tscn"</x:v>
      </x:c>
    </x:row>
    <x:row r="202" ht="22" customHeight="1">
      <x:c r="A202" s="21" t="str">
        <x:v>data/units/race_units.json</x:v>
      </x:c>
      <x:c r="B202" s="21" t="str">
        <x:v>$/units/5/model_visual_scale</x:v>
      </x:c>
      <x:c r="C202" s="21" t="str">
        <x:v>int</x:v>
      </x:c>
      <x:c r="D202" s="21" t="str">
        <x:v>1</x:v>
      </x:c>
    </x:row>
    <x:row r="203" ht="22" customHeight="1">
      <x:c r="A203" s="21" t="str">
        <x:v>data/units/race_units.json</x:v>
      </x:c>
      <x:c r="B203" s="21" t="str">
        <x:v>$/units/5/model_base_yaw</x:v>
      </x:c>
      <x:c r="C203" s="21" t="str">
        <x:v>int</x:v>
      </x:c>
      <x:c r="D203" s="21" t="str">
        <x:v>180</x:v>
      </x:c>
    </x:row>
    <x:row r="204" ht="22" customHeight="1">
      <x:c r="A204" s="21" t="str">
        <x:v>data/units/race_units.json</x:v>
      </x:c>
      <x:c r="B204" s="21" t="str">
        <x:v>$/units/5/name_en</x:v>
      </x:c>
      <x:c r="C204" s="21" t="str">
        <x:v>string</x:v>
      </x:c>
      <x:c r="D204" s="21" t="str">
        <x:v>"Arbiter"</x:v>
      </x:c>
    </x:row>
    <x:row r="205" ht="22" customHeight="1">
      <x:c r="A205" s="21" t="str">
        <x:v>data/units/race_units.json</x:v>
      </x:c>
      <x:c r="B205" s="21" t="str">
        <x:v>$/units/6</x:v>
      </x:c>
      <x:c r="C205" s="21" t="str">
        <x:v>object</x:v>
      </x:c>
      <x:c r="D205" s="21" t="str"/>
    </x:row>
    <x:row r="206" ht="22" customHeight="1">
      <x:c r="A206" s="21" t="str">
        <x:v>data/units/race_units.json</x:v>
      </x:c>
      <x:c r="B206" s="21" t="str">
        <x:v>$/units/6/id</x:v>
      </x:c>
      <x:c r="C206" s="21" t="str">
        <x:v>string</x:v>
      </x:c>
      <x:c r="D206" s="21" t="str">
        <x:v>"god_archangel"</x:v>
      </x:c>
    </x:row>
    <x:row r="207" ht="22" customHeight="1">
      <x:c r="A207" s="21" t="str">
        <x:v>data/units/race_units.json</x:v>
      </x:c>
      <x:c r="B207" s="21" t="str">
        <x:v>$/units/6/star4</x:v>
      </x:c>
      <x:c r="C207" s="21" t="str">
        <x:v>object</x:v>
      </x:c>
      <x:c r="D207" s="21" t="str"/>
    </x:row>
    <x:row r="208" ht="22" customHeight="1">
      <x:c r="A208" s="21" t="str">
        <x:v>data/units/race_units.json</x:v>
      </x:c>
      <x:c r="B208" s="21" t="str">
        <x:v>$/units/6/star4/damage_reduction</x:v>
      </x:c>
      <x:c r="C208" s="21" t="str">
        <x:v>float</x:v>
      </x:c>
      <x:c r="D208" s="21" t="str">
        <x:v>0.65</x:v>
      </x:c>
    </x:row>
    <x:row r="209" ht="22" customHeight="1">
      <x:c r="A209" s="21" t="str">
        <x:v>data/units/race_units.json</x:v>
      </x:c>
      <x:c r="B209" s="21" t="str">
        <x:v>$/units/6/star4/duration</x:v>
      </x:c>
      <x:c r="C209" s="21" t="str">
        <x:v>int</x:v>
      </x:c>
      <x:c r="D209" s="21" t="str">
        <x:v>8</x:v>
      </x:c>
    </x:row>
    <x:row r="210" ht="22" customHeight="1">
      <x:c r="A210" s="21" t="str">
        <x:v>data/units/race_units.json</x:v>
      </x:c>
      <x:c r="B210" s="21" t="str">
        <x:v>$/units/6/star4/skill_cd</x:v>
      </x:c>
      <x:c r="C210" s="21" t="str">
        <x:v>int</x:v>
      </x:c>
      <x:c r="D210" s="21" t="str">
        <x:v>4</x:v>
      </x:c>
    </x:row>
    <x:row r="211" ht="22" customHeight="1">
      <x:c r="A211" s="21" t="str">
        <x:v>data/units/race_units.json</x:v>
      </x:c>
      <x:c r="B211" s="21" t="str">
        <x:v>$/units/6/name</x:v>
      </x:c>
      <x:c r="C211" s="21" t="str">
        <x:v>string</x:v>
      </x:c>
      <x:c r="D211" s="21" t="str">
        <x:v>"大天使"</x:v>
      </x:c>
    </x:row>
    <x:row r="212" ht="22" customHeight="1">
      <x:c r="A212" s="21" t="str">
        <x:v>data/units/race_units.json</x:v>
      </x:c>
      <x:c r="B212" s="21" t="str">
        <x:v>$/units/6/race</x:v>
      </x:c>
      <x:c r="C212" s="21" t="str">
        <x:v>string</x:v>
      </x:c>
      <x:c r="D212" s="21" t="str">
        <x:v>"god"</x:v>
      </x:c>
    </x:row>
    <x:row r="213" ht="22" customHeight="1">
      <x:c r="A213" s="21" t="str">
        <x:v>data/units/race_units.json</x:v>
      </x:c>
      <x:c r="B213" s="21" t="str">
        <x:v>$/units/6/element</x:v>
      </x:c>
      <x:c r="C213" s="21" t="str">
        <x:v>string</x:v>
      </x:c>
      <x:c r="D213" s="21" t="str">
        <x:v>"sky"</x:v>
      </x:c>
    </x:row>
    <x:row r="214" ht="22" customHeight="1">
      <x:c r="A214" s="21" t="str">
        <x:v>data/units/race_units.json</x:v>
      </x:c>
      <x:c r="B214" s="21" t="str">
        <x:v>$/units/6/tier</x:v>
      </x:c>
      <x:c r="C214" s="21" t="str">
        <x:v>int</x:v>
      </x:c>
      <x:c r="D214" s="21" t="str">
        <x:v>3</x:v>
      </x:c>
    </x:row>
    <x:row r="215" ht="22" customHeight="1">
      <x:c r="A215" s="21" t="str">
        <x:v>data/units/race_units.json</x:v>
      </x:c>
      <x:c r="B215" s="21" t="str">
        <x:v>$/units/6/cost</x:v>
      </x:c>
      <x:c r="C215" s="21" t="str">
        <x:v>int</x:v>
      </x:c>
      <x:c r="D215" s="21" t="str">
        <x:v>50</x:v>
      </x:c>
    </x:row>
    <x:row r="216" ht="22" customHeight="1">
      <x:c r="A216" s="21" t="str">
        <x:v>data/units/race_units.json</x:v>
      </x:c>
      <x:c r="B216" s="21" t="str">
        <x:v>$/units/6/hp</x:v>
      </x:c>
      <x:c r="C216" s="21" t="str">
        <x:v>int</x:v>
      </x:c>
      <x:c r="D216" s="21" t="str">
        <x:v>1700</x:v>
      </x:c>
    </x:row>
    <x:row r="217" ht="22" customHeight="1">
      <x:c r="A217" s="21" t="str">
        <x:v>data/units/race_units.json</x:v>
      </x:c>
      <x:c r="B217" s="21" t="str">
        <x:v>$/units/6/atk</x:v>
      </x:c>
      <x:c r="C217" s="21" t="str">
        <x:v>int</x:v>
      </x:c>
      <x:c r="D217" s="21" t="str">
        <x:v>73</x:v>
      </x:c>
    </x:row>
    <x:row r="218" ht="22" customHeight="1">
      <x:c r="A218" s="21" t="str">
        <x:v>data/units/race_units.json</x:v>
      </x:c>
      <x:c r="B218" s="21" t="str">
        <x:v>$/units/6/def</x:v>
      </x:c>
      <x:c r="C218" s="21" t="str">
        <x:v>int</x:v>
      </x:c>
      <x:c r="D218" s="21" t="str">
        <x:v>15</x:v>
      </x:c>
    </x:row>
    <x:row r="219" ht="22" customHeight="1">
      <x:c r="A219" s="21" t="str">
        <x:v>data/units/race_units.json</x:v>
      </x:c>
      <x:c r="B219" s="21" t="str">
        <x:v>$/units/6/attack_speed</x:v>
      </x:c>
      <x:c r="C219" s="21" t="str">
        <x:v>float</x:v>
      </x:c>
      <x:c r="D219" s="21" t="str">
        <x:v>0.85</x:v>
      </x:c>
    </x:row>
    <x:row r="220" ht="22" customHeight="1">
      <x:c r="A220" s="21" t="str">
        <x:v>data/units/race_units.json</x:v>
      </x:c>
      <x:c r="B220" s="21" t="str">
        <x:v>$/units/6/range</x:v>
      </x:c>
      <x:c r="C220" s="21" t="str">
        <x:v>int</x:v>
      </x:c>
      <x:c r="D220" s="21" t="str">
        <x:v>4</x:v>
      </x:c>
    </x:row>
    <x:row r="221" ht="22" customHeight="1">
      <x:c r="A221" s="21" t="str">
        <x:v>data/units/race_units.json</x:v>
      </x:c>
      <x:c r="B221" s="21" t="str">
        <x:v>$/units/6/move_speed</x:v>
      </x:c>
      <x:c r="C221" s="21" t="str">
        <x:v>float</x:v>
      </x:c>
      <x:c r="D221" s="21" t="str">
        <x:v>3.05</x:v>
      </x:c>
    </x:row>
    <x:row r="222" ht="22" customHeight="1">
      <x:c r="A222" s="21" t="str">
        <x:v>data/units/race_units.json</x:v>
      </x:c>
      <x:c r="B222" s="21" t="str">
        <x:v>$/units/6/crit</x:v>
      </x:c>
      <x:c r="C222" s="21" t="str">
        <x:v>float</x:v>
      </x:c>
      <x:c r="D222" s="21" t="str">
        <x:v>0.1</x:v>
      </x:c>
    </x:row>
    <x:row r="223" ht="22" customHeight="1">
      <x:c r="A223" s="21" t="str">
        <x:v>data/units/race_units.json</x:v>
      </x:c>
      <x:c r="B223" s="21" t="str">
        <x:v>$/units/6/crit_dmg</x:v>
      </x:c>
      <x:c r="C223" s="21" t="str">
        <x:v>float</x:v>
      </x:c>
      <x:c r="D223" s="21" t="str">
        <x:v>1.75</x:v>
      </x:c>
    </x:row>
    <x:row r="224" ht="22" customHeight="1">
      <x:c r="A224" s="21" t="str">
        <x:v>data/units/race_units.json</x:v>
      </x:c>
      <x:c r="B224" s="21" t="str">
        <x:v>$/units/6/skill_id</x:v>
      </x:c>
      <x:c r="C224" s="21" t="str">
        <x:v>string</x:v>
      </x:c>
      <x:c r="D224" s="21" t="str">
        <x:v>"random_ally_damage_reduction"</x:v>
      </x:c>
    </x:row>
    <x:row r="225" ht="22" customHeight="1">
      <x:c r="A225" s="21" t="str">
        <x:v>data/units/race_units.json</x:v>
      </x:c>
      <x:c r="B225" s="21" t="str">
        <x:v>$/units/6/skill_cd</x:v>
      </x:c>
      <x:c r="C225" s="21" t="str">
        <x:v>float</x:v>
      </x:c>
      <x:c r="D225" s="21" t="str">
        <x:v>6.0</x:v>
      </x:c>
    </x:row>
    <x:row r="226" ht="22" customHeight="1">
      <x:c r="A226" s="21" t="str">
        <x:v>data/units/race_units.json</x:v>
      </x:c>
      <x:c r="B226" s="21" t="str">
        <x:v>$/units/6/damage_reduction</x:v>
      </x:c>
      <x:c r="C226" s="21" t="str">
        <x:v>float</x:v>
      </x:c>
      <x:c r="D226" s="21" t="str">
        <x:v>0.5</x:v>
      </x:c>
    </x:row>
    <x:row r="227" ht="22" customHeight="1">
      <x:c r="A227" s="21" t="str">
        <x:v>data/units/race_units.json</x:v>
      </x:c>
      <x:c r="B227" s="21" t="str">
        <x:v>$/units/6/duration</x:v>
      </x:c>
      <x:c r="C227" s="21" t="str">
        <x:v>float</x:v>
      </x:c>
      <x:c r="D227" s="21" t="str">
        <x:v>6.0</x:v>
      </x:c>
    </x:row>
    <x:row r="228" ht="22" customHeight="1">
      <x:c r="A228" s="21" t="str">
        <x:v>data/units/race_units.json</x:v>
      </x:c>
      <x:c r="B228" s="21" t="str">
        <x:v>$/units/6/unique_on_board</x:v>
      </x:c>
      <x:c r="C228" s="21" t="str">
        <x:v>bool</x:v>
      </x:c>
      <x:c r="D228" s="21" t="str">
        <x:v>true</x:v>
      </x:c>
    </x:row>
    <x:row r="229" ht="22" customHeight="1">
      <x:c r="A229" s="21" t="str">
        <x:v>data/units/race_units.json</x:v>
      </x:c>
      <x:c r="B229" s="21" t="str">
        <x:v>$/units/6/model</x:v>
      </x:c>
      <x:c r="C229" s="21" t="str">
        <x:v>string</x:v>
      </x:c>
      <x:c r="D229" s="21" t="str">
        <x:v>"res://assets/models/units/god_archangel_refined/god_archangel_refined.tscn"</x:v>
      </x:c>
    </x:row>
    <x:row r="230" ht="22" customHeight="1">
      <x:c r="A230" s="21" t="str">
        <x:v>data/units/race_units.json</x:v>
      </x:c>
      <x:c r="B230" s="21" t="str">
        <x:v>$/units/6/model_visual_scale</x:v>
      </x:c>
      <x:c r="C230" s="21" t="str">
        <x:v>int</x:v>
      </x:c>
      <x:c r="D230" s="21" t="str">
        <x:v>1</x:v>
      </x:c>
    </x:row>
    <x:row r="231" ht="22" customHeight="1">
      <x:c r="A231" s="21" t="str">
        <x:v>data/units/race_units.json</x:v>
      </x:c>
      <x:c r="B231" s="21" t="str">
        <x:v>$/units/6/model_base_yaw</x:v>
      </x:c>
      <x:c r="C231" s="21" t="str">
        <x:v>int</x:v>
      </x:c>
      <x:c r="D231" s="21" t="str">
        <x:v>180</x:v>
      </x:c>
    </x:row>
    <x:row r="232" ht="22" customHeight="1">
      <x:c r="A232" s="21" t="str">
        <x:v>data/units/race_units.json</x:v>
      </x:c>
      <x:c r="B232" s="21" t="str">
        <x:v>$/units/6/name_en</x:v>
      </x:c>
      <x:c r="C232" s="21" t="str">
        <x:v>string</x:v>
      </x:c>
      <x:c r="D232" s="21" t="str">
        <x:v>"Archangel"</x:v>
      </x:c>
    </x:row>
    <x:row r="233" ht="22" customHeight="1">
      <x:c r="A233" s="21" t="str">
        <x:v>data/units/race_units.json</x:v>
      </x:c>
      <x:c r="B233" s="21" t="str">
        <x:v>$/units/7</x:v>
      </x:c>
      <x:c r="C233" s="21" t="str">
        <x:v>object</x:v>
      </x:c>
      <x:c r="D233" s="21" t="str"/>
    </x:row>
    <x:row r="234" ht="22" customHeight="1">
      <x:c r="A234" s="21" t="str">
        <x:v>data/units/race_units.json</x:v>
      </x:c>
      <x:c r="B234" s="21" t="str">
        <x:v>$/units/7/id</x:v>
      </x:c>
      <x:c r="C234" s="21" t="str">
        <x:v>string</x:v>
      </x:c>
      <x:c r="D234" s="21" t="str">
        <x:v>"god_king"</x:v>
      </x:c>
    </x:row>
    <x:row r="235" ht="22" customHeight="1">
      <x:c r="A235" s="21" t="str">
        <x:v>data/units/race_units.json</x:v>
      </x:c>
      <x:c r="B235" s="21" t="str">
        <x:v>$/units/7/star4</x:v>
      </x:c>
      <x:c r="C235" s="21" t="str">
        <x:v>object</x:v>
      </x:c>
      <x:c r="D235" s="21" t="str"/>
    </x:row>
    <x:row r="236" ht="22" customHeight="1">
      <x:c r="A236" s="21" t="str">
        <x:v>data/units/race_units.json</x:v>
      </x:c>
      <x:c r="B236" s="21" t="str">
        <x:v>$/units/7/star4/damage_atk_pct</x:v>
      </x:c>
      <x:c r="C236" s="21" t="str">
        <x:v>float</x:v>
      </x:c>
      <x:c r="D236" s="21" t="str">
        <x:v>3.2</x:v>
      </x:c>
    </x:row>
    <x:row r="237" ht="22" customHeight="1">
      <x:c r="A237" s="21" t="str">
        <x:v>data/units/race_units.json</x:v>
      </x:c>
      <x:c r="B237" s="21" t="str">
        <x:v>$/units/7/star4/max_hp_bonus_pct</x:v>
      </x:c>
      <x:c r="C237" s="21" t="str">
        <x:v>float</x:v>
      </x:c>
      <x:c r="D237" s="21" t="str">
        <x:v>0.16</x:v>
      </x:c>
    </x:row>
    <x:row r="238" ht="22" customHeight="1">
      <x:c r="A238" s="21" t="str">
        <x:v>data/units/race_units.json</x:v>
      </x:c>
      <x:c r="B238" s="21" t="str">
        <x:v>$/units/7/star4/skill_cd</x:v>
      </x:c>
      <x:c r="C238" s="21" t="str">
        <x:v>int</x:v>
      </x:c>
      <x:c r="D238" s="21" t="str">
        <x:v>6</x:v>
      </x:c>
    </x:row>
    <x:row r="239" ht="22" customHeight="1">
      <x:c r="A239" s="21" t="str">
        <x:v>data/units/race_units.json</x:v>
      </x:c>
      <x:c r="B239" s="21" t="str">
        <x:v>$/units/7/name</x:v>
      </x:c>
      <x:c r="C239" s="21" t="str">
        <x:v>string</x:v>
      </x:c>
      <x:c r="D239" s="21" t="str">
        <x:v>"神王"</x:v>
      </x:c>
    </x:row>
    <x:row r="240" ht="22" customHeight="1">
      <x:c r="A240" s="21" t="str">
        <x:v>data/units/race_units.json</x:v>
      </x:c>
      <x:c r="B240" s="21" t="str">
        <x:v>$/units/7/race</x:v>
      </x:c>
      <x:c r="C240" s="21" t="str">
        <x:v>string</x:v>
      </x:c>
      <x:c r="D240" s="21" t="str">
        <x:v>"god"</x:v>
      </x:c>
    </x:row>
    <x:row r="241" ht="22" customHeight="1">
      <x:c r="A241" s="21" t="str">
        <x:v>data/units/race_units.json</x:v>
      </x:c>
      <x:c r="B241" s="21" t="str">
        <x:v>$/units/7/element</x:v>
      </x:c>
      <x:c r="C241" s="21" t="str">
        <x:v>string</x:v>
      </x:c>
      <x:c r="D241" s="21" t="str">
        <x:v>"land"</x:v>
      </x:c>
    </x:row>
    <x:row r="242" ht="22" customHeight="1">
      <x:c r="A242" s="21" t="str">
        <x:v>data/units/race_units.json</x:v>
      </x:c>
      <x:c r="B242" s="21" t="str">
        <x:v>$/units/7/tier</x:v>
      </x:c>
      <x:c r="C242" s="21" t="str">
        <x:v>int</x:v>
      </x:c>
      <x:c r="D242" s="21" t="str">
        <x:v>3</x:v>
      </x:c>
    </x:row>
    <x:row r="243" ht="22" customHeight="1">
      <x:c r="A243" s="21" t="str">
        <x:v>data/units/race_units.json</x:v>
      </x:c>
      <x:c r="B243" s="21" t="str">
        <x:v>$/units/7/cost</x:v>
      </x:c>
      <x:c r="C243" s="21" t="str">
        <x:v>int</x:v>
      </x:c>
      <x:c r="D243" s="21" t="str">
        <x:v>50</x:v>
      </x:c>
    </x:row>
    <x:row r="244" ht="22" customHeight="1">
      <x:c r="A244" s="21" t="str">
        <x:v>data/units/race_units.json</x:v>
      </x:c>
      <x:c r="B244" s="21" t="str">
        <x:v>$/units/7/hp</x:v>
      </x:c>
      <x:c r="C244" s="21" t="str">
        <x:v>int</x:v>
      </x:c>
      <x:c r="D244" s="21" t="str">
        <x:v>1800</x:v>
      </x:c>
    </x:row>
    <x:row r="245" ht="22" customHeight="1">
      <x:c r="A245" s="21" t="str">
        <x:v>data/units/race_units.json</x:v>
      </x:c>
      <x:c r="B245" s="21" t="str">
        <x:v>$/units/7/atk</x:v>
      </x:c>
      <x:c r="C245" s="21" t="str">
        <x:v>int</x:v>
      </x:c>
      <x:c r="D245" s="21" t="str">
        <x:v>105</x:v>
      </x:c>
    </x:row>
    <x:row r="246" ht="22" customHeight="1">
      <x:c r="A246" s="21" t="str">
        <x:v>data/units/race_units.json</x:v>
      </x:c>
      <x:c r="B246" s="21" t="str">
        <x:v>$/units/7/def</x:v>
      </x:c>
      <x:c r="C246" s="21" t="str">
        <x:v>int</x:v>
      </x:c>
      <x:c r="D246" s="21" t="str">
        <x:v>16</x:v>
      </x:c>
    </x:row>
    <x:row r="247" ht="22" customHeight="1">
      <x:c r="A247" s="21" t="str">
        <x:v>data/units/race_units.json</x:v>
      </x:c>
      <x:c r="B247" s="21" t="str">
        <x:v>$/units/7/attack_speed</x:v>
      </x:c>
      <x:c r="C247" s="21" t="str">
        <x:v>float</x:v>
      </x:c>
      <x:c r="D247" s="21" t="str">
        <x:v>0.88</x:v>
      </x:c>
    </x:row>
    <x:row r="248" ht="22" customHeight="1">
      <x:c r="A248" s="21" t="str">
        <x:v>data/units/race_units.json</x:v>
      </x:c>
      <x:c r="B248" s="21" t="str">
        <x:v>$/units/7/range</x:v>
      </x:c>
      <x:c r="C248" s="21" t="str">
        <x:v>int</x:v>
      </x:c>
      <x:c r="D248" s="21" t="str">
        <x:v>1</x:v>
      </x:c>
    </x:row>
    <x:row r="249" ht="22" customHeight="1">
      <x:c r="A249" s="21" t="str">
        <x:v>data/units/race_units.json</x:v>
      </x:c>
      <x:c r="B249" s="21" t="str">
        <x:v>$/units/7/move_speed</x:v>
      </x:c>
      <x:c r="C249" s="21" t="str">
        <x:v>float</x:v>
      </x:c>
      <x:c r="D249" s="21" t="str">
        <x:v>3.0</x:v>
      </x:c>
    </x:row>
    <x:row r="250" ht="22" customHeight="1">
      <x:c r="A250" s="21" t="str">
        <x:v>data/units/race_units.json</x:v>
      </x:c>
      <x:c r="B250" s="21" t="str">
        <x:v>$/units/7/crit</x:v>
      </x:c>
      <x:c r="C250" s="21" t="str">
        <x:v>float</x:v>
      </x:c>
      <x:c r="D250" s="21" t="str">
        <x:v>0.12</x:v>
      </x:c>
    </x:row>
    <x:row r="251" ht="22" customHeight="1">
      <x:c r="A251" s="21" t="str">
        <x:v>data/units/race_units.json</x:v>
      </x:c>
      <x:c r="B251" s="21" t="str">
        <x:v>$/units/7/crit_dmg</x:v>
      </x:c>
      <x:c r="C251" s="21" t="str">
        <x:v>float</x:v>
      </x:c>
      <x:c r="D251" s="21" t="str">
        <x:v>1.75</x:v>
      </x:c>
    </x:row>
    <x:row r="252" ht="22" customHeight="1">
      <x:c r="A252" s="21" t="str">
        <x:v>data/units/race_units.json</x:v>
      </x:c>
      <x:c r="B252" s="21" t="str">
        <x:v>$/units/7/skill_id</x:v>
      </x:c>
      <x:c r="C252" s="21" t="str">
        <x:v>string</x:v>
      </x:c>
      <x:c r="D252" s="21" t="str">
        <x:v>"global_divine_blast"</x:v>
      </x:c>
    </x:row>
    <x:row r="253" ht="22" customHeight="1">
      <x:c r="A253" s="21" t="str">
        <x:v>data/units/race_units.json</x:v>
      </x:c>
      <x:c r="B253" s="21" t="str">
        <x:v>$/units/7/skill_cd</x:v>
      </x:c>
      <x:c r="C253" s="21" t="str">
        <x:v>float</x:v>
      </x:c>
      <x:c r="D253" s="21" t="str">
        <x:v>8.0</x:v>
      </x:c>
    </x:row>
    <x:row r="254" ht="22" customHeight="1">
      <x:c r="A254" s="21" t="str">
        <x:v>data/units/race_units.json</x:v>
      </x:c>
      <x:c r="B254" s="21" t="str">
        <x:v>$/units/7/damage_atk_pct</x:v>
      </x:c>
      <x:c r="C254" s="21" t="str">
        <x:v>float</x:v>
      </x:c>
      <x:c r="D254" s="21" t="str">
        <x:v>1.6</x:v>
      </x:c>
    </x:row>
    <x:row r="255" ht="22" customHeight="1">
      <x:c r="A255" s="21" t="str">
        <x:v>data/units/race_units.json</x:v>
      </x:c>
      <x:c r="B255" s="21" t="str">
        <x:v>$/units/7/max_hp_bonus_pct</x:v>
      </x:c>
      <x:c r="C255" s="21" t="str">
        <x:v>float</x:v>
      </x:c>
      <x:c r="D255" s="21" t="str">
        <x:v>0.08</x:v>
      </x:c>
    </x:row>
    <x:row r="256" ht="22" customHeight="1">
      <x:c r="A256" s="21" t="str">
        <x:v>data/units/race_units.json</x:v>
      </x:c>
      <x:c r="B256" s="21" t="str">
        <x:v>$/units/7/damage_tick_count</x:v>
      </x:c>
      <x:c r="C256" s="21" t="str">
        <x:v>int</x:v>
      </x:c>
      <x:c r="D256" s="21" t="str">
        <x:v>5</x:v>
      </x:c>
    </x:row>
    <x:row r="257" ht="22" customHeight="1">
      <x:c r="A257" s="21" t="str">
        <x:v>data/units/race_units.json</x:v>
      </x:c>
      <x:c r="B257" s="21" t="str">
        <x:v>$/units/7/damage_tick_interval</x:v>
      </x:c>
      <x:c r="C257" s="21" t="str">
        <x:v>float</x:v>
      </x:c>
      <x:c r="D257" s="21" t="str">
        <x:v>0.5</x:v>
      </x:c>
    </x:row>
    <x:row r="258" ht="22" customHeight="1">
      <x:c r="A258" s="21" t="str">
        <x:v>data/units/race_units.json</x:v>
      </x:c>
      <x:c r="B258" s="21" t="str">
        <x:v>$/units/7/unique_on_board</x:v>
      </x:c>
      <x:c r="C258" s="21" t="str">
        <x:v>bool</x:v>
      </x:c>
      <x:c r="D258" s="21" t="str">
        <x:v>true</x:v>
      </x:c>
    </x:row>
    <x:row r="259" ht="22" customHeight="1">
      <x:c r="A259" s="21" t="str">
        <x:v>data/units/race_units.json</x:v>
      </x:c>
      <x:c r="B259" s="21" t="str">
        <x:v>$/units/7/model</x:v>
      </x:c>
      <x:c r="C259" s="21" t="str">
        <x:v>string</x:v>
      </x:c>
      <x:c r="D259" s="21" t="str">
        <x:v>"res://assets/models/units/god_king_refined/god_king_refined.tscn"</x:v>
      </x:c>
    </x:row>
    <x:row r="260" ht="22" customHeight="1">
      <x:c r="A260" s="21" t="str">
        <x:v>data/units/race_units.json</x:v>
      </x:c>
      <x:c r="B260" s="21" t="str">
        <x:v>$/units/7/model_visual_scale</x:v>
      </x:c>
      <x:c r="C260" s="21" t="str">
        <x:v>int</x:v>
      </x:c>
      <x:c r="D260" s="21" t="str">
        <x:v>1</x:v>
      </x:c>
    </x:row>
    <x:row r="261" ht="22" customHeight="1">
      <x:c r="A261" s="21" t="str">
        <x:v>data/units/race_units.json</x:v>
      </x:c>
      <x:c r="B261" s="21" t="str">
        <x:v>$/units/7/model_base_yaw</x:v>
      </x:c>
      <x:c r="C261" s="21" t="str">
        <x:v>int</x:v>
      </x:c>
      <x:c r="D261" s="21" t="str">
        <x:v>180</x:v>
      </x:c>
    </x:row>
    <x:row r="262" ht="22" customHeight="1">
      <x:c r="A262" s="21" t="str">
        <x:v>data/units/race_units.json</x:v>
      </x:c>
      <x:c r="B262" s="21" t="str">
        <x:v>$/units/7/name_en</x:v>
      </x:c>
      <x:c r="C262" s="21" t="str">
        <x:v>string</x:v>
      </x:c>
      <x:c r="D262" s="21" t="str">
        <x:v>"God King"</x:v>
      </x:c>
    </x:row>
    <x:row r="263" ht="22" customHeight="1">
      <x:c r="A263" s="21" t="str">
        <x:v>data/units/race_units.json</x:v>
      </x:c>
      <x:c r="B263" s="21" t="str">
        <x:v>$/units/8</x:v>
      </x:c>
      <x:c r="C263" s="21" t="str">
        <x:v>object</x:v>
      </x:c>
      <x:c r="D263" s="21" t="str"/>
    </x:row>
    <x:row r="264" ht="22" customHeight="1">
      <x:c r="A264" s="21" t="str">
        <x:v>data/units/race_units.json</x:v>
      </x:c>
      <x:c r="B264" s="21" t="str">
        <x:v>$/units/8/id</x:v>
      </x:c>
      <x:c r="C264" s="21" t="str">
        <x:v>string</x:v>
      </x:c>
      <x:c r="D264" s="21" t="str">
        <x:v>"dark_imp"</x:v>
      </x:c>
    </x:row>
    <x:row r="265" ht="22" customHeight="1">
      <x:c r="A265" s="21" t="str">
        <x:v>data/units/race_units.json</x:v>
      </x:c>
      <x:c r="B265" s="21" t="str">
        <x:v>$/units/8/star4</x:v>
      </x:c>
      <x:c r="C265" s="21" t="str">
        <x:v>object</x:v>
      </x:c>
      <x:c r="D265" s="21" t="str"/>
    </x:row>
    <x:row r="266" ht="22" customHeight="1">
      <x:c r="A266" s="21" t="str">
        <x:v>data/units/race_units.json</x:v>
      </x:c>
      <x:c r="B266" s="21" t="str">
        <x:v>$/units/8/star4/attack_down</x:v>
      </x:c>
      <x:c r="C266" s="21" t="str">
        <x:v>float</x:v>
      </x:c>
      <x:c r="D266" s="21" t="str">
        <x:v>0.32</x:v>
      </x:c>
    </x:row>
    <x:row r="267" ht="22" customHeight="1">
      <x:c r="A267" s="21" t="str">
        <x:v>data/units/race_units.json</x:v>
      </x:c>
      <x:c r="B267" s="21" t="str">
        <x:v>$/units/8/star4/aspd_down</x:v>
      </x:c>
      <x:c r="C267" s="21" t="str">
        <x:v>float</x:v>
      </x:c>
      <x:c r="D267" s="21" t="str">
        <x:v>0.32</x:v>
      </x:c>
    </x:row>
    <x:row r="268" ht="22" customHeight="1">
      <x:c r="A268" s="21" t="str">
        <x:v>data/units/race_units.json</x:v>
      </x:c>
      <x:c r="B268" s="21" t="str">
        <x:v>$/units/8/name</x:v>
      </x:c>
      <x:c r="C268" s="21" t="str">
        <x:v>string</x:v>
      </x:c>
      <x:c r="D268" s="21" t="str">
        <x:v>"魔童"</x:v>
      </x:c>
    </x:row>
    <x:row r="269" ht="22" customHeight="1">
      <x:c r="A269" s="21" t="str">
        <x:v>data/units/race_units.json</x:v>
      </x:c>
      <x:c r="B269" s="21" t="str">
        <x:v>$/units/8/race</x:v>
      </x:c>
      <x:c r="C269" s="21" t="str">
        <x:v>string</x:v>
      </x:c>
      <x:c r="D269" s="21" t="str">
        <x:v>"dark"</x:v>
      </x:c>
    </x:row>
    <x:row r="270" ht="22" customHeight="1">
      <x:c r="A270" s="21" t="str">
        <x:v>data/units/race_units.json</x:v>
      </x:c>
      <x:c r="B270" s="21" t="str">
        <x:v>$/units/8/element</x:v>
      </x:c>
      <x:c r="C270" s="21" t="str">
        <x:v>string</x:v>
      </x:c>
      <x:c r="D270" s="21" t="str">
        <x:v>"ren"</x:v>
      </x:c>
    </x:row>
    <x:row r="271" ht="22" customHeight="1">
      <x:c r="A271" s="21" t="str">
        <x:v>data/units/race_units.json</x:v>
      </x:c>
      <x:c r="B271" s="21" t="str">
        <x:v>$/units/8/tier</x:v>
      </x:c>
      <x:c r="C271" s="21" t="str">
        <x:v>int</x:v>
      </x:c>
      <x:c r="D271" s="21" t="str">
        <x:v>1</x:v>
      </x:c>
    </x:row>
    <x:row r="272" ht="22" customHeight="1">
      <x:c r="A272" s="21" t="str">
        <x:v>data/units/race_units.json</x:v>
      </x:c>
      <x:c r="B272" s="21" t="str">
        <x:v>$/units/8/cost</x:v>
      </x:c>
      <x:c r="C272" s="21" t="str">
        <x:v>int</x:v>
      </x:c>
      <x:c r="D272" s="21" t="str">
        <x:v>20</x:v>
      </x:c>
    </x:row>
    <x:row r="273" ht="22" customHeight="1">
      <x:c r="A273" s="21" t="str">
        <x:v>data/units/race_units.json</x:v>
      </x:c>
      <x:c r="B273" s="21" t="str">
        <x:v>$/units/8/hp</x:v>
      </x:c>
      <x:c r="C273" s="21" t="str">
        <x:v>int</x:v>
      </x:c>
      <x:c r="D273" s="21" t="str">
        <x:v>580</x:v>
      </x:c>
    </x:row>
    <x:row r="274" ht="22" customHeight="1">
      <x:c r="A274" s="21" t="str">
        <x:v>data/units/race_units.json</x:v>
      </x:c>
      <x:c r="B274" s="21" t="str">
        <x:v>$/units/8/atk</x:v>
      </x:c>
      <x:c r="C274" s="21" t="str">
        <x:v>int</x:v>
      </x:c>
      <x:c r="D274" s="21" t="str">
        <x:v>37</x:v>
      </x:c>
    </x:row>
    <x:row r="275" ht="22" customHeight="1">
      <x:c r="A275" s="21" t="str">
        <x:v>data/units/race_units.json</x:v>
      </x:c>
      <x:c r="B275" s="21" t="str">
        <x:v>$/units/8/def</x:v>
      </x:c>
      <x:c r="C275" s="21" t="str">
        <x:v>int</x:v>
      </x:c>
      <x:c r="D275" s="21" t="str">
        <x:v>4</x:v>
      </x:c>
    </x:row>
    <x:row r="276" ht="22" customHeight="1">
      <x:c r="A276" s="21" t="str">
        <x:v>data/units/race_units.json</x:v>
      </x:c>
      <x:c r="B276" s="21" t="str">
        <x:v>$/units/8/attack_speed</x:v>
      </x:c>
      <x:c r="C276" s="21" t="str">
        <x:v>float</x:v>
      </x:c>
      <x:c r="D276" s="21" t="str">
        <x:v>1.05</x:v>
      </x:c>
    </x:row>
    <x:row r="277" ht="22" customHeight="1">
      <x:c r="A277" s="21" t="str">
        <x:v>data/units/race_units.json</x:v>
      </x:c>
      <x:c r="B277" s="21" t="str">
        <x:v>$/units/8/range</x:v>
      </x:c>
      <x:c r="C277" s="21" t="str">
        <x:v>int</x:v>
      </x:c>
      <x:c r="D277" s="21" t="str">
        <x:v>1</x:v>
      </x:c>
    </x:row>
    <x:row r="278" ht="22" customHeight="1">
      <x:c r="A278" s="21" t="str">
        <x:v>data/units/race_units.json</x:v>
      </x:c>
      <x:c r="B278" s="21" t="str">
        <x:v>$/units/8/move_speed</x:v>
      </x:c>
      <x:c r="C278" s="21" t="str">
        <x:v>float</x:v>
      </x:c>
      <x:c r="D278" s="21" t="str">
        <x:v>3.35</x:v>
      </x:c>
    </x:row>
    <x:row r="279" ht="22" customHeight="1">
      <x:c r="A279" s="21" t="str">
        <x:v>data/units/race_units.json</x:v>
      </x:c>
      <x:c r="B279" s="21" t="str">
        <x:v>$/units/8/crit</x:v>
      </x:c>
      <x:c r="C279" s="21" t="str">
        <x:v>float</x:v>
      </x:c>
      <x:c r="D279" s="21" t="str">
        <x:v>0.05</x:v>
      </x:c>
    </x:row>
    <x:row r="280" ht="22" customHeight="1">
      <x:c r="A280" s="21" t="str">
        <x:v>data/units/race_units.json</x:v>
      </x:c>
      <x:c r="B280" s="21" t="str">
        <x:v>$/units/8/crit_dmg</x:v>
      </x:c>
      <x:c r="C280" s="21" t="str">
        <x:v>float</x:v>
      </x:c>
      <x:c r="D280" s="21" t="str">
        <x:v>1.5</x:v>
      </x:c>
    </x:row>
    <x:row r="281" ht="22" customHeight="1">
      <x:c r="A281" s="21" t="str">
        <x:v>data/units/race_units.json</x:v>
      </x:c>
      <x:c r="B281" s="21" t="str">
        <x:v>$/units/8/skill_id</x:v>
      </x:c>
      <x:c r="C281" s="21" t="str">
        <x:v>string</x:v>
      </x:c>
      <x:c r="D281" s="21" t="str">
        <x:v>"curse_attack"</x:v>
      </x:c>
    </x:row>
    <x:row r="282" ht="22" customHeight="1">
      <x:c r="A282" s="21" t="str">
        <x:v>data/units/race_units.json</x:v>
      </x:c>
      <x:c r="B282" s="21" t="str">
        <x:v>$/units/8/attack_down</x:v>
      </x:c>
      <x:c r="C282" s="21" t="str">
        <x:v>float</x:v>
      </x:c>
      <x:c r="D282" s="21" t="str">
        <x:v>0.08</x:v>
      </x:c>
    </x:row>
    <x:row r="283" ht="22" customHeight="1">
      <x:c r="A283" s="21" t="str">
        <x:v>data/units/race_units.json</x:v>
      </x:c>
      <x:c r="B283" s="21" t="str">
        <x:v>$/units/8/aspd_down</x:v>
      </x:c>
      <x:c r="C283" s="21" t="str">
        <x:v>float</x:v>
      </x:c>
      <x:c r="D283" s="21" t="str">
        <x:v>0.08</x:v>
      </x:c>
    </x:row>
    <x:row r="284" ht="22" customHeight="1">
      <x:c r="A284" s="21" t="str">
        <x:v>data/units/race_units.json</x:v>
      </x:c>
      <x:c r="B284" s="21" t="str">
        <x:v>$/units/8/duration</x:v>
      </x:c>
      <x:c r="C284" s="21" t="str">
        <x:v>float</x:v>
      </x:c>
      <x:c r="D284" s="21" t="str">
        <x:v>4.0</x:v>
      </x:c>
    </x:row>
    <x:row r="285" ht="22" customHeight="1">
      <x:c r="A285" s="21" t="str">
        <x:v>data/units/race_units.json</x:v>
      </x:c>
      <x:c r="B285" s="21" t="str">
        <x:v>$/units/8/max_stacks</x:v>
      </x:c>
      <x:c r="C285" s="21" t="str">
        <x:v>int</x:v>
      </x:c>
      <x:c r="D285" s="21" t="str">
        <x:v>2</x:v>
      </x:c>
    </x:row>
    <x:row r="286" ht="22" customHeight="1">
      <x:c r="A286" s="21" t="str">
        <x:v>data/units/race_units.json</x:v>
      </x:c>
      <x:c r="B286" s="21" t="str">
        <x:v>$/units/8/model</x:v>
      </x:c>
      <x:c r="C286" s="21" t="str">
        <x:v>string</x:v>
      </x:c>
      <x:c r="D286" s="21" t="str">
        <x:v>"res://assets/models/units/dark_refined/dark_imp/dark_imp_refined.tscn"</x:v>
      </x:c>
    </x:row>
    <x:row r="287" ht="22" customHeight="1">
      <x:c r="A287" s="21" t="str">
        <x:v>data/units/race_units.json</x:v>
      </x:c>
      <x:c r="B287" s="21" t="str">
        <x:v>$/units/8/model_idle_animation</x:v>
      </x:c>
      <x:c r="C287" s="21" t="str">
        <x:v>string</x:v>
      </x:c>
      <x:c r="D287" s="21" t="str">
        <x:v>"res://assets/models/units/dark_imp_motong/dark_imp_motong_idle_zombie.fbx"</x:v>
      </x:c>
    </x:row>
    <x:row r="288" ht="22" customHeight="1">
      <x:c r="A288" s="21" t="str">
        <x:v>data/units/race_units.json</x:v>
      </x:c>
      <x:c r="B288" s="21" t="str">
        <x:v>$/units/8/model_idle_animation_name</x:v>
      </x:c>
      <x:c r="C288" s="21" t="str">
        <x:v>string</x:v>
      </x:c>
      <x:c r="D288" s="21" t="str">
        <x:v>"mixamo_com"</x:v>
      </x:c>
    </x:row>
    <x:row r="289" ht="22" customHeight="1">
      <x:c r="A289" s="21" t="str">
        <x:v>data/units/race_units.json</x:v>
      </x:c>
      <x:c r="B289" s="21" t="str">
        <x:v>$/units/8/model_attack_animation_name</x:v>
      </x:c>
      <x:c r="C289" s="21" t="str">
        <x:v>string</x:v>
      </x:c>
      <x:c r="D289" s="21" t="str">
        <x:v>"attack"</x:v>
      </x:c>
    </x:row>
    <x:row r="290" ht="22" customHeight="1">
      <x:c r="A290" s="21" t="str">
        <x:v>data/units/race_units.json</x:v>
      </x:c>
      <x:c r="B290" s="21" t="str">
        <x:v>$/units/8/model_attack_sync_seek</x:v>
      </x:c>
      <x:c r="C290" s="21" t="str">
        <x:v>float</x:v>
      </x:c>
      <x:c r="D290" s="21" t="str">
        <x:v>0.25</x:v>
      </x:c>
    </x:row>
    <x:row r="291" ht="22" customHeight="1">
      <x:c r="A291" s="21" t="str">
        <x:v>data/units/race_units.json</x:v>
      </x:c>
      <x:c r="B291" s="21" t="str">
        <x:v>$/units/8/model_visual_scale</x:v>
      </x:c>
      <x:c r="C291" s="21" t="str">
        <x:v>float</x:v>
      </x:c>
      <x:c r="D291" s="21" t="str">
        <x:v>0.85</x:v>
      </x:c>
    </x:row>
    <x:row r="292" ht="22" customHeight="1">
      <x:c r="A292" s="21" t="str">
        <x:v>data/units/race_units.json</x:v>
      </x:c>
      <x:c r="B292" s="21" t="str">
        <x:v>$/units/8/model_base_yaw</x:v>
      </x:c>
      <x:c r="C292" s="21" t="str">
        <x:v>int</x:v>
      </x:c>
      <x:c r="D292" s="21" t="str">
        <x:v>180</x:v>
      </x:c>
    </x:row>
    <x:row r="293" ht="22" customHeight="1">
      <x:c r="A293" s="21" t="str">
        <x:v>data/units/race_units.json</x:v>
      </x:c>
      <x:c r="B293" s="21" t="str">
        <x:v>$/units/8/name_en</x:v>
      </x:c>
      <x:c r="C293" s="21" t="str">
        <x:v>string</x:v>
      </x:c>
      <x:c r="D293" s="21" t="str">
        <x:v>"Imp"</x:v>
      </x:c>
    </x:row>
    <x:row r="294" ht="22" customHeight="1">
      <x:c r="A294" s="21" t="str">
        <x:v>data/units/race_units.json</x:v>
      </x:c>
      <x:c r="B294" s="21" t="str">
        <x:v>$/units/9</x:v>
      </x:c>
      <x:c r="C294" s="21" t="str">
        <x:v>object</x:v>
      </x:c>
      <x:c r="D294" s="21" t="str"/>
    </x:row>
    <x:row r="295" ht="22" customHeight="1">
      <x:c r="A295" s="21" t="str">
        <x:v>data/units/race_units.json</x:v>
      </x:c>
      <x:c r="B295" s="21" t="str">
        <x:v>$/units/9/id</x:v>
      </x:c>
      <x:c r="C295" s="21" t="str">
        <x:v>string</x:v>
      </x:c>
      <x:c r="D295" s="21" t="str">
        <x:v>"dark_mage"</x:v>
      </x:c>
    </x:row>
    <x:row r="296" ht="22" customHeight="1">
      <x:c r="A296" s="21" t="str">
        <x:v>data/units/race_units.json</x:v>
      </x:c>
      <x:c r="B296" s="21" t="str">
        <x:v>$/units/9/star4</x:v>
      </x:c>
      <x:c r="C296" s="21" t="str">
        <x:v>object</x:v>
      </x:c>
      <x:c r="D296" s="21" t="str"/>
    </x:row>
    <x:row r="297" ht="22" customHeight="1">
      <x:c r="A297" s="21" t="str">
        <x:v>data/units/race_units.json</x:v>
      </x:c>
      <x:c r="B297" s="21" t="str">
        <x:v>$/units/9/star4/damage_atk_pct</x:v>
      </x:c>
      <x:c r="C297" s="21" t="str">
        <x:v>float</x:v>
      </x:c>
      <x:c r="D297" s="21" t="str">
        <x:v>3.4</x:v>
      </x:c>
    </x:row>
    <x:row r="298" ht="22" customHeight="1">
      <x:c r="A298" s="21" t="str">
        <x:v>data/units/race_units.json</x:v>
      </x:c>
      <x:c r="B298" s="21" t="str">
        <x:v>$/units/9/star4/skill_cd</x:v>
      </x:c>
      <x:c r="C298" s="21" t="str">
        <x:v>int</x:v>
      </x:c>
      <x:c r="D298" s="21" t="str">
        <x:v>4</x:v>
      </x:c>
    </x:row>
    <x:row r="299" ht="22" customHeight="1">
      <x:c r="A299" s="21" t="str">
        <x:v>data/units/race_units.json</x:v>
      </x:c>
      <x:c r="B299" s="21" t="str">
        <x:v>$/units/9/name</x:v>
      </x:c>
      <x:c r="C299" s="21" t="str">
        <x:v>string</x:v>
      </x:c>
      <x:c r="D299" s="21" t="str">
        <x:v>"暗影法师"</x:v>
      </x:c>
    </x:row>
    <x:row r="300" ht="22" customHeight="1">
      <x:c r="A300" s="21" t="str">
        <x:v>data/units/race_units.json</x:v>
      </x:c>
      <x:c r="B300" s="21" t="str">
        <x:v>$/units/9/race</x:v>
      </x:c>
      <x:c r="C300" s="21" t="str">
        <x:v>string</x:v>
      </x:c>
      <x:c r="D300" s="21" t="str">
        <x:v>"dark"</x:v>
      </x:c>
    </x:row>
    <x:row r="301" ht="22" customHeight="1">
      <x:c r="A301" s="21" t="str">
        <x:v>data/units/race_units.json</x:v>
      </x:c>
      <x:c r="B301" s="21" t="str">
        <x:v>$/units/9/element</x:v>
      </x:c>
      <x:c r="C301" s="21" t="str">
        <x:v>string</x:v>
      </x:c>
      <x:c r="D301" s="21" t="str">
        <x:v>"sky"</x:v>
      </x:c>
    </x:row>
    <x:row r="302" ht="22" customHeight="1">
      <x:c r="A302" s="21" t="str">
        <x:v>data/units/race_units.json</x:v>
      </x:c>
      <x:c r="B302" s="21" t="str">
        <x:v>$/units/9/tier</x:v>
      </x:c>
      <x:c r="C302" s="21" t="str">
        <x:v>int</x:v>
      </x:c>
      <x:c r="D302" s="21" t="str">
        <x:v>1</x:v>
      </x:c>
    </x:row>
    <x:row r="303" ht="22" customHeight="1">
      <x:c r="A303" s="21" t="str">
        <x:v>data/units/race_units.json</x:v>
      </x:c>
      <x:c r="B303" s="21" t="str">
        <x:v>$/units/9/cost</x:v>
      </x:c>
      <x:c r="C303" s="21" t="str">
        <x:v>int</x:v>
      </x:c>
      <x:c r="D303" s="21" t="str">
        <x:v>20</x:v>
      </x:c>
    </x:row>
    <x:row r="304" ht="22" customHeight="1">
      <x:c r="A304" s="21" t="str">
        <x:v>data/units/race_units.json</x:v>
      </x:c>
      <x:c r="B304" s="21" t="str">
        <x:v>$/units/9/hp</x:v>
      </x:c>
      <x:c r="C304" s="21" t="str">
        <x:v>int</x:v>
      </x:c>
      <x:c r="D304" s="21" t="str">
        <x:v>520</x:v>
      </x:c>
    </x:row>
    <x:row r="305" ht="22" customHeight="1">
      <x:c r="A305" s="21" t="str">
        <x:v>data/units/race_units.json</x:v>
      </x:c>
      <x:c r="B305" s="21" t="str">
        <x:v>$/units/9/atk</x:v>
      </x:c>
      <x:c r="C305" s="21" t="str">
        <x:v>int</x:v>
      </x:c>
      <x:c r="D305" s="21" t="str">
        <x:v>48</x:v>
      </x:c>
    </x:row>
    <x:row r="306" ht="22" customHeight="1">
      <x:c r="A306" s="21" t="str">
        <x:v>data/units/race_units.json</x:v>
      </x:c>
      <x:c r="B306" s="21" t="str">
        <x:v>$/units/9/def</x:v>
      </x:c>
      <x:c r="C306" s="21" t="str">
        <x:v>int</x:v>
      </x:c>
      <x:c r="D306" s="21" t="str">
        <x:v>3</x:v>
      </x:c>
    </x:row>
    <x:row r="307" ht="22" customHeight="1">
      <x:c r="A307" s="21" t="str">
        <x:v>data/units/race_units.json</x:v>
      </x:c>
      <x:c r="B307" s="21" t="str">
        <x:v>$/units/9/attack_speed</x:v>
      </x:c>
      <x:c r="C307" s="21" t="str">
        <x:v>float</x:v>
      </x:c>
      <x:c r="D307" s="21" t="str">
        <x:v>0.9</x:v>
      </x:c>
    </x:row>
    <x:row r="308" ht="22" customHeight="1">
      <x:c r="A308" s="21" t="str">
        <x:v>data/units/race_units.json</x:v>
      </x:c>
      <x:c r="B308" s="21" t="str">
        <x:v>$/units/9/range</x:v>
      </x:c>
      <x:c r="C308" s="21" t="str">
        <x:v>int</x:v>
      </x:c>
      <x:c r="D308" s="21" t="str">
        <x:v>4</x:v>
      </x:c>
    </x:row>
    <x:row r="309" ht="22" customHeight="1">
      <x:c r="A309" s="21" t="str">
        <x:v>data/units/race_units.json</x:v>
      </x:c>
      <x:c r="B309" s="21" t="str">
        <x:v>$/units/9/move_speed</x:v>
      </x:c>
      <x:c r="C309" s="21" t="str">
        <x:v>float</x:v>
      </x:c>
      <x:c r="D309" s="21" t="str">
        <x:v>3.25</x:v>
      </x:c>
    </x:row>
    <x:row r="310" ht="22" customHeight="1">
      <x:c r="A310" s="21" t="str">
        <x:v>data/units/race_units.json</x:v>
      </x:c>
      <x:c r="B310" s="21" t="str">
        <x:v>$/units/9/crit</x:v>
      </x:c>
      <x:c r="C310" s="21" t="str">
        <x:v>float</x:v>
      </x:c>
      <x:c r="D310" s="21" t="str">
        <x:v>0.05</x:v>
      </x:c>
    </x:row>
    <x:row r="311" ht="22" customHeight="1">
      <x:c r="A311" s="21" t="str">
        <x:v>data/units/race_units.json</x:v>
      </x:c>
      <x:c r="B311" s="21" t="str">
        <x:v>$/units/9/crit_dmg</x:v>
      </x:c>
      <x:c r="C311" s="21" t="str">
        <x:v>float</x:v>
      </x:c>
      <x:c r="D311" s="21" t="str">
        <x:v>1.5</x:v>
      </x:c>
    </x:row>
    <x:row r="312" ht="22" customHeight="1">
      <x:c r="A312" s="21" t="str">
        <x:v>data/units/race_units.json</x:v>
      </x:c>
      <x:c r="B312" s="21" t="str">
        <x:v>$/units/9/skill_id</x:v>
      </x:c>
      <x:c r="C312" s="21" t="str">
        <x:v>string</x:v>
      </x:c>
      <x:c r="D312" s="21" t="str">
        <x:v>"silence_bolt"</x:v>
      </x:c>
    </x:row>
    <x:row r="313" ht="22" customHeight="1">
      <x:c r="A313" s="21" t="str">
        <x:v>data/units/race_units.json</x:v>
      </x:c>
      <x:c r="B313" s="21" t="str">
        <x:v>$/units/9/skill_cd</x:v>
      </x:c>
      <x:c r="C313" s="21" t="str">
        <x:v>float</x:v>
      </x:c>
      <x:c r="D313" s="21" t="str">
        <x:v>6.0</x:v>
      </x:c>
    </x:row>
    <x:row r="314" ht="22" customHeight="1">
      <x:c r="A314" s="21" t="str">
        <x:v>data/units/race_units.json</x:v>
      </x:c>
      <x:c r="B314" s="21" t="str">
        <x:v>$/units/9/silence_sec</x:v>
      </x:c>
      <x:c r="C314" s="21" t="str">
        <x:v>float</x:v>
      </x:c>
      <x:c r="D314" s="21" t="str">
        <x:v>3.0</x:v>
      </x:c>
    </x:row>
    <x:row r="315" ht="22" customHeight="1">
      <x:c r="A315" s="21" t="str">
        <x:v>data/units/race_units.json</x:v>
      </x:c>
      <x:c r="B315" s="21" t="str">
        <x:v>$/units/9/damage_atk_pct</x:v>
      </x:c>
      <x:c r="C315" s="21" t="str">
        <x:v>float</x:v>
      </x:c>
      <x:c r="D315" s="21" t="str">
        <x:v>1.7</x:v>
      </x:c>
    </x:row>
    <x:row r="316" ht="22" customHeight="1">
      <x:c r="A316" s="21" t="str">
        <x:v>data/units/race_units.json</x:v>
      </x:c>
      <x:c r="B316" s="21" t="str">
        <x:v>$/units/9/model</x:v>
      </x:c>
      <x:c r="C316" s="21" t="str">
        <x:v>string</x:v>
      </x:c>
      <x:c r="D316" s="21" t="str">
        <x:v>"res://assets/models/units/dark_refined/dark_mage/dark_mage_refined.tscn"</x:v>
      </x:c>
    </x:row>
    <x:row r="317" ht="22" customHeight="1">
      <x:c r="A317" s="21" t="str">
        <x:v>data/units/race_units.json</x:v>
      </x:c>
      <x:c r="B317" s="21" t="str">
        <x:v>$/units/9/model_visual_scale</x:v>
      </x:c>
      <x:c r="C317" s="21" t="str">
        <x:v>int</x:v>
      </x:c>
      <x:c r="D317" s="21" t="str">
        <x:v>1</x:v>
      </x:c>
    </x:row>
    <x:row r="318" ht="22" customHeight="1">
      <x:c r="A318" s="21" t="str">
        <x:v>data/units/race_units.json</x:v>
      </x:c>
      <x:c r="B318" s="21" t="str">
        <x:v>$/units/9/model_base_yaw</x:v>
      </x:c>
      <x:c r="C318" s="21" t="str">
        <x:v>int</x:v>
      </x:c>
      <x:c r="D318" s="21" t="str">
        <x:v>180</x:v>
      </x:c>
    </x:row>
    <x:row r="319" ht="22" customHeight="1">
      <x:c r="A319" s="21" t="str">
        <x:v>data/units/race_units.json</x:v>
      </x:c>
      <x:c r="B319" s="21" t="str">
        <x:v>$/units/9/model_idle_animation_name</x:v>
      </x:c>
      <x:c r="C319" s="21" t="str">
        <x:v>string</x:v>
      </x:c>
      <x:c r="D319" s="21" t="str">
        <x:v>"idle"</x:v>
      </x:c>
    </x:row>
    <x:row r="320" ht="22" customHeight="1">
      <x:c r="A320" s="21" t="str">
        <x:v>data/units/race_units.json</x:v>
      </x:c>
      <x:c r="B320" s="21" t="str">
        <x:v>$/units/9/model_attack_animation_name</x:v>
      </x:c>
      <x:c r="C320" s="21" t="str">
        <x:v>string</x:v>
      </x:c>
      <x:c r="D320" s="21" t="str">
        <x:v>"attack"</x:v>
      </x:c>
    </x:row>
    <x:row r="321" ht="22" customHeight="1">
      <x:c r="A321" s="21" t="str">
        <x:v>data/units/race_units.json</x:v>
      </x:c>
      <x:c r="B321" s="21" t="str">
        <x:v>$/units/9/model_attack_sync_seek</x:v>
      </x:c>
      <x:c r="C321" s="21" t="str">
        <x:v>float</x:v>
      </x:c>
      <x:c r="D321" s="21" t="str">
        <x:v>0.18</x:v>
      </x:c>
    </x:row>
    <x:row r="322" ht="22" customHeight="1">
      <x:c r="A322" s="21" t="str">
        <x:v>data/units/race_units.json</x:v>
      </x:c>
      <x:c r="B322" s="21" t="str">
        <x:v>$/units/9/model_attack_lock_time</x:v>
      </x:c>
      <x:c r="C322" s="21" t="str">
        <x:v>float</x:v>
      </x:c>
      <x:c r="D322" s="21" t="str">
        <x:v>0.4</x:v>
      </x:c>
    </x:row>
    <x:row r="323" ht="22" customHeight="1">
      <x:c r="A323" s="21" t="str">
        <x:v>data/units/race_units.json</x:v>
      </x:c>
      <x:c r="B323" s="21" t="str">
        <x:v>$/units/9/model_run_animation_name</x:v>
      </x:c>
      <x:c r="C323" s="21" t="str">
        <x:v>string</x:v>
      </x:c>
      <x:c r="D323" s="21" t="str">
        <x:v>"run"</x:v>
      </x:c>
    </x:row>
    <x:row r="324" ht="22" customHeight="1">
      <x:c r="A324" s="21" t="str">
        <x:v>data/units/race_units.json</x:v>
      </x:c>
      <x:c r="B324" s="21" t="str">
        <x:v>$/units/9/name_en</x:v>
      </x:c>
      <x:c r="C324" s="21" t="str">
        <x:v>string</x:v>
      </x:c>
      <x:c r="D324" s="21" t="str">
        <x:v>"Hexmage"</x:v>
      </x:c>
    </x:row>
    <x:row r="325" ht="22" customHeight="1">
      <x:c r="A325" s="21" t="str">
        <x:v>data/units/race_units.json</x:v>
      </x:c>
      <x:c r="B325" s="21" t="str">
        <x:v>$/units/10</x:v>
      </x:c>
      <x:c r="C325" s="21" t="str">
        <x:v>object</x:v>
      </x:c>
      <x:c r="D325" s="21" t="str"/>
    </x:row>
    <x:row r="326" ht="22" customHeight="1">
      <x:c r="A326" s="21" t="str">
        <x:v>data/units/race_units.json</x:v>
      </x:c>
      <x:c r="B326" s="21" t="str">
        <x:v>$/units/10/id</x:v>
      </x:c>
      <x:c r="C326" s="21" t="str">
        <x:v>string</x:v>
      </x:c>
      <x:c r="D326" s="21" t="str">
        <x:v>"dark_fear"</x:v>
      </x:c>
    </x:row>
    <x:row r="327" ht="22" customHeight="1">
      <x:c r="A327" s="21" t="str">
        <x:v>data/units/race_units.json</x:v>
      </x:c>
      <x:c r="B327" s="21" t="str">
        <x:v>$/units/10/star4</x:v>
      </x:c>
      <x:c r="C327" s="21" t="str">
        <x:v>object</x:v>
      </x:c>
      <x:c r="D327" s="21" t="str"/>
    </x:row>
    <x:row r="328" ht="22" customHeight="1">
      <x:c r="A328" s="21" t="str">
        <x:v>data/units/race_units.json</x:v>
      </x:c>
      <x:c r="B328" s="21" t="str">
        <x:v>$/units/10/star4/fear_sec</x:v>
      </x:c>
      <x:c r="C328" s="21" t="str">
        <x:v>int</x:v>
      </x:c>
      <x:c r="D328" s="21" t="str">
        <x:v>3</x:v>
      </x:c>
    </x:row>
    <x:row r="329" ht="22" customHeight="1">
      <x:c r="A329" s="21" t="str">
        <x:v>data/units/race_units.json</x:v>
      </x:c>
      <x:c r="B329" s="21" t="str">
        <x:v>$/units/10/star4/skill_cd</x:v>
      </x:c>
      <x:c r="C329" s="21" t="str">
        <x:v>int</x:v>
      </x:c>
      <x:c r="D329" s="21" t="str">
        <x:v>4</x:v>
      </x:c>
    </x:row>
    <x:row r="330" ht="22" customHeight="1">
      <x:c r="A330" s="21" t="str">
        <x:v>data/units/race_units.json</x:v>
      </x:c>
      <x:c r="B330" s="21" t="str">
        <x:v>$/units/10/name</x:v>
      </x:c>
      <x:c r="C330" s="21" t="str">
        <x:v>string</x:v>
      </x:c>
      <x:c r="D330" s="21" t="str">
        <x:v>"恐惧魔"</x:v>
      </x:c>
    </x:row>
    <x:row r="331" ht="22" customHeight="1">
      <x:c r="A331" s="21" t="str">
        <x:v>data/units/race_units.json</x:v>
      </x:c>
      <x:c r="B331" s="21" t="str">
        <x:v>$/units/10/race</x:v>
      </x:c>
      <x:c r="C331" s="21" t="str">
        <x:v>string</x:v>
      </x:c>
      <x:c r="D331" s="21" t="str">
        <x:v>"dark"</x:v>
      </x:c>
    </x:row>
    <x:row r="332" ht="22" customHeight="1">
      <x:c r="A332" s="21" t="str">
        <x:v>data/units/race_units.json</x:v>
      </x:c>
      <x:c r="B332" s="21" t="str">
        <x:v>$/units/10/element</x:v>
      </x:c>
      <x:c r="C332" s="21" t="str">
        <x:v>string</x:v>
      </x:c>
      <x:c r="D332" s="21" t="str">
        <x:v>"land"</x:v>
      </x:c>
    </x:row>
    <x:row r="333" ht="22" customHeight="1">
      <x:c r="A333" s="21" t="str">
        <x:v>data/units/race_units.json</x:v>
      </x:c>
      <x:c r="B333" s="21" t="str">
        <x:v>$/units/10/tier</x:v>
      </x:c>
      <x:c r="C333" s="21" t="str">
        <x:v>int</x:v>
      </x:c>
      <x:c r="D333" s="21" t="str">
        <x:v>2</x:v>
      </x:c>
    </x:row>
    <x:row r="334" ht="22" customHeight="1">
      <x:c r="A334" s="21" t="str">
        <x:v>data/units/race_units.json</x:v>
      </x:c>
      <x:c r="B334" s="21" t="str">
        <x:v>$/units/10/cost</x:v>
      </x:c>
      <x:c r="C334" s="21" t="str">
        <x:v>int</x:v>
      </x:c>
      <x:c r="D334" s="21" t="str">
        <x:v>30</x:v>
      </x:c>
    </x:row>
    <x:row r="335" ht="22" customHeight="1">
      <x:c r="A335" s="21" t="str">
        <x:v>data/units/race_units.json</x:v>
      </x:c>
      <x:c r="B335" s="21" t="str">
        <x:v>$/units/10/hp</x:v>
      </x:c>
      <x:c r="C335" s="21" t="str">
        <x:v>int</x:v>
      </x:c>
      <x:c r="D335" s="21" t="str">
        <x:v>840</x:v>
      </x:c>
    </x:row>
    <x:row r="336" ht="22" customHeight="1">
      <x:c r="A336" s="21" t="str">
        <x:v>data/units/race_units.json</x:v>
      </x:c>
      <x:c r="B336" s="21" t="str">
        <x:v>$/units/10/atk</x:v>
      </x:c>
      <x:c r="C336" s="21" t="str">
        <x:v>int</x:v>
      </x:c>
      <x:c r="D336" s="21" t="str">
        <x:v>55</x:v>
      </x:c>
    </x:row>
    <x:row r="337" ht="22" customHeight="1">
      <x:c r="A337" s="21" t="str">
        <x:v>data/units/race_units.json</x:v>
      </x:c>
      <x:c r="B337" s="21" t="str">
        <x:v>$/units/10/def</x:v>
      </x:c>
      <x:c r="C337" s="21" t="str">
        <x:v>int</x:v>
      </x:c>
      <x:c r="D337" s="21" t="str">
        <x:v>7</x:v>
      </x:c>
    </x:row>
    <x:row r="338" ht="22" customHeight="1">
      <x:c r="A338" s="21" t="str">
        <x:v>data/units/race_units.json</x:v>
      </x:c>
      <x:c r="B338" s="21" t="str">
        <x:v>$/units/10/attack_speed</x:v>
      </x:c>
      <x:c r="C338" s="21" t="str">
        <x:v>float</x:v>
      </x:c>
      <x:c r="D338" s="21" t="str">
        <x:v>0.92</x:v>
      </x:c>
    </x:row>
    <x:row r="339" ht="22" customHeight="1">
      <x:c r="A339" s="21" t="str">
        <x:v>data/units/race_units.json</x:v>
      </x:c>
      <x:c r="B339" s="21" t="str">
        <x:v>$/units/10/range</x:v>
      </x:c>
      <x:c r="C339" s="21" t="str">
        <x:v>int</x:v>
      </x:c>
      <x:c r="D339" s="21" t="str">
        <x:v>1</x:v>
      </x:c>
    </x:row>
    <x:row r="340" ht="22" customHeight="1">
      <x:c r="A340" s="21" t="str">
        <x:v>data/units/race_units.json</x:v>
      </x:c>
      <x:c r="B340" s="21" t="str">
        <x:v>$/units/10/move_speed</x:v>
      </x:c>
      <x:c r="C340" s="21" t="str">
        <x:v>float</x:v>
      </x:c>
      <x:c r="D340" s="21" t="str">
        <x:v>3.15</x:v>
      </x:c>
    </x:row>
    <x:row r="341" ht="22" customHeight="1">
      <x:c r="A341" s="21" t="str">
        <x:v>data/units/race_units.json</x:v>
      </x:c>
      <x:c r="B341" s="21" t="str">
        <x:v>$/units/10/crit</x:v>
      </x:c>
      <x:c r="C341" s="21" t="str">
        <x:v>float</x:v>
      </x:c>
      <x:c r="D341" s="21" t="str">
        <x:v>0.08</x:v>
      </x:c>
    </x:row>
    <x:row r="342" ht="22" customHeight="1">
      <x:c r="A342" s="21" t="str">
        <x:v>data/units/race_units.json</x:v>
      </x:c>
      <x:c r="B342" s="21" t="str">
        <x:v>$/units/10/crit_dmg</x:v>
      </x:c>
      <x:c r="C342" s="21" t="str">
        <x:v>float</x:v>
      </x:c>
      <x:c r="D342" s="21" t="str">
        <x:v>1.6</x:v>
      </x:c>
    </x:row>
    <x:row r="343" ht="22" customHeight="1">
      <x:c r="A343" s="21" t="str">
        <x:v>data/units/race_units.json</x:v>
      </x:c>
      <x:c r="B343" s="21" t="str">
        <x:v>$/units/10/skill_id</x:v>
      </x:c>
      <x:c r="C343" s="21" t="str">
        <x:v>string</x:v>
      </x:c>
      <x:c r="D343" s="21" t="str">
        <x:v>"fear"</x:v>
      </x:c>
    </x:row>
    <x:row r="344" ht="22" customHeight="1">
      <x:c r="A344" s="21" t="str">
        <x:v>data/units/race_units.json</x:v>
      </x:c>
      <x:c r="B344" s="21" t="str">
        <x:v>$/units/10/skill_cd</x:v>
      </x:c>
      <x:c r="C344" s="21" t="str">
        <x:v>float</x:v>
      </x:c>
      <x:c r="D344" s="21" t="str">
        <x:v>6.0</x:v>
      </x:c>
    </x:row>
    <x:row r="345" ht="22" customHeight="1">
      <x:c r="A345" s="21" t="str">
        <x:v>data/units/race_units.json</x:v>
      </x:c>
      <x:c r="B345" s="21" t="str">
        <x:v>$/units/10/fear_sec</x:v>
      </x:c>
      <x:c r="C345" s="21" t="str">
        <x:v>float</x:v>
      </x:c>
      <x:c r="D345" s="21" t="str">
        <x:v>2.0</x:v>
      </x:c>
    </x:row>
    <x:row r="346" ht="22" customHeight="1">
      <x:c r="A346" s="21" t="str">
        <x:v>data/units/race_units.json</x:v>
      </x:c>
      <x:c r="B346" s="21" t="str">
        <x:v>$/units/10/model</x:v>
      </x:c>
      <x:c r="C346" s="21" t="str">
        <x:v>string</x:v>
      </x:c>
      <x:c r="D346" s="21" t="str">
        <x:v>"res://assets/models/units/dark_refined/dark_fear/dark_fear_refined.tscn"</x:v>
      </x:c>
    </x:row>
    <x:row r="347" ht="22" customHeight="1">
      <x:c r="A347" s="21" t="str">
        <x:v>data/units/race_units.json</x:v>
      </x:c>
      <x:c r="B347" s="21" t="str">
        <x:v>$/units/10/model_visual_scale</x:v>
      </x:c>
      <x:c r="C347" s="21" t="str">
        <x:v>int</x:v>
      </x:c>
      <x:c r="D347" s="21" t="str">
        <x:v>1</x:v>
      </x:c>
    </x:row>
    <x:row r="348" ht="22" customHeight="1">
      <x:c r="A348" s="21" t="str">
        <x:v>data/units/race_units.json</x:v>
      </x:c>
      <x:c r="B348" s="21" t="str">
        <x:v>$/units/10/model_base_yaw</x:v>
      </x:c>
      <x:c r="C348" s="21" t="str">
        <x:v>int</x:v>
      </x:c>
      <x:c r="D348" s="21" t="str">
        <x:v>180</x:v>
      </x:c>
    </x:row>
    <x:row r="349" ht="22" customHeight="1">
      <x:c r="A349" s="21" t="str">
        <x:v>data/units/race_units.json</x:v>
      </x:c>
      <x:c r="B349" s="21" t="str">
        <x:v>$/units/10/name_en</x:v>
      </x:c>
      <x:c r="C349" s="21" t="str">
        <x:v>string</x:v>
      </x:c>
      <x:c r="D349" s="21" t="str">
        <x:v>"Fear Demon"</x:v>
      </x:c>
    </x:row>
    <x:row r="350" ht="22" customHeight="1">
      <x:c r="A350" s="21" t="str">
        <x:v>data/units/race_units.json</x:v>
      </x:c>
      <x:c r="B350" s="21" t="str">
        <x:v>$/units/11</x:v>
      </x:c>
      <x:c r="C350" s="21" t="str">
        <x:v>object</x:v>
      </x:c>
      <x:c r="D350" s="21" t="str"/>
    </x:row>
    <x:row r="351" ht="22" customHeight="1">
      <x:c r="A351" s="21" t="str">
        <x:v>data/units/race_units.json</x:v>
      </x:c>
      <x:c r="B351" s="21" t="str">
        <x:v>$/units/11/id</x:v>
      </x:c>
      <x:c r="C351" s="21" t="str">
        <x:v>string</x:v>
      </x:c>
      <x:c r="D351" s="21" t="str">
        <x:v>"dark_queen"</x:v>
      </x:c>
    </x:row>
    <x:row r="352" ht="22" customHeight="1">
      <x:c r="A352" s="21" t="str">
        <x:v>data/units/race_units.json</x:v>
      </x:c>
      <x:c r="B352" s="21" t="str">
        <x:v>$/units/11/star4</x:v>
      </x:c>
      <x:c r="C352" s="21" t="str">
        <x:v>object</x:v>
      </x:c>
      <x:c r="D352" s="21" t="str"/>
    </x:row>
    <x:row r="353" ht="22" customHeight="1">
      <x:c r="A353" s="21" t="str">
        <x:v>data/units/race_units.json</x:v>
      </x:c>
      <x:c r="B353" s="21" t="str">
        <x:v>$/units/11/star4/stack_damage</x:v>
      </x:c>
      <x:c r="C353" s="21" t="str">
        <x:v>float</x:v>
      </x:c>
      <x:c r="D353" s="21" t="str">
        <x:v>0.35</x:v>
      </x:c>
    </x:row>
    <x:row r="354" ht="22" customHeight="1">
      <x:c r="A354" s="21" t="str">
        <x:v>data/units/race_units.json</x:v>
      </x:c>
      <x:c r="B354" s="21" t="str">
        <x:v>$/units/11/star4/max_stacks</x:v>
      </x:c>
      <x:c r="C354" s="21" t="str">
        <x:v>int</x:v>
      </x:c>
      <x:c r="D354" s="21" t="str">
        <x:v>6</x:v>
      </x:c>
    </x:row>
    <x:row r="355" ht="22" customHeight="1">
      <x:c r="A355" s="21" t="str">
        <x:v>data/units/race_units.json</x:v>
      </x:c>
      <x:c r="B355" s="21" t="str">
        <x:v>$/units/11/name</x:v>
      </x:c>
      <x:c r="C355" s="21" t="str">
        <x:v>string</x:v>
      </x:c>
      <x:c r="D355" s="21" t="str">
        <x:v>"痛苦女王"</x:v>
      </x:c>
    </x:row>
    <x:row r="356" ht="22" customHeight="1">
      <x:c r="A356" s="21" t="str">
        <x:v>data/units/race_units.json</x:v>
      </x:c>
      <x:c r="B356" s="21" t="str">
        <x:v>$/units/11/race</x:v>
      </x:c>
      <x:c r="C356" s="21" t="str">
        <x:v>string</x:v>
      </x:c>
      <x:c r="D356" s="21" t="str">
        <x:v>"dark"</x:v>
      </x:c>
    </x:row>
    <x:row r="357" ht="22" customHeight="1">
      <x:c r="A357" s="21" t="str">
        <x:v>data/units/race_units.json</x:v>
      </x:c>
      <x:c r="B357" s="21" t="str">
        <x:v>$/units/11/element</x:v>
      </x:c>
      <x:c r="C357" s="21" t="str">
        <x:v>string</x:v>
      </x:c>
      <x:c r="D357" s="21" t="str">
        <x:v>"sky"</x:v>
      </x:c>
    </x:row>
    <x:row r="358" ht="22" customHeight="1">
      <x:c r="A358" s="21" t="str">
        <x:v>data/units/race_units.json</x:v>
      </x:c>
      <x:c r="B358" s="21" t="str">
        <x:v>$/units/11/tier</x:v>
      </x:c>
      <x:c r="C358" s="21" t="str">
        <x:v>int</x:v>
      </x:c>
      <x:c r="D358" s="21" t="str">
        <x:v>2</x:v>
      </x:c>
    </x:row>
    <x:row r="359" ht="22" customHeight="1">
      <x:c r="A359" s="21" t="str">
        <x:v>data/units/race_units.json</x:v>
      </x:c>
      <x:c r="B359" s="21" t="str">
        <x:v>$/units/11/cost</x:v>
      </x:c>
      <x:c r="C359" s="21" t="str">
        <x:v>int</x:v>
      </x:c>
      <x:c r="D359" s="21" t="str">
        <x:v>30</x:v>
      </x:c>
    </x:row>
    <x:row r="360" ht="22" customHeight="1">
      <x:c r="A360" s="21" t="str">
        <x:v>data/units/race_units.json</x:v>
      </x:c>
      <x:c r="B360" s="21" t="str">
        <x:v>$/units/11/hp</x:v>
      </x:c>
      <x:c r="C360" s="21" t="str">
        <x:v>int</x:v>
      </x:c>
      <x:c r="D360" s="21" t="str">
        <x:v>920</x:v>
      </x:c>
    </x:row>
    <x:row r="361" ht="22" customHeight="1">
      <x:c r="A361" s="21" t="str">
        <x:v>data/units/race_units.json</x:v>
      </x:c>
      <x:c r="B361" s="21" t="str">
        <x:v>$/units/11/atk</x:v>
      </x:c>
      <x:c r="C361" s="21" t="str">
        <x:v>int</x:v>
      </x:c>
      <x:c r="D361" s="21" t="str">
        <x:v>68</x:v>
      </x:c>
    </x:row>
    <x:row r="362" ht="22" customHeight="1">
      <x:c r="A362" s="21" t="str">
        <x:v>data/units/race_units.json</x:v>
      </x:c>
      <x:c r="B362" s="21" t="str">
        <x:v>$/units/11/def</x:v>
      </x:c>
      <x:c r="C362" s="21" t="str">
        <x:v>int</x:v>
      </x:c>
      <x:c r="D362" s="21" t="str">
        <x:v>8</x:v>
      </x:c>
    </x:row>
    <x:row r="363" ht="22" customHeight="1">
      <x:c r="A363" s="21" t="str">
        <x:v>data/units/race_units.json</x:v>
      </x:c>
      <x:c r="B363" s="21" t="str">
        <x:v>$/units/11/attack_speed</x:v>
      </x:c>
      <x:c r="C363" s="21" t="str">
        <x:v>float</x:v>
      </x:c>
      <x:c r="D363" s="21" t="str">
        <x:v>1.0</x:v>
      </x:c>
    </x:row>
    <x:row r="364" ht="22" customHeight="1">
      <x:c r="A364" s="21" t="str">
        <x:v>data/units/race_units.json</x:v>
      </x:c>
      <x:c r="B364" s="21" t="str">
        <x:v>$/units/11/range</x:v>
      </x:c>
      <x:c r="C364" s="21" t="str">
        <x:v>int</x:v>
      </x:c>
      <x:c r="D364" s="21" t="str">
        <x:v>2</x:v>
      </x:c>
    </x:row>
    <x:row r="365" ht="22" customHeight="1">
      <x:c r="A365" s="21" t="str">
        <x:v>data/units/race_units.json</x:v>
      </x:c>
      <x:c r="B365" s="21" t="str">
        <x:v>$/units/11/move_speed</x:v>
      </x:c>
      <x:c r="C365" s="21" t="str">
        <x:v>float</x:v>
      </x:c>
      <x:c r="D365" s="21" t="str">
        <x:v>3.2</x:v>
      </x:c>
    </x:row>
    <x:row r="366" ht="22" customHeight="1">
      <x:c r="A366" s="21" t="str">
        <x:v>data/units/race_units.json</x:v>
      </x:c>
      <x:c r="B366" s="21" t="str">
        <x:v>$/units/11/crit</x:v>
      </x:c>
      <x:c r="C366" s="21" t="str">
        <x:v>float</x:v>
      </x:c>
      <x:c r="D366" s="21" t="str">
        <x:v>0.08</x:v>
      </x:c>
    </x:row>
    <x:row r="367" ht="22" customHeight="1">
      <x:c r="A367" s="21" t="str">
        <x:v>data/units/race_units.json</x:v>
      </x:c>
      <x:c r="B367" s="21" t="str">
        <x:v>$/units/11/crit_dmg</x:v>
      </x:c>
      <x:c r="C367" s="21" t="str">
        <x:v>float</x:v>
      </x:c>
      <x:c r="D367" s="21" t="str">
        <x:v>1.6</x:v>
      </x:c>
    </x:row>
    <x:row r="368" ht="22" customHeight="1">
      <x:c r="A368" s="21" t="str">
        <x:v>data/units/race_units.json</x:v>
      </x:c>
      <x:c r="B368" s="21" t="str">
        <x:v>$/units/11/skill_id</x:v>
      </x:c>
      <x:c r="C368" s="21" t="str">
        <x:v>string</x:v>
      </x:c>
      <x:c r="D368" s="21" t="str">
        <x:v>"same_target_damage_stack"</x:v>
      </x:c>
    </x:row>
    <x:row r="369" ht="22" customHeight="1">
      <x:c r="A369" s="21" t="str">
        <x:v>data/units/race_units.json</x:v>
      </x:c>
      <x:c r="B369" s="21" t="str">
        <x:v>$/units/11/stack_damage</x:v>
      </x:c>
      <x:c r="C369" s="21" t="str">
        <x:v>float</x:v>
      </x:c>
      <x:c r="D369" s="21" t="str">
        <x:v>0.2</x:v>
      </x:c>
    </x:row>
    <x:row r="370" ht="22" customHeight="1">
      <x:c r="A370" s="21" t="str">
        <x:v>data/units/race_units.json</x:v>
      </x:c>
      <x:c r="B370" s="21" t="str">
        <x:v>$/units/11/max_stacks</x:v>
      </x:c>
      <x:c r="C370" s="21" t="str">
        <x:v>int</x:v>
      </x:c>
      <x:c r="D370" s="21" t="str">
        <x:v>4</x:v>
      </x:c>
    </x:row>
    <x:row r="371" ht="22" customHeight="1">
      <x:c r="A371" s="21" t="str">
        <x:v>data/units/race_units.json</x:v>
      </x:c>
      <x:c r="B371" s="21" t="str">
        <x:v>$/units/11/model</x:v>
      </x:c>
      <x:c r="C371" s="21" t="str">
        <x:v>string</x:v>
      </x:c>
      <x:c r="D371" s="21" t="str">
        <x:v>"res://assets/models/units/dark_refined/dark_queen/dark_queen_refined.tscn"</x:v>
      </x:c>
    </x:row>
    <x:row r="372" ht="22" customHeight="1">
      <x:c r="A372" s="21" t="str">
        <x:v>data/units/race_units.json</x:v>
      </x:c>
      <x:c r="B372" s="21" t="str">
        <x:v>$/units/11/model_visual_scale</x:v>
      </x:c>
      <x:c r="C372" s="21" t="str">
        <x:v>int</x:v>
      </x:c>
      <x:c r="D372" s="21" t="str">
        <x:v>1</x:v>
      </x:c>
    </x:row>
    <x:row r="373" ht="22" customHeight="1">
      <x:c r="A373" s="21" t="str">
        <x:v>data/units/race_units.json</x:v>
      </x:c>
      <x:c r="B373" s="21" t="str">
        <x:v>$/units/11/model_base_yaw</x:v>
      </x:c>
      <x:c r="C373" s="21" t="str">
        <x:v>int</x:v>
      </x:c>
      <x:c r="D373" s="21" t="str">
        <x:v>180</x:v>
      </x:c>
    </x:row>
    <x:row r="374" ht="22" customHeight="1">
      <x:c r="A374" s="21" t="str">
        <x:v>data/units/race_units.json</x:v>
      </x:c>
      <x:c r="B374" s="21" t="str">
        <x:v>$/units/11/name_en</x:v>
      </x:c>
      <x:c r="C374" s="21" t="str">
        <x:v>string</x:v>
      </x:c>
      <x:c r="D374" s="21" t="str">
        <x:v>"Pain Queen"</x:v>
      </x:c>
    </x:row>
    <x:row r="375" ht="22" customHeight="1">
      <x:c r="A375" s="21" t="str">
        <x:v>data/units/race_units.json</x:v>
      </x:c>
      <x:c r="B375" s="21" t="str">
        <x:v>$/units/12</x:v>
      </x:c>
      <x:c r="C375" s="21" t="str">
        <x:v>object</x:v>
      </x:c>
      <x:c r="D375" s="21" t="str"/>
    </x:row>
    <x:row r="376" ht="22" customHeight="1">
      <x:c r="A376" s="21" t="str">
        <x:v>data/units/race_units.json</x:v>
      </x:c>
      <x:c r="B376" s="21" t="str">
        <x:v>$/units/12/id</x:v>
      </x:c>
      <x:c r="C376" s="21" t="str">
        <x:v>string</x:v>
      </x:c>
      <x:c r="D376" s="21" t="str">
        <x:v>"dark_scythe"</x:v>
      </x:c>
    </x:row>
    <x:row r="377" ht="22" customHeight="1">
      <x:c r="A377" s="21" t="str">
        <x:v>data/units/race_units.json</x:v>
      </x:c>
      <x:c r="B377" s="21" t="str">
        <x:v>$/units/12/model_in_place_actions</x:v>
      </x:c>
      <x:c r="C377" s="21" t="str">
        <x:v>array</x:v>
      </x:c>
      <x:c r="D377" s="21" t="str"/>
    </x:row>
    <x:row r="378" ht="22" customHeight="1">
      <x:c r="A378" s="21" t="str">
        <x:v>data/units/race_units.json</x:v>
      </x:c>
      <x:c r="B378" s="21" t="str">
        <x:v>$/units/12/model_in_place_actions/0</x:v>
      </x:c>
      <x:c r="C378" s="21" t="str">
        <x:v>string</x:v>
      </x:c>
      <x:c r="D378" s="21" t="str">
        <x:v>"idle"</x:v>
      </x:c>
    </x:row>
    <x:row r="379" ht="22" customHeight="1">
      <x:c r="A379" s="21" t="str">
        <x:v>data/units/race_units.json</x:v>
      </x:c>
      <x:c r="B379" s="21" t="str">
        <x:v>$/units/12/star4</x:v>
      </x:c>
      <x:c r="C379" s="21" t="str">
        <x:v>object</x:v>
      </x:c>
      <x:c r="D379" s="21" t="str"/>
    </x:row>
    <x:row r="380" ht="22" customHeight="1">
      <x:c r="A380" s="21" t="str">
        <x:v>data/units/race_units.json</x:v>
      </x:c>
      <x:c r="B380" s="21" t="str">
        <x:v>$/units/12/star4/def_down_pct</x:v>
      </x:c>
      <x:c r="C380" s="21" t="str">
        <x:v>float</x:v>
      </x:c>
      <x:c r="D380" s="21" t="str">
        <x:v>0.25</x:v>
      </x:c>
    </x:row>
    <x:row r="381" ht="22" customHeight="1">
      <x:c r="A381" s="21" t="str">
        <x:v>data/units/race_units.json</x:v>
      </x:c>
      <x:c r="B381" s="21" t="str">
        <x:v>$/units/12/star4/damage_atk_pct</x:v>
      </x:c>
      <x:c r="C381" s="21" t="str">
        <x:v>int</x:v>
      </x:c>
      <x:c r="D381" s="21" t="str">
        <x:v>5</x:v>
      </x:c>
    </x:row>
    <x:row r="382" ht="22" customHeight="1">
      <x:c r="A382" s="21" t="str">
        <x:v>data/units/race_units.json</x:v>
      </x:c>
      <x:c r="B382" s="21" t="str">
        <x:v>$/units/12/name</x:v>
      </x:c>
      <x:c r="C382" s="21" t="str">
        <x:v>string</x:v>
      </x:c>
      <x:c r="D382" s="21" t="str">
        <x:v>"偷袭者"</x:v>
      </x:c>
    </x:row>
    <x:row r="383" ht="22" customHeight="1">
      <x:c r="A383" s="21" t="str">
        <x:v>data/units/race_units.json</x:v>
      </x:c>
      <x:c r="B383" s="21" t="str">
        <x:v>$/units/12/race</x:v>
      </x:c>
      <x:c r="C383" s="21" t="str">
        <x:v>string</x:v>
      </x:c>
      <x:c r="D383" s="21" t="str">
        <x:v>"dark"</x:v>
      </x:c>
    </x:row>
    <x:row r="384" ht="22" customHeight="1">
      <x:c r="A384" s="21" t="str">
        <x:v>data/units/race_units.json</x:v>
      </x:c>
      <x:c r="B384" s="21" t="str">
        <x:v>$/units/12/element</x:v>
      </x:c>
      <x:c r="C384" s="21" t="str">
        <x:v>string</x:v>
      </x:c>
      <x:c r="D384" s="21" t="str">
        <x:v>"ren"</x:v>
      </x:c>
    </x:row>
    <x:row r="385" ht="22" customHeight="1">
      <x:c r="A385" s="21" t="str">
        <x:v>data/units/race_units.json</x:v>
      </x:c>
      <x:c r="B385" s="21" t="str">
        <x:v>$/units/12/tier</x:v>
      </x:c>
      <x:c r="C385" s="21" t="str">
        <x:v>int</x:v>
      </x:c>
      <x:c r="D385" s="21" t="str">
        <x:v>2</x:v>
      </x:c>
    </x:row>
    <x:row r="386" ht="22" customHeight="1">
      <x:c r="A386" s="21" t="str">
        <x:v>data/units/race_units.json</x:v>
      </x:c>
      <x:c r="B386" s="21" t="str">
        <x:v>$/units/12/cost</x:v>
      </x:c>
      <x:c r="C386" s="21" t="str">
        <x:v>int</x:v>
      </x:c>
      <x:c r="D386" s="21" t="str">
        <x:v>30</x:v>
      </x:c>
    </x:row>
    <x:row r="387" ht="22" customHeight="1">
      <x:c r="A387" s="21" t="str">
        <x:v>data/units/race_units.json</x:v>
      </x:c>
      <x:c r="B387" s="21" t="str">
        <x:v>$/units/12/hp</x:v>
      </x:c>
      <x:c r="C387" s="21" t="str">
        <x:v>int</x:v>
      </x:c>
      <x:c r="D387" s="21" t="str">
        <x:v>780</x:v>
      </x:c>
    </x:row>
    <x:row r="388" ht="22" customHeight="1">
      <x:c r="A388" s="21" t="str">
        <x:v>data/units/race_units.json</x:v>
      </x:c>
      <x:c r="B388" s="21" t="str">
        <x:v>$/units/12/atk</x:v>
      </x:c>
      <x:c r="C388" s="21" t="str">
        <x:v>int</x:v>
      </x:c>
      <x:c r="D388" s="21" t="str">
        <x:v>88</x:v>
      </x:c>
    </x:row>
    <x:row r="389" ht="22" customHeight="1">
      <x:c r="A389" s="21" t="str">
        <x:v>data/units/race_units.json</x:v>
      </x:c>
      <x:c r="B389" s="21" t="str">
        <x:v>$/units/12/def</x:v>
      </x:c>
      <x:c r="C389" s="21" t="str">
        <x:v>int</x:v>
      </x:c>
      <x:c r="D389" s="21" t="str">
        <x:v>6</x:v>
      </x:c>
    </x:row>
    <x:row r="390" ht="22" customHeight="1">
      <x:c r="A390" s="21" t="str">
        <x:v>data/units/race_units.json</x:v>
      </x:c>
      <x:c r="B390" s="21" t="str">
        <x:v>$/units/12/attack_speed</x:v>
      </x:c>
      <x:c r="C390" s="21" t="str">
        <x:v>float</x:v>
      </x:c>
      <x:c r="D390" s="21" t="str">
        <x:v>1.35</x:v>
      </x:c>
    </x:row>
    <x:row r="391" ht="22" customHeight="1">
      <x:c r="A391" s="21" t="str">
        <x:v>data/units/race_units.json</x:v>
      </x:c>
      <x:c r="B391" s="21" t="str">
        <x:v>$/units/12/range</x:v>
      </x:c>
      <x:c r="C391" s="21" t="str">
        <x:v>int</x:v>
      </x:c>
      <x:c r="D391" s="21" t="str">
        <x:v>1</x:v>
      </x:c>
    </x:row>
    <x:row r="392" ht="22" customHeight="1">
      <x:c r="A392" s="21" t="str">
        <x:v>data/units/race_units.json</x:v>
      </x:c>
      <x:c r="B392" s="21" t="str">
        <x:v>$/units/12/move_speed</x:v>
      </x:c>
      <x:c r="C392" s="21" t="str">
        <x:v>float</x:v>
      </x:c>
      <x:c r="D392" s="21" t="str">
        <x:v>3.55</x:v>
      </x:c>
    </x:row>
    <x:row r="393" ht="22" customHeight="1">
      <x:c r="A393" s="21" t="str">
        <x:v>data/units/race_units.json</x:v>
      </x:c>
      <x:c r="B393" s="21" t="str">
        <x:v>$/units/12/crit</x:v>
      </x:c>
      <x:c r="C393" s="21" t="str">
        <x:v>float</x:v>
      </x:c>
      <x:c r="D393" s="21" t="str">
        <x:v>0.12</x:v>
      </x:c>
    </x:row>
    <x:row r="394" ht="22" customHeight="1">
      <x:c r="A394" s="21" t="str">
        <x:v>data/units/race_units.json</x:v>
      </x:c>
      <x:c r="B394" s="21" t="str">
        <x:v>$/units/12/crit_dmg</x:v>
      </x:c>
      <x:c r="C394" s="21" t="str">
        <x:v>float</x:v>
      </x:c>
      <x:c r="D394" s="21" t="str">
        <x:v>1.6</x:v>
      </x:c>
    </x:row>
    <x:row r="395" ht="22" customHeight="1">
      <x:c r="A395" s="21" t="str">
        <x:v>data/units/race_units.json</x:v>
      </x:c>
      <x:c r="B395" s="21" t="str">
        <x:v>$/units/12/skill_id</x:v>
      </x:c>
      <x:c r="C395" s="21" t="str">
        <x:v>string</x:v>
      </x:c>
      <x:c r="D395" s="21" t="str">
        <x:v>"blink_low_def_backline"</x:v>
      </x:c>
    </x:row>
    <x:row r="396" ht="22" customHeight="1">
      <x:c r="A396" s="21" t="str">
        <x:v>data/units/race_units.json</x:v>
      </x:c>
      <x:c r="B396" s="21" t="str">
        <x:v>$/units/12/damage_atk_pct</x:v>
      </x:c>
      <x:c r="C396" s="21" t="str">
        <x:v>float</x:v>
      </x:c>
      <x:c r="D396" s="21" t="str">
        <x:v>2.5</x:v>
      </x:c>
    </x:row>
    <x:row r="397" ht="22" customHeight="1">
      <x:c r="A397" s="21" t="str">
        <x:v>data/units/race_units.json</x:v>
      </x:c>
      <x:c r="B397" s="21" t="str">
        <x:v>$/units/12/refresh_on_kill</x:v>
      </x:c>
      <x:c r="C397" s="21" t="str">
        <x:v>bool</x:v>
      </x:c>
      <x:c r="D397" s="21" t="str">
        <x:v>true</x:v>
      </x:c>
    </x:row>
    <x:row r="398" ht="22" customHeight="1">
      <x:c r="A398" s="21" t="str">
        <x:v>data/units/race_units.json</x:v>
      </x:c>
      <x:c r="B398" s="21" t="str">
        <x:v>$/units/12/model</x:v>
      </x:c>
      <x:c r="C398" s="21" t="str">
        <x:v>string</x:v>
      </x:c>
      <x:c r="D398" s="21" t="str">
        <x:v>"res://assets/models/units/dark_refined/dark_scythe/dark_scythe_refined.tscn"</x:v>
      </x:c>
    </x:row>
    <x:row r="399" ht="22" customHeight="1">
      <x:c r="A399" s="21" t="str">
        <x:v>data/units/race_units.json</x:v>
      </x:c>
      <x:c r="B399" s="21" t="str">
        <x:v>$/units/12/model_visual_scale</x:v>
      </x:c>
      <x:c r="C399" s="21" t="str">
        <x:v>int</x:v>
      </x:c>
      <x:c r="D399" s="21" t="str">
        <x:v>1</x:v>
      </x:c>
    </x:row>
    <x:row r="400" ht="22" customHeight="1">
      <x:c r="A400" s="21" t="str">
        <x:v>data/units/race_units.json</x:v>
      </x:c>
      <x:c r="B400" s="21" t="str">
        <x:v>$/units/12/model_base_yaw</x:v>
      </x:c>
      <x:c r="C400" s="21" t="str">
        <x:v>int</x:v>
      </x:c>
      <x:c r="D400" s="21" t="str">
        <x:v>180</x:v>
      </x:c>
    </x:row>
    <x:row r="401" ht="22" customHeight="1">
      <x:c r="A401" s="21" t="str">
        <x:v>data/units/race_units.json</x:v>
      </x:c>
      <x:c r="B401" s="21" t="str">
        <x:v>$/units/12/name_en</x:v>
      </x:c>
      <x:c r="C401" s="21" t="str">
        <x:v>string</x:v>
      </x:c>
      <x:c r="D401" s="21" t="str">
        <x:v>"Ambusher"</x:v>
      </x:c>
    </x:row>
    <x:row r="402" ht="22" customHeight="1">
      <x:c r="A402" s="21" t="str">
        <x:v>data/units/race_units.json</x:v>
      </x:c>
      <x:c r="B402" s="21" t="str">
        <x:v>$/units/13</x:v>
      </x:c>
      <x:c r="C402" s="21" t="str">
        <x:v>object</x:v>
      </x:c>
      <x:c r="D402" s="21" t="str"/>
    </x:row>
    <x:row r="403" ht="22" customHeight="1">
      <x:c r="A403" s="21" t="str">
        <x:v>data/units/race_units.json</x:v>
      </x:c>
      <x:c r="B403" s="21" t="str">
        <x:v>$/units/13/id</x:v>
      </x:c>
      <x:c r="C403" s="21" t="str">
        <x:v>string</x:v>
      </x:c>
      <x:c r="D403" s="21" t="str">
        <x:v>"dark_suc"</x:v>
      </x:c>
    </x:row>
    <x:row r="404" ht="22" customHeight="1">
      <x:c r="A404" s="21" t="str">
        <x:v>data/units/race_units.json</x:v>
      </x:c>
      <x:c r="B404" s="21" t="str">
        <x:v>$/units/13/star4</x:v>
      </x:c>
      <x:c r="C404" s="21" t="str">
        <x:v>object</x:v>
      </x:c>
      <x:c r="D404" s="21" t="str"/>
    </x:row>
    <x:row r="405" ht="22" customHeight="1">
      <x:c r="A405" s="21" t="str">
        <x:v>data/units/race_units.json</x:v>
      </x:c>
      <x:c r="B405" s="21" t="str">
        <x:v>$/units/13/star4/stun_sec</x:v>
      </x:c>
      <x:c r="C405" s="21" t="str">
        <x:v>float</x:v>
      </x:c>
      <x:c r="D405" s="21" t="str">
        <x:v>2.0</x:v>
      </x:c>
    </x:row>
    <x:row r="406" ht="22" customHeight="1">
      <x:c r="A406" s="21" t="str">
        <x:v>data/units/race_units.json</x:v>
      </x:c>
      <x:c r="B406" s="21" t="str">
        <x:v>$/units/13/star4/skill_cd</x:v>
      </x:c>
      <x:c r="C406" s="21" t="str">
        <x:v>float</x:v>
      </x:c>
      <x:c r="D406" s="21" t="str">
        <x:v>3.5</x:v>
      </x:c>
    </x:row>
    <x:row r="407" ht="22" customHeight="1">
      <x:c r="A407" s="21" t="str">
        <x:v>data/units/race_units.json</x:v>
      </x:c>
      <x:c r="B407" s="21" t="str">
        <x:v>$/units/13/name</x:v>
      </x:c>
      <x:c r="C407" s="21" t="str">
        <x:v>string</x:v>
      </x:c>
      <x:c r="D407" s="21" t="str">
        <x:v>"魅魔"</x:v>
      </x:c>
    </x:row>
    <x:row r="408" ht="22" customHeight="1">
      <x:c r="A408" s="21" t="str">
        <x:v>data/units/race_units.json</x:v>
      </x:c>
      <x:c r="B408" s="21" t="str">
        <x:v>$/units/13/race</x:v>
      </x:c>
      <x:c r="C408" s="21" t="str">
        <x:v>string</x:v>
      </x:c>
      <x:c r="D408" s="21" t="str">
        <x:v>"dark"</x:v>
      </x:c>
    </x:row>
    <x:row r="409" ht="22" customHeight="1">
      <x:c r="A409" s="21" t="str">
        <x:v>data/units/race_units.json</x:v>
      </x:c>
      <x:c r="B409" s="21" t="str">
        <x:v>$/units/13/element</x:v>
      </x:c>
      <x:c r="C409" s="21" t="str">
        <x:v>string</x:v>
      </x:c>
      <x:c r="D409" s="21" t="str">
        <x:v>"ren"</x:v>
      </x:c>
    </x:row>
    <x:row r="410" ht="22" customHeight="1">
      <x:c r="A410" s="21" t="str">
        <x:v>data/units/race_units.json</x:v>
      </x:c>
      <x:c r="B410" s="21" t="str">
        <x:v>$/units/13/tier</x:v>
      </x:c>
      <x:c r="C410" s="21" t="str">
        <x:v>int</x:v>
      </x:c>
      <x:c r="D410" s="21" t="str">
        <x:v>2</x:v>
      </x:c>
    </x:row>
    <x:row r="411" ht="22" customHeight="1">
      <x:c r="A411" s="21" t="str">
        <x:v>data/units/race_units.json</x:v>
      </x:c>
      <x:c r="B411" s="21" t="str">
        <x:v>$/units/13/cost</x:v>
      </x:c>
      <x:c r="C411" s="21" t="str">
        <x:v>int</x:v>
      </x:c>
      <x:c r="D411" s="21" t="str">
        <x:v>30</x:v>
      </x:c>
    </x:row>
    <x:row r="412" ht="22" customHeight="1">
      <x:c r="A412" s="21" t="str">
        <x:v>data/units/race_units.json</x:v>
      </x:c>
      <x:c r="B412" s="21" t="str">
        <x:v>$/units/13/hp</x:v>
      </x:c>
      <x:c r="C412" s="21" t="str">
        <x:v>int</x:v>
      </x:c>
      <x:c r="D412" s="21" t="str">
        <x:v>860</x:v>
      </x:c>
    </x:row>
    <x:row r="413" ht="22" customHeight="1">
      <x:c r="A413" s="21" t="str">
        <x:v>data/units/race_units.json</x:v>
      </x:c>
      <x:c r="B413" s="21" t="str">
        <x:v>$/units/13/atk</x:v>
      </x:c>
      <x:c r="C413" s="21" t="str">
        <x:v>int</x:v>
      </x:c>
      <x:c r="D413" s="21" t="str">
        <x:v>64</x:v>
      </x:c>
    </x:row>
    <x:row r="414" ht="22" customHeight="1">
      <x:c r="A414" s="21" t="str">
        <x:v>data/units/race_units.json</x:v>
      </x:c>
      <x:c r="B414" s="21" t="str">
        <x:v>$/units/13/def</x:v>
      </x:c>
      <x:c r="C414" s="21" t="str">
        <x:v>int</x:v>
      </x:c>
      <x:c r="D414" s="21" t="str">
        <x:v>7</x:v>
      </x:c>
    </x:row>
    <x:row r="415" ht="22" customHeight="1">
      <x:c r="A415" s="21" t="str">
        <x:v>data/units/race_units.json</x:v>
      </x:c>
      <x:c r="B415" s="21" t="str">
        <x:v>$/units/13/attack_speed</x:v>
      </x:c>
      <x:c r="C415" s="21" t="str">
        <x:v>float</x:v>
      </x:c>
      <x:c r="D415" s="21" t="str">
        <x:v>1.0</x:v>
      </x:c>
    </x:row>
    <x:row r="416" ht="22" customHeight="1">
      <x:c r="A416" s="21" t="str">
        <x:v>data/units/race_units.json</x:v>
      </x:c>
      <x:c r="B416" s="21" t="str">
        <x:v>$/units/13/range</x:v>
      </x:c>
      <x:c r="C416" s="21" t="str">
        <x:v>float</x:v>
      </x:c>
      <x:c r="D416" s="21" t="str">
        <x:v>3.0</x:v>
      </x:c>
    </x:row>
    <x:row r="417" ht="22" customHeight="1">
      <x:c r="A417" s="21" t="str">
        <x:v>data/units/race_units.json</x:v>
      </x:c>
      <x:c r="B417" s="21" t="str">
        <x:v>$/units/13/move_speed</x:v>
      </x:c>
      <x:c r="C417" s="21" t="str">
        <x:v>float</x:v>
      </x:c>
      <x:c r="D417" s="21" t="str">
        <x:v>3.25</x:v>
      </x:c>
    </x:row>
    <x:row r="418" ht="22" customHeight="1">
      <x:c r="A418" s="21" t="str">
        <x:v>data/units/race_units.json</x:v>
      </x:c>
      <x:c r="B418" s="21" t="str">
        <x:v>$/units/13/crit</x:v>
      </x:c>
      <x:c r="C418" s="21" t="str">
        <x:v>float</x:v>
      </x:c>
      <x:c r="D418" s="21" t="str">
        <x:v>0.08</x:v>
      </x:c>
    </x:row>
    <x:row r="419" ht="22" customHeight="1">
      <x:c r="A419" s="21" t="str">
        <x:v>data/units/race_units.json</x:v>
      </x:c>
      <x:c r="B419" s="21" t="str">
        <x:v>$/units/13/crit_dmg</x:v>
      </x:c>
      <x:c r="C419" s="21" t="str">
        <x:v>float</x:v>
      </x:c>
      <x:c r="D419" s="21" t="str">
        <x:v>1.6</x:v>
      </x:c>
    </x:row>
    <x:row r="420" ht="22" customHeight="1">
      <x:c r="A420" s="21" t="str">
        <x:v>data/units/race_units.json</x:v>
      </x:c>
      <x:c r="B420" s="21" t="str">
        <x:v>$/units/13/skill_id</x:v>
      </x:c>
      <x:c r="C420" s="21" t="str">
        <x:v>string</x:v>
      </x:c>
      <x:c r="D420" s="21" t="str">
        <x:v>"stun"</x:v>
      </x:c>
    </x:row>
    <x:row r="421" ht="22" customHeight="1">
      <x:c r="A421" s="21" t="str">
        <x:v>data/units/race_units.json</x:v>
      </x:c>
      <x:c r="B421" s="21" t="str">
        <x:v>$/units/13/skill_cd</x:v>
      </x:c>
      <x:c r="C421" s="21" t="str">
        <x:v>float</x:v>
      </x:c>
      <x:c r="D421" s="21" t="str">
        <x:v>5.0</x:v>
      </x:c>
    </x:row>
    <x:row r="422" ht="22" customHeight="1">
      <x:c r="A422" s="21" t="str">
        <x:v>data/units/race_units.json</x:v>
      </x:c>
      <x:c r="B422" s="21" t="str">
        <x:v>$/units/13/stun_sec</x:v>
      </x:c>
      <x:c r="C422" s="21" t="str">
        <x:v>float</x:v>
      </x:c>
      <x:c r="D422" s="21" t="str">
        <x:v>1.5</x:v>
      </x:c>
    </x:row>
    <x:row r="423" ht="22" customHeight="1">
      <x:c r="A423" s="21" t="str">
        <x:v>data/units/race_units.json</x:v>
      </x:c>
      <x:c r="B423" s="21" t="str">
        <x:v>$/units/13/damage_atk_pct</x:v>
      </x:c>
      <x:c r="C423" s="21" t="str">
        <x:v>float</x:v>
      </x:c>
      <x:c r="D423" s="21" t="str">
        <x:v>1.5</x:v>
      </x:c>
    </x:row>
    <x:row r="424" ht="22" customHeight="1">
      <x:c r="A424" s="21" t="str">
        <x:v>data/units/race_units.json</x:v>
      </x:c>
      <x:c r="B424" s="21" t="str">
        <x:v>$/units/13/model</x:v>
      </x:c>
      <x:c r="C424" s="21" t="str">
        <x:v>string</x:v>
      </x:c>
      <x:c r="D424" s="21" t="str">
        <x:v>"res://assets/models/units/dark_refined/dark_suc/dark_suc_refined.tscn"</x:v>
      </x:c>
    </x:row>
    <x:row r="425" ht="22" customHeight="1">
      <x:c r="A425" s="21" t="str">
        <x:v>data/units/race_units.json</x:v>
      </x:c>
      <x:c r="B425" s="21" t="str">
        <x:v>$/units/13/model_visual_scale</x:v>
      </x:c>
      <x:c r="C425" s="21" t="str">
        <x:v>int</x:v>
      </x:c>
      <x:c r="D425" s="21" t="str">
        <x:v>1</x:v>
      </x:c>
    </x:row>
    <x:row r="426" ht="22" customHeight="1">
      <x:c r="A426" s="21" t="str">
        <x:v>data/units/race_units.json</x:v>
      </x:c>
      <x:c r="B426" s="21" t="str">
        <x:v>$/units/13/model_base_yaw</x:v>
      </x:c>
      <x:c r="C426" s="21" t="str">
        <x:v>int</x:v>
      </x:c>
      <x:c r="D426" s="21" t="str">
        <x:v>180</x:v>
      </x:c>
    </x:row>
    <x:row r="427" ht="22" customHeight="1">
      <x:c r="A427" s="21" t="str">
        <x:v>data/units/race_units.json</x:v>
      </x:c>
      <x:c r="B427" s="21" t="str">
        <x:v>$/units/13/model_idle_animation_name</x:v>
      </x:c>
      <x:c r="C427" s="21" t="str">
        <x:v>string</x:v>
      </x:c>
      <x:c r="D427" s="21" t="str">
        <x:v>"idle"</x:v>
      </x:c>
    </x:row>
    <x:row r="428" ht="22" customHeight="1">
      <x:c r="A428" s="21" t="str">
        <x:v>data/units/race_units.json</x:v>
      </x:c>
      <x:c r="B428" s="21" t="str">
        <x:v>$/units/13/model_attack_animation_name</x:v>
      </x:c>
      <x:c r="C428" s="21" t="str">
        <x:v>string</x:v>
      </x:c>
      <x:c r="D428" s="21" t="str">
        <x:v>"attack"</x:v>
      </x:c>
    </x:row>
    <x:row r="429" ht="22" customHeight="1">
      <x:c r="A429" s="21" t="str">
        <x:v>data/units/race_units.json</x:v>
      </x:c>
      <x:c r="B429" s="21" t="str">
        <x:v>$/units/13/model_attack_sync_seek</x:v>
      </x:c>
      <x:c r="C429" s="21" t="str">
        <x:v>float</x:v>
      </x:c>
      <x:c r="D429" s="21" t="str">
        <x:v>0.18</x:v>
      </x:c>
    </x:row>
    <x:row r="430" ht="22" customHeight="1">
      <x:c r="A430" s="21" t="str">
        <x:v>data/units/race_units.json</x:v>
      </x:c>
      <x:c r="B430" s="21" t="str">
        <x:v>$/units/13/model_attack_lock_time</x:v>
      </x:c>
      <x:c r="C430" s="21" t="str">
        <x:v>float</x:v>
      </x:c>
      <x:c r="D430" s="21" t="str">
        <x:v>0.4</x:v>
      </x:c>
    </x:row>
    <x:row r="431" ht="22" customHeight="1">
      <x:c r="A431" s="21" t="str">
        <x:v>data/units/race_units.json</x:v>
      </x:c>
      <x:c r="B431" s="21" t="str">
        <x:v>$/units/13/model_run_animation_name</x:v>
      </x:c>
      <x:c r="C431" s="21" t="str">
        <x:v>string</x:v>
      </x:c>
      <x:c r="D431" s="21" t="str">
        <x:v>"run"</x:v>
      </x:c>
    </x:row>
    <x:row r="432" ht="22" customHeight="1">
      <x:c r="A432" s="21" t="str">
        <x:v>data/units/race_units.json</x:v>
      </x:c>
      <x:c r="B432" s="21" t="str">
        <x:v>$/units/13/name_en</x:v>
      </x:c>
      <x:c r="C432" s="21" t="str">
        <x:v>string</x:v>
      </x:c>
      <x:c r="D432" s="21" t="str">
        <x:v>"Succubus"</x:v>
      </x:c>
    </x:row>
    <x:row r="433" ht="22" customHeight="1">
      <x:c r="A433" s="21" t="str">
        <x:v>data/units/race_units.json</x:v>
      </x:c>
      <x:c r="B433" s="21" t="str">
        <x:v>$/units/14</x:v>
      </x:c>
      <x:c r="C433" s="21" t="str">
        <x:v>object</x:v>
      </x:c>
      <x:c r="D433" s="21" t="str"/>
    </x:row>
    <x:row r="434" ht="22" customHeight="1">
      <x:c r="A434" s="21" t="str">
        <x:v>data/units/race_units.json</x:v>
      </x:c>
      <x:c r="B434" s="21" t="str">
        <x:v>$/units/14/id</x:v>
      </x:c>
      <x:c r="C434" s="21" t="str">
        <x:v>string</x:v>
      </x:c>
      <x:c r="D434" s="21" t="str">
        <x:v>"dark_doom"</x:v>
      </x:c>
    </x:row>
    <x:row r="435" ht="22" customHeight="1">
      <x:c r="A435" s="21" t="str">
        <x:v>data/units/race_units.json</x:v>
      </x:c>
      <x:c r="B435" s="21" t="str">
        <x:v>$/units/14/model_in_place_actions</x:v>
      </x:c>
      <x:c r="C435" s="21" t="str">
        <x:v>array</x:v>
      </x:c>
      <x:c r="D435" s="21" t="str"/>
    </x:row>
    <x:row r="436" ht="22" customHeight="1">
      <x:c r="A436" s="21" t="str">
        <x:v>data/units/race_units.json</x:v>
      </x:c>
      <x:c r="B436" s="21" t="str">
        <x:v>$/units/14/model_in_place_actions/0</x:v>
      </x:c>
      <x:c r="C436" s="21" t="str">
        <x:v>string</x:v>
      </x:c>
      <x:c r="D436" s="21" t="str">
        <x:v>"run"</x:v>
      </x:c>
    </x:row>
    <x:row r="437" ht="22" customHeight="1">
      <x:c r="A437" s="21" t="str">
        <x:v>data/units/race_units.json</x:v>
      </x:c>
      <x:c r="B437" s="21" t="str">
        <x:v>$/units/14/star4</x:v>
      </x:c>
      <x:c r="C437" s="21" t="str">
        <x:v>object</x:v>
      </x:c>
      <x:c r="D437" s="21" t="str"/>
    </x:row>
    <x:row r="438" ht="22" customHeight="1">
      <x:c r="A438" s="21" t="str">
        <x:v>data/units/race_units.json</x:v>
      </x:c>
      <x:c r="B438" s="21" t="str">
        <x:v>$/units/14/star4/link_regen_pct</x:v>
      </x:c>
      <x:c r="C438" s="21" t="str">
        <x:v>float</x:v>
      </x:c>
      <x:c r="D438" s="21" t="str">
        <x:v>0.04</x:v>
      </x:c>
    </x:row>
    <x:row r="439" ht="22" customHeight="1">
      <x:c r="A439" s="21" t="str">
        <x:v>data/units/race_units.json</x:v>
      </x:c>
      <x:c r="B439" s="21" t="str">
        <x:v>$/units/14/name</x:v>
      </x:c>
      <x:c r="C439" s="21" t="str">
        <x:v>string</x:v>
      </x:c>
      <x:c r="D439" s="21" t="str">
        <x:v>"末日守卫"</x:v>
      </x:c>
    </x:row>
    <x:row r="440" ht="22" customHeight="1">
      <x:c r="A440" s="21" t="str">
        <x:v>data/units/race_units.json</x:v>
      </x:c>
      <x:c r="B440" s="21" t="str">
        <x:v>$/units/14/race</x:v>
      </x:c>
      <x:c r="C440" s="21" t="str">
        <x:v>string</x:v>
      </x:c>
      <x:c r="D440" s="21" t="str">
        <x:v>"dark"</x:v>
      </x:c>
    </x:row>
    <x:row r="441" ht="22" customHeight="1">
      <x:c r="A441" s="21" t="str">
        <x:v>data/units/race_units.json</x:v>
      </x:c>
      <x:c r="B441" s="21" t="str">
        <x:v>$/units/14/element</x:v>
      </x:c>
      <x:c r="C441" s="21" t="str">
        <x:v>string</x:v>
      </x:c>
      <x:c r="D441" s="21" t="str">
        <x:v>"land"</x:v>
      </x:c>
    </x:row>
    <x:row r="442" ht="22" customHeight="1">
      <x:c r="A442" s="21" t="str">
        <x:v>data/units/race_units.json</x:v>
      </x:c>
      <x:c r="B442" s="21" t="str">
        <x:v>$/units/14/tier</x:v>
      </x:c>
      <x:c r="C442" s="21" t="str">
        <x:v>int</x:v>
      </x:c>
      <x:c r="D442" s="21" t="str">
        <x:v>3</x:v>
      </x:c>
    </x:row>
    <x:row r="443" ht="22" customHeight="1">
      <x:c r="A443" s="21" t="str">
        <x:v>data/units/race_units.json</x:v>
      </x:c>
      <x:c r="B443" s="21" t="str">
        <x:v>$/units/14/cost</x:v>
      </x:c>
      <x:c r="C443" s="21" t="str">
        <x:v>int</x:v>
      </x:c>
      <x:c r="D443" s="21" t="str">
        <x:v>50</x:v>
      </x:c>
    </x:row>
    <x:row r="444" ht="22" customHeight="1">
      <x:c r="A444" s="21" t="str">
        <x:v>data/units/race_units.json</x:v>
      </x:c>
      <x:c r="B444" s="21" t="str">
        <x:v>$/units/14/hp</x:v>
      </x:c>
      <x:c r="C444" s="21" t="str">
        <x:v>int</x:v>
      </x:c>
      <x:c r="D444" s="21" t="str">
        <x:v>1640</x:v>
      </x:c>
    </x:row>
    <x:row r="445" ht="22" customHeight="1">
      <x:c r="A445" s="21" t="str">
        <x:v>data/units/race_units.json</x:v>
      </x:c>
      <x:c r="B445" s="21" t="str">
        <x:v>$/units/14/atk</x:v>
      </x:c>
      <x:c r="C445" s="21" t="str">
        <x:v>int</x:v>
      </x:c>
      <x:c r="D445" s="21" t="str">
        <x:v>97</x:v>
      </x:c>
    </x:row>
    <x:row r="446" ht="22" customHeight="1">
      <x:c r="A446" s="21" t="str">
        <x:v>data/units/race_units.json</x:v>
      </x:c>
      <x:c r="B446" s="21" t="str">
        <x:v>$/units/14/def</x:v>
      </x:c>
      <x:c r="C446" s="21" t="str">
        <x:v>int</x:v>
      </x:c>
      <x:c r="D446" s="21" t="str">
        <x:v>16</x:v>
      </x:c>
    </x:row>
    <x:row r="447" ht="22" customHeight="1">
      <x:c r="A447" s="21" t="str">
        <x:v>data/units/race_units.json</x:v>
      </x:c>
      <x:c r="B447" s="21" t="str">
        <x:v>$/units/14/attack_speed</x:v>
      </x:c>
      <x:c r="C447" s="21" t="str">
        <x:v>float</x:v>
      </x:c>
      <x:c r="D447" s="21" t="str">
        <x:v>0.78</x:v>
      </x:c>
    </x:row>
    <x:row r="448" ht="22" customHeight="1">
      <x:c r="A448" s="21" t="str">
        <x:v>data/units/race_units.json</x:v>
      </x:c>
      <x:c r="B448" s="21" t="str">
        <x:v>$/units/14/range</x:v>
      </x:c>
      <x:c r="C448" s="21" t="str">
        <x:v>int</x:v>
      </x:c>
      <x:c r="D448" s="21" t="str">
        <x:v>1</x:v>
      </x:c>
    </x:row>
    <x:row r="449" ht="22" customHeight="1">
      <x:c r="A449" s="21" t="str">
        <x:v>data/units/race_units.json</x:v>
      </x:c>
      <x:c r="B449" s="21" t="str">
        <x:v>$/units/14/move_speed</x:v>
      </x:c>
      <x:c r="C449" s="21" t="str">
        <x:v>float</x:v>
      </x:c>
      <x:c r="D449" s="21" t="str">
        <x:v>3.0</x:v>
      </x:c>
    </x:row>
    <x:row r="450" ht="22" customHeight="1">
      <x:c r="A450" s="21" t="str">
        <x:v>data/units/race_units.json</x:v>
      </x:c>
      <x:c r="B450" s="21" t="str">
        <x:v>$/units/14/crit</x:v>
      </x:c>
      <x:c r="C450" s="21" t="str">
        <x:v>float</x:v>
      </x:c>
      <x:c r="D450" s="21" t="str">
        <x:v>0.1</x:v>
      </x:c>
    </x:row>
    <x:row r="451" ht="22" customHeight="1">
      <x:c r="A451" s="21" t="str">
        <x:v>data/units/race_units.json</x:v>
      </x:c>
      <x:c r="B451" s="21" t="str">
        <x:v>$/units/14/crit_dmg</x:v>
      </x:c>
      <x:c r="C451" s="21" t="str">
        <x:v>float</x:v>
      </x:c>
      <x:c r="D451" s="21" t="str">
        <x:v>1.75</x:v>
      </x:c>
    </x:row>
    <x:row r="452" ht="22" customHeight="1">
      <x:c r="A452" s="21" t="str">
        <x:v>data/units/race_units.json</x:v>
      </x:c>
      <x:c r="B452" s="21" t="str">
        <x:v>$/units/14/skill_id</x:v>
      </x:c>
      <x:c r="C452" s="21" t="str">
        <x:v>string</x:v>
      </x:c>
      <x:c r="D452" s="21" t="str">
        <x:v>"shared_hp_link"</x:v>
      </x:c>
    </x:row>
    <x:row r="453" ht="22" customHeight="1">
      <x:c r="A453" s="21" t="str">
        <x:v>data/units/race_units.json</x:v>
      </x:c>
      <x:c r="B453" s="21" t="str">
        <x:v>$/units/14/until_target_death</x:v>
      </x:c>
      <x:c r="C453" s="21" t="str">
        <x:v>bool</x:v>
      </x:c>
      <x:c r="D453" s="21" t="str">
        <x:v>true</x:v>
      </x:c>
    </x:row>
    <x:row r="454" ht="22" customHeight="1">
      <x:c r="A454" s="21" t="str">
        <x:v>data/units/race_units.json</x:v>
      </x:c>
      <x:c r="B454" s="21" t="str">
        <x:v>$/units/14/unique_on_board</x:v>
      </x:c>
      <x:c r="C454" s="21" t="str">
        <x:v>bool</x:v>
      </x:c>
      <x:c r="D454" s="21" t="str">
        <x:v>true</x:v>
      </x:c>
    </x:row>
    <x:row r="455" ht="22" customHeight="1">
      <x:c r="A455" s="21" t="str">
        <x:v>data/units/race_units.json</x:v>
      </x:c>
      <x:c r="B455" s="21" t="str">
        <x:v>$/units/14/model</x:v>
      </x:c>
      <x:c r="C455" s="21" t="str">
        <x:v>string</x:v>
      </x:c>
      <x:c r="D455" s="21" t="str">
        <x:v>"res://assets/models/units/dark_refined/dark_doom/dark_doom_refined.tscn"</x:v>
      </x:c>
    </x:row>
    <x:row r="456" ht="22" customHeight="1">
      <x:c r="A456" s="21" t="str">
        <x:v>data/units/race_units.json</x:v>
      </x:c>
      <x:c r="B456" s="21" t="str">
        <x:v>$/units/14/model_visual_scale</x:v>
      </x:c>
      <x:c r="C456" s="21" t="str">
        <x:v>int</x:v>
      </x:c>
      <x:c r="D456" s="21" t="str">
        <x:v>1</x:v>
      </x:c>
    </x:row>
    <x:row r="457" ht="22" customHeight="1">
      <x:c r="A457" s="21" t="str">
        <x:v>data/units/race_units.json</x:v>
      </x:c>
      <x:c r="B457" s="21" t="str">
        <x:v>$/units/14/model_base_yaw</x:v>
      </x:c>
      <x:c r="C457" s="21" t="str">
        <x:v>int</x:v>
      </x:c>
      <x:c r="D457" s="21" t="str">
        <x:v>180</x:v>
      </x:c>
    </x:row>
    <x:row r="458" ht="22" customHeight="1">
      <x:c r="A458" s="21" t="str">
        <x:v>data/units/race_units.json</x:v>
      </x:c>
      <x:c r="B458" s="21" t="str">
        <x:v>$/units/14/name_en</x:v>
      </x:c>
      <x:c r="C458" s="21" t="str">
        <x:v>string</x:v>
      </x:c>
      <x:c r="D458" s="21" t="str">
        <x:v>"Doom Guard"</x:v>
      </x:c>
    </x:row>
    <x:row r="459" ht="22" customHeight="1">
      <x:c r="A459" s="21" t="str">
        <x:v>data/units/race_units.json</x:v>
      </x:c>
      <x:c r="B459" s="21" t="str">
        <x:v>$/units/15</x:v>
      </x:c>
      <x:c r="C459" s="21" t="str">
        <x:v>object</x:v>
      </x:c>
      <x:c r="D459" s="21" t="str"/>
    </x:row>
    <x:row r="460" ht="22" customHeight="1">
      <x:c r="A460" s="21" t="str">
        <x:v>data/units/race_units.json</x:v>
      </x:c>
      <x:c r="B460" s="21" t="str">
        <x:v>$/units/15/id</x:v>
      </x:c>
      <x:c r="C460" s="21" t="str">
        <x:v>string</x:v>
      </x:c>
      <x:c r="D460" s="21" t="str">
        <x:v>"dark_dragon"</x:v>
      </x:c>
    </x:row>
    <x:row r="461" ht="22" customHeight="1">
      <x:c r="A461" s="21" t="str">
        <x:v>data/units/race_units.json</x:v>
      </x:c>
      <x:c r="B461" s="21" t="str">
        <x:v>$/units/15/model_in_place_actions</x:v>
      </x:c>
      <x:c r="C461" s="21" t="str">
        <x:v>array</x:v>
      </x:c>
      <x:c r="D461" s="21" t="str"/>
    </x:row>
    <x:row r="462" ht="22" customHeight="1">
      <x:c r="A462" s="21" t="str">
        <x:v>data/units/race_units.json</x:v>
      </x:c>
      <x:c r="B462" s="21" t="str">
        <x:v>$/units/15/model_in_place_actions/0</x:v>
      </x:c>
      <x:c r="C462" s="21" t="str">
        <x:v>string</x:v>
      </x:c>
      <x:c r="D462" s="21" t="str">
        <x:v>"idle"</x:v>
      </x:c>
    </x:row>
    <x:row r="463" ht="22" customHeight="1">
      <x:c r="A463" s="21" t="str">
        <x:v>data/units/race_units.json</x:v>
      </x:c>
      <x:c r="B463" s="21" t="str">
        <x:v>$/units/15/star4</x:v>
      </x:c>
      <x:c r="C463" s="21" t="str">
        <x:v>object</x:v>
      </x:c>
      <x:c r="D463" s="21" t="str"/>
    </x:row>
    <x:row r="464" ht="22" customHeight="1">
      <x:c r="A464" s="21" t="str">
        <x:v>data/units/race_units.json</x:v>
      </x:c>
      <x:c r="B464" s="21" t="str">
        <x:v>$/units/15/star4/pull_sec</x:v>
      </x:c>
      <x:c r="C464" s="21" t="str">
        <x:v>int</x:v>
      </x:c>
      <x:c r="D464" s="21" t="str">
        <x:v>2</x:v>
      </x:c>
    </x:row>
    <x:row r="465" ht="22" customHeight="1">
      <x:c r="A465" s="21" t="str">
        <x:v>data/units/race_units.json</x:v>
      </x:c>
      <x:c r="B465" s="21" t="str">
        <x:v>$/units/15/star4/damage_atk_pct</x:v>
      </x:c>
      <x:c r="C465" s="21" t="str">
        <x:v>float</x:v>
      </x:c>
      <x:c r="D465" s="21" t="str">
        <x:v>4.4</x:v>
      </x:c>
    </x:row>
    <x:row r="466" ht="22" customHeight="1">
      <x:c r="A466" s="21" t="str">
        <x:v>data/units/race_units.json</x:v>
      </x:c>
      <x:c r="B466" s="21" t="str">
        <x:v>$/units/15/name</x:v>
      </x:c>
      <x:c r="C466" s="21" t="str">
        <x:v>string</x:v>
      </x:c>
      <x:c r="D466" s="21" t="str">
        <x:v>"黑龙"</x:v>
      </x:c>
    </x:row>
    <x:row r="467" ht="22" customHeight="1">
      <x:c r="A467" s="21" t="str">
        <x:v>data/units/race_units.json</x:v>
      </x:c>
      <x:c r="B467" s="21" t="str">
        <x:v>$/units/15/race</x:v>
      </x:c>
      <x:c r="C467" s="21" t="str">
        <x:v>string</x:v>
      </x:c>
      <x:c r="D467" s="21" t="str">
        <x:v>"dark"</x:v>
      </x:c>
    </x:row>
    <x:row r="468" ht="22" customHeight="1">
      <x:c r="A468" s="21" t="str">
        <x:v>data/units/race_units.json</x:v>
      </x:c>
      <x:c r="B468" s="21" t="str">
        <x:v>$/units/15/element</x:v>
      </x:c>
      <x:c r="C468" s="21" t="str">
        <x:v>string</x:v>
      </x:c>
      <x:c r="D468" s="21" t="str">
        <x:v>"sky"</x:v>
      </x:c>
    </x:row>
    <x:row r="469" ht="22" customHeight="1">
      <x:c r="A469" s="21" t="str">
        <x:v>data/units/race_units.json</x:v>
      </x:c>
      <x:c r="B469" s="21" t="str">
        <x:v>$/units/15/tier</x:v>
      </x:c>
      <x:c r="C469" s="21" t="str">
        <x:v>int</x:v>
      </x:c>
      <x:c r="D469" s="21" t="str">
        <x:v>3</x:v>
      </x:c>
    </x:row>
    <x:row r="470" ht="22" customHeight="1">
      <x:c r="A470" s="21" t="str">
        <x:v>data/units/race_units.json</x:v>
      </x:c>
      <x:c r="B470" s="21" t="str">
        <x:v>$/units/15/cost</x:v>
      </x:c>
      <x:c r="C470" s="21" t="str">
        <x:v>int</x:v>
      </x:c>
      <x:c r="D470" s="21" t="str">
        <x:v>50</x:v>
      </x:c>
    </x:row>
    <x:row r="471" ht="22" customHeight="1">
      <x:c r="A471" s="21" t="str">
        <x:v>data/units/race_units.json</x:v>
      </x:c>
      <x:c r="B471" s="21" t="str">
        <x:v>$/units/15/hp</x:v>
      </x:c>
      <x:c r="C471" s="21" t="str">
        <x:v>int</x:v>
      </x:c>
      <x:c r="D471" s="21" t="str">
        <x:v>1800</x:v>
      </x:c>
    </x:row>
    <x:row r="472" ht="22" customHeight="1">
      <x:c r="A472" s="21" t="str">
        <x:v>data/units/race_units.json</x:v>
      </x:c>
      <x:c r="B472" s="21" t="str">
        <x:v>$/units/15/atk</x:v>
      </x:c>
      <x:c r="C472" s="21" t="str">
        <x:v>int</x:v>
      </x:c>
      <x:c r="D472" s="21" t="str">
        <x:v>110</x:v>
      </x:c>
    </x:row>
    <x:row r="473" ht="22" customHeight="1">
      <x:c r="A473" s="21" t="str">
        <x:v>data/units/race_units.json</x:v>
      </x:c>
      <x:c r="B473" s="21" t="str">
        <x:v>$/units/15/def</x:v>
      </x:c>
      <x:c r="C473" s="21" t="str">
        <x:v>int</x:v>
      </x:c>
      <x:c r="D473" s="21" t="str">
        <x:v>14</x:v>
      </x:c>
    </x:row>
    <x:row r="474" ht="22" customHeight="1">
      <x:c r="A474" s="21" t="str">
        <x:v>data/units/race_units.json</x:v>
      </x:c>
      <x:c r="B474" s="21" t="str">
        <x:v>$/units/15/attack_speed</x:v>
      </x:c>
      <x:c r="C474" s="21" t="str">
        <x:v>float</x:v>
      </x:c>
      <x:c r="D474" s="21" t="str">
        <x:v>0.85</x:v>
      </x:c>
    </x:row>
    <x:row r="475" ht="22" customHeight="1">
      <x:c r="A475" s="21" t="str">
        <x:v>data/units/race_units.json</x:v>
      </x:c>
      <x:c r="B475" s="21" t="str">
        <x:v>$/units/15/range</x:v>
      </x:c>
      <x:c r="C475" s="21" t="str">
        <x:v>int</x:v>
      </x:c>
      <x:c r="D475" s="21" t="str">
        <x:v>1</x:v>
      </x:c>
    </x:row>
    <x:row r="476" ht="22" customHeight="1">
      <x:c r="A476" s="21" t="str">
        <x:v>data/units/race_units.json</x:v>
      </x:c>
      <x:c r="B476" s="21" t="str">
        <x:v>$/units/15/move_speed</x:v>
      </x:c>
      <x:c r="C476" s="21" t="str">
        <x:v>float</x:v>
      </x:c>
      <x:c r="D476" s="21" t="str">
        <x:v>2.95</x:v>
      </x:c>
    </x:row>
    <x:row r="477" ht="22" customHeight="1">
      <x:c r="A477" s="21" t="str">
        <x:v>data/units/race_units.json</x:v>
      </x:c>
      <x:c r="B477" s="21" t="str">
        <x:v>$/units/15/crit</x:v>
      </x:c>
      <x:c r="C477" s="21" t="str">
        <x:v>float</x:v>
      </x:c>
      <x:c r="D477" s="21" t="str">
        <x:v>0.12</x:v>
      </x:c>
    </x:row>
    <x:row r="478" ht="22" customHeight="1">
      <x:c r="A478" s="21" t="str">
        <x:v>data/units/race_units.json</x:v>
      </x:c>
      <x:c r="B478" s="21" t="str">
        <x:v>$/units/15/crit_dmg</x:v>
      </x:c>
      <x:c r="C478" s="21" t="str">
        <x:v>float</x:v>
      </x:c>
      <x:c r="D478" s="21" t="str">
        <x:v>1.8</x:v>
      </x:c>
    </x:row>
    <x:row r="479" ht="22" customHeight="1">
      <x:c r="A479" s="21" t="str">
        <x:v>data/units/race_units.json</x:v>
      </x:c>
      <x:c r="B479" s="21" t="str">
        <x:v>$/units/15/skill_id</x:v>
      </x:c>
      <x:c r="C479" s="21" t="str">
        <x:v>string</x:v>
      </x:c>
      <x:c r="D479" s="21" t="str">
        <x:v>"black_hole"</x:v>
      </x:c>
    </x:row>
    <x:row r="480" ht="22" customHeight="1">
      <x:c r="A480" s="21" t="str">
        <x:v>data/units/race_units.json</x:v>
      </x:c>
      <x:c r="B480" s="21" t="str">
        <x:v>$/units/15/pull_sec</x:v>
      </x:c>
      <x:c r="C480" s="21" t="str">
        <x:v>int</x:v>
      </x:c>
      <x:c r="D480" s="21" t="str">
        <x:v>1</x:v>
      </x:c>
    </x:row>
    <x:row r="481" ht="22" customHeight="1">
      <x:c r="A481" s="21" t="str">
        <x:v>data/units/race_units.json</x:v>
      </x:c>
      <x:c r="B481" s="21" t="str">
        <x:v>$/units/15/damage_atk_pct</x:v>
      </x:c>
      <x:c r="C481" s="21" t="str">
        <x:v>float</x:v>
      </x:c>
      <x:c r="D481" s="21" t="str">
        <x:v>2.2</x:v>
      </x:c>
    </x:row>
    <x:row r="482" ht="22" customHeight="1">
      <x:c r="A482" s="21" t="str">
        <x:v>data/units/race_units.json</x:v>
      </x:c>
      <x:c r="B482" s="21" t="str">
        <x:v>$/units/15/unique_on_board</x:v>
      </x:c>
      <x:c r="C482" s="21" t="str">
        <x:v>bool</x:v>
      </x:c>
      <x:c r="D482" s="21" t="str">
        <x:v>true</x:v>
      </x:c>
    </x:row>
    <x:row r="483" ht="22" customHeight="1">
      <x:c r="A483" s="21" t="str">
        <x:v>data/units/race_units.json</x:v>
      </x:c>
      <x:c r="B483" s="21" t="str">
        <x:v>$/units/15/model</x:v>
      </x:c>
      <x:c r="C483" s="21" t="str">
        <x:v>string</x:v>
      </x:c>
      <x:c r="D483" s="21" t="str">
        <x:v>"res://assets/models/units/dark_refined/dark_dragon/dark_dragon_refined.tscn"</x:v>
      </x:c>
    </x:row>
    <x:row r="484" ht="22" customHeight="1">
      <x:c r="A484" s="21" t="str">
        <x:v>data/units/race_units.json</x:v>
      </x:c>
      <x:c r="B484" s="21" t="str">
        <x:v>$/units/15/model_visual_scale</x:v>
      </x:c>
      <x:c r="C484" s="21" t="str">
        <x:v>int</x:v>
      </x:c>
      <x:c r="D484" s="21" t="str">
        <x:v>1</x:v>
      </x:c>
    </x:row>
    <x:row r="485" ht="22" customHeight="1">
      <x:c r="A485" s="21" t="str">
        <x:v>data/units/race_units.json</x:v>
      </x:c>
      <x:c r="B485" s="21" t="str">
        <x:v>$/units/15/model_base_yaw</x:v>
      </x:c>
      <x:c r="C485" s="21" t="str">
        <x:v>int</x:v>
      </x:c>
      <x:c r="D485" s="21" t="str">
        <x:v>180</x:v>
      </x:c>
    </x:row>
    <x:row r="486" ht="22" customHeight="1">
      <x:c r="A486" s="21" t="str">
        <x:v>data/units/race_units.json</x:v>
      </x:c>
      <x:c r="B486" s="21" t="str">
        <x:v>$/units/15/model_idle_animation_name</x:v>
      </x:c>
      <x:c r="C486" s="21" t="str">
        <x:v>string</x:v>
      </x:c>
      <x:c r="D486" s="21" t="str">
        <x:v>"idle"</x:v>
      </x:c>
    </x:row>
    <x:row r="487" ht="22" customHeight="1">
      <x:c r="A487" s="21" t="str">
        <x:v>data/units/race_units.json</x:v>
      </x:c>
      <x:c r="B487" s="21" t="str">
        <x:v>$/units/15/model_attack_animation_name</x:v>
      </x:c>
      <x:c r="C487" s="21" t="str">
        <x:v>string</x:v>
      </x:c>
      <x:c r="D487" s="21" t="str">
        <x:v>"attack"</x:v>
      </x:c>
    </x:row>
    <x:row r="488" ht="22" customHeight="1">
      <x:c r="A488" s="21" t="str">
        <x:v>data/units/race_units.json</x:v>
      </x:c>
      <x:c r="B488" s="21" t="str">
        <x:v>$/units/15/model_attack_sync_seek</x:v>
      </x:c>
      <x:c r="C488" s="21" t="str">
        <x:v>float</x:v>
      </x:c>
      <x:c r="D488" s="21" t="str">
        <x:v>0.18</x:v>
      </x:c>
    </x:row>
    <x:row r="489" ht="22" customHeight="1">
      <x:c r="A489" s="21" t="str">
        <x:v>data/units/race_units.json</x:v>
      </x:c>
      <x:c r="B489" s="21" t="str">
        <x:v>$/units/15/model_attack_lock_time</x:v>
      </x:c>
      <x:c r="C489" s="21" t="str">
        <x:v>float</x:v>
      </x:c>
      <x:c r="D489" s="21" t="str">
        <x:v>0.45</x:v>
      </x:c>
    </x:row>
    <x:row r="490" ht="22" customHeight="1">
      <x:c r="A490" s="21" t="str">
        <x:v>data/units/race_units.json</x:v>
      </x:c>
      <x:c r="B490" s="21" t="str">
        <x:v>$/units/15/model_run_animation_name</x:v>
      </x:c>
      <x:c r="C490" s="21" t="str">
        <x:v>string</x:v>
      </x:c>
      <x:c r="D490" s="21" t="str">
        <x:v>"run"</x:v>
      </x:c>
    </x:row>
    <x:row r="491" ht="22" customHeight="1">
      <x:c r="A491" s="21" t="str">
        <x:v>data/units/race_units.json</x:v>
      </x:c>
      <x:c r="B491" s="21" t="str">
        <x:v>$/units/15/name_en</x:v>
      </x:c>
      <x:c r="C491" s="21" t="str">
        <x:v>string</x:v>
      </x:c>
      <x:c r="D491" s="21" t="str">
        <x:v>"Blackwyrm"</x:v>
      </x:c>
    </x:row>
    <x:row r="492" ht="22" customHeight="1">
      <x:c r="A492" s="21" t="str">
        <x:v>data/units/race_units.json</x:v>
      </x:c>
      <x:c r="B492" s="21" t="str">
        <x:v>$/units/16</x:v>
      </x:c>
      <x:c r="C492" s="21" t="str">
        <x:v>object</x:v>
      </x:c>
      <x:c r="D492" s="21" t="str"/>
    </x:row>
    <x:row r="493" ht="22" customHeight="1">
      <x:c r="A493" s="21" t="str">
        <x:v>data/units/race_units.json</x:v>
      </x:c>
      <x:c r="B493" s="21" t="str">
        <x:v>$/units/16/id</x:v>
      </x:c>
      <x:c r="C493" s="21" t="str">
        <x:v>string</x:v>
      </x:c>
      <x:c r="D493" s="21" t="str">
        <x:v>"undead_small"</x:v>
      </x:c>
    </x:row>
    <x:row r="494" ht="22" customHeight="1">
      <x:c r="A494" s="21" t="str">
        <x:v>data/units/race_units.json</x:v>
      </x:c>
      <x:c r="B494" s="21" t="str">
        <x:v>$/units/16/model_in_place_actions</x:v>
      </x:c>
      <x:c r="C494" s="21" t="str">
        <x:v>array</x:v>
      </x:c>
      <x:c r="D494" s="21" t="str"/>
    </x:row>
    <x:row r="495" ht="22" customHeight="1">
      <x:c r="A495" s="21" t="str">
        <x:v>data/units/race_units.json</x:v>
      </x:c>
      <x:c r="B495" s="21" t="str">
        <x:v>$/units/16/model_in_place_actions/0</x:v>
      </x:c>
      <x:c r="C495" s="21" t="str">
        <x:v>string</x:v>
      </x:c>
      <x:c r="D495" s="21" t="str">
        <x:v>"attack"</x:v>
      </x:c>
    </x:row>
    <x:row r="496" ht="22" customHeight="1">
      <x:c r="A496" s="21" t="str">
        <x:v>data/units/race_units.json</x:v>
      </x:c>
      <x:c r="B496" s="21" t="str">
        <x:v>$/units/16/model_in_place_actions/1</x:v>
      </x:c>
      <x:c r="C496" s="21" t="str">
        <x:v>string</x:v>
      </x:c>
      <x:c r="D496" s="21" t="str">
        <x:v>"idle"</x:v>
      </x:c>
    </x:row>
    <x:row r="497" ht="22" customHeight="1">
      <x:c r="A497" s="21" t="str">
        <x:v>data/units/race_units.json</x:v>
      </x:c>
      <x:c r="B497" s="21" t="str">
        <x:v>$/units/16/name</x:v>
      </x:c>
      <x:c r="C497" s="21" t="str">
        <x:v>string</x:v>
      </x:c>
      <x:c r="D497" s="21" t="str">
        <x:v>"小灵"</x:v>
      </x:c>
    </x:row>
    <x:row r="498" ht="22" customHeight="1">
      <x:c r="A498" s="21" t="str">
        <x:v>data/units/race_units.json</x:v>
      </x:c>
      <x:c r="B498" s="21" t="str">
        <x:v>$/units/16/race</x:v>
      </x:c>
      <x:c r="C498" s="21" t="str">
        <x:v>string</x:v>
      </x:c>
      <x:c r="D498" s="21" t="str">
        <x:v>"undead"</x:v>
      </x:c>
    </x:row>
    <x:row r="499" ht="22" customHeight="1">
      <x:c r="A499" s="21" t="str">
        <x:v>data/units/race_units.json</x:v>
      </x:c>
      <x:c r="B499" s="21" t="str">
        <x:v>$/units/16/element</x:v>
      </x:c>
      <x:c r="C499" s="21" t="str">
        <x:v>string</x:v>
      </x:c>
      <x:c r="D499" s="21" t="str">
        <x:v>"sky"</x:v>
      </x:c>
    </x:row>
    <x:row r="500" ht="22" customHeight="1">
      <x:c r="A500" s="21" t="str">
        <x:v>data/units/race_units.json</x:v>
      </x:c>
      <x:c r="B500" s="21" t="str">
        <x:v>$/units/16/tier</x:v>
      </x:c>
      <x:c r="C500" s="21" t="str">
        <x:v>int</x:v>
      </x:c>
      <x:c r="D500" s="21" t="str">
        <x:v>1</x:v>
      </x:c>
    </x:row>
    <x:row r="501" ht="22" customHeight="1">
      <x:c r="A501" s="21" t="str">
        <x:v>data/units/race_units.json</x:v>
      </x:c>
      <x:c r="B501" s="21" t="str">
        <x:v>$/units/16/cost</x:v>
      </x:c>
      <x:c r="C501" s="21" t="str">
        <x:v>int</x:v>
      </x:c>
      <x:c r="D501" s="21" t="str">
        <x:v>10</x:v>
      </x:c>
    </x:row>
    <x:row r="502" ht="22" customHeight="1">
      <x:c r="A502" s="21" t="str">
        <x:v>data/units/race_units.json</x:v>
      </x:c>
      <x:c r="B502" s="21" t="str">
        <x:v>$/units/16/hp</x:v>
      </x:c>
      <x:c r="C502" s="21" t="str">
        <x:v>int</x:v>
      </x:c>
      <x:c r="D502" s="21" t="str">
        <x:v>600</x:v>
      </x:c>
    </x:row>
    <x:row r="503" ht="22" customHeight="1">
      <x:c r="A503" s="21" t="str">
        <x:v>data/units/race_units.json</x:v>
      </x:c>
      <x:c r="B503" s="21" t="str">
        <x:v>$/units/16/atk</x:v>
      </x:c>
      <x:c r="C503" s="21" t="str">
        <x:v>int</x:v>
      </x:c>
      <x:c r="D503" s="21" t="str">
        <x:v>24</x:v>
      </x:c>
    </x:row>
    <x:row r="504" ht="22" customHeight="1">
      <x:c r="A504" s="21" t="str">
        <x:v>data/units/race_units.json</x:v>
      </x:c>
      <x:c r="B504" s="21" t="str">
        <x:v>$/units/16/def</x:v>
      </x:c>
      <x:c r="C504" s="21" t="str">
        <x:v>int</x:v>
      </x:c>
      <x:c r="D504" s="21" t="str">
        <x:v>2</x:v>
      </x:c>
    </x:row>
    <x:row r="505" ht="22" customHeight="1">
      <x:c r="A505" s="21" t="str">
        <x:v>data/units/race_units.json</x:v>
      </x:c>
      <x:c r="B505" s="21" t="str">
        <x:v>$/units/16/attack_speed</x:v>
      </x:c>
      <x:c r="C505" s="21" t="str">
        <x:v>float</x:v>
      </x:c>
      <x:c r="D505" s="21" t="str">
        <x:v>1.1</x:v>
      </x:c>
    </x:row>
    <x:row r="506" ht="22" customHeight="1">
      <x:c r="A506" s="21" t="str">
        <x:v>data/units/race_units.json</x:v>
      </x:c>
      <x:c r="B506" s="21" t="str">
        <x:v>$/units/16/range</x:v>
      </x:c>
      <x:c r="C506" s="21" t="str">
        <x:v>int</x:v>
      </x:c>
      <x:c r="D506" s="21" t="str">
        <x:v>1</x:v>
      </x:c>
    </x:row>
    <x:row r="507" ht="22" customHeight="1">
      <x:c r="A507" s="21" t="str">
        <x:v>data/units/race_units.json</x:v>
      </x:c>
      <x:c r="B507" s="21" t="str">
        <x:v>$/units/16/move_speed</x:v>
      </x:c>
      <x:c r="C507" s="21" t="str">
        <x:v>float</x:v>
      </x:c>
      <x:c r="D507" s="21" t="str">
        <x:v>3.45</x:v>
      </x:c>
    </x:row>
    <x:row r="508" ht="22" customHeight="1">
      <x:c r="A508" s="21" t="str">
        <x:v>data/units/race_units.json</x:v>
      </x:c>
      <x:c r="B508" s="21" t="str">
        <x:v>$/units/16/crit</x:v>
      </x:c>
      <x:c r="C508" s="21" t="str">
        <x:v>float</x:v>
      </x:c>
      <x:c r="D508" s="21" t="str">
        <x:v>0.05</x:v>
      </x:c>
    </x:row>
    <x:row r="509" ht="22" customHeight="1">
      <x:c r="A509" s="21" t="str">
        <x:v>data/units/race_units.json</x:v>
      </x:c>
      <x:c r="B509" s="21" t="str">
        <x:v>$/units/16/crit_dmg</x:v>
      </x:c>
      <x:c r="C509" s="21" t="str">
        <x:v>float</x:v>
      </x:c>
      <x:c r="D509" s="21" t="str">
        <x:v>1.5</x:v>
      </x:c>
    </x:row>
    <x:row r="510" ht="22" customHeight="1">
      <x:c r="A510" s="21" t="str">
        <x:v>data/units/race_units.json</x:v>
      </x:c>
      <x:c r="B510" s="21" t="str">
        <x:v>$/units/16/star4_multiplier</x:v>
      </x:c>
      <x:c r="C510" s="21" t="str">
        <x:v>float</x:v>
      </x:c>
      <x:c r="D510" s="21" t="str">
        <x:v>1.5</x:v>
      </x:c>
    </x:row>
    <x:row r="511" ht="22" customHeight="1">
      <x:c r="A511" s="21" t="str">
        <x:v>data/units/race_units.json</x:v>
      </x:c>
      <x:c r="B511" s="21" t="str">
        <x:v>$/units/16/skill_id</x:v>
      </x:c>
      <x:c r="C511" s="21" t="str">
        <x:v>string</x:v>
      </x:c>
      <x:c r="D511" s="21" t="str">
        <x:v>"none"</x:v>
      </x:c>
    </x:row>
    <x:row r="512" ht="22" customHeight="1">
      <x:c r="A512" s="21" t="str">
        <x:v>data/units/race_units.json</x:v>
      </x:c>
      <x:c r="B512" s="21" t="str">
        <x:v>$/units/16/model</x:v>
      </x:c>
      <x:c r="C512" s="21" t="str">
        <x:v>string</x:v>
      </x:c>
      <x:c r="D512" s="21" t="str">
        <x:v>"res://assets/models/units/undead_refined/undead_small/undead_small_refined.tscn"</x:v>
      </x:c>
    </x:row>
    <x:row r="513" ht="22" customHeight="1">
      <x:c r="A513" s="21" t="str">
        <x:v>data/units/race_units.json</x:v>
      </x:c>
      <x:c r="B513" s="21" t="str">
        <x:v>$/units/16/model_visual_scale</x:v>
      </x:c>
      <x:c r="C513" s="21" t="str">
        <x:v>int</x:v>
      </x:c>
      <x:c r="D513" s="21" t="str">
        <x:v>1</x:v>
      </x:c>
    </x:row>
    <x:row r="514" ht="22" customHeight="1">
      <x:c r="A514" s="21" t="str">
        <x:v>data/units/race_units.json</x:v>
      </x:c>
      <x:c r="B514" s="21" t="str">
        <x:v>$/units/16/model_base_yaw</x:v>
      </x:c>
      <x:c r="C514" s="21" t="str">
        <x:v>int</x:v>
      </x:c>
      <x:c r="D514" s="21" t="str">
        <x:v>180</x:v>
      </x:c>
    </x:row>
    <x:row r="515" ht="22" customHeight="1">
      <x:c r="A515" s="21" t="str">
        <x:v>data/units/race_units.json</x:v>
      </x:c>
      <x:c r="B515" s="21" t="str">
        <x:v>$/units/16/model_idle_animation_name</x:v>
      </x:c>
      <x:c r="C515" s="21" t="str">
        <x:v>string</x:v>
      </x:c>
      <x:c r="D515" s="21" t="str">
        <x:v>"idle"</x:v>
      </x:c>
    </x:row>
    <x:row r="516" ht="22" customHeight="1">
      <x:c r="A516" s="21" t="str">
        <x:v>data/units/race_units.json</x:v>
      </x:c>
      <x:c r="B516" s="21" t="str">
        <x:v>$/units/16/model_attack_animation_name</x:v>
      </x:c>
      <x:c r="C516" s="21" t="str">
        <x:v>string</x:v>
      </x:c>
      <x:c r="D516" s="21" t="str">
        <x:v>"attack"</x:v>
      </x:c>
    </x:row>
    <x:row r="517" ht="22" customHeight="1">
      <x:c r="A517" s="21" t="str">
        <x:v>data/units/race_units.json</x:v>
      </x:c>
      <x:c r="B517" s="21" t="str">
        <x:v>$/units/16/model_attack_sync_seek</x:v>
      </x:c>
      <x:c r="C517" s="21" t="str">
        <x:v>float</x:v>
      </x:c>
      <x:c r="D517" s="21" t="str">
        <x:v>0.18</x:v>
      </x:c>
    </x:row>
    <x:row r="518" ht="22" customHeight="1">
      <x:c r="A518" s="21" t="str">
        <x:v>data/units/race_units.json</x:v>
      </x:c>
      <x:c r="B518" s="21" t="str">
        <x:v>$/units/16/model_attack_lock_time</x:v>
      </x:c>
      <x:c r="C518" s="21" t="str">
        <x:v>float</x:v>
      </x:c>
      <x:c r="D518" s="21" t="str">
        <x:v>0.4</x:v>
      </x:c>
    </x:row>
    <x:row r="519" ht="22" customHeight="1">
      <x:c r="A519" s="21" t="str">
        <x:v>data/units/race_units.json</x:v>
      </x:c>
      <x:c r="B519" s="21" t="str">
        <x:v>$/units/16/model_run_animation_name</x:v>
      </x:c>
      <x:c r="C519" s="21" t="str">
        <x:v>string</x:v>
      </x:c>
      <x:c r="D519" s="21" t="str">
        <x:v>"run"</x:v>
      </x:c>
    </x:row>
    <x:row r="520" ht="22" customHeight="1">
      <x:c r="A520" s="21" t="str">
        <x:v>data/units/race_units.json</x:v>
      </x:c>
      <x:c r="B520" s="21" t="str">
        <x:v>$/units/16/name_en</x:v>
      </x:c>
      <x:c r="C520" s="21" t="str">
        <x:v>string</x:v>
      </x:c>
      <x:c r="D520" s="21" t="str">
        <x:v>"Wisp"</x:v>
      </x:c>
    </x:row>
    <x:row r="521" ht="22" customHeight="1">
      <x:c r="A521" s="21" t="str">
        <x:v>data/units/race_units.json</x:v>
      </x:c>
      <x:c r="B521" s="21" t="str">
        <x:v>$/units/17</x:v>
      </x:c>
      <x:c r="C521" s="21" t="str">
        <x:v>object</x:v>
      </x:c>
      <x:c r="D521" s="21" t="str"/>
    </x:row>
    <x:row r="522" ht="22" customHeight="1">
      <x:c r="A522" s="21" t="str">
        <x:v>data/units/race_units.json</x:v>
      </x:c>
      <x:c r="B522" s="21" t="str">
        <x:v>$/units/17/id</x:v>
      </x:c>
      <x:c r="C522" s="21" t="str">
        <x:v>string</x:v>
      </x:c>
      <x:c r="D522" s="21" t="str">
        <x:v>"undead_poison"</x:v>
      </x:c>
    </x:row>
    <x:row r="523" ht="22" customHeight="1">
      <x:c r="A523" s="21" t="str">
        <x:v>data/units/race_units.json</x:v>
      </x:c>
      <x:c r="B523" s="21" t="str">
        <x:v>$/units/17/poison_pct_max_hp</x:v>
      </x:c>
      <x:c r="C523" s="21" t="str">
        <x:v>float</x:v>
      </x:c>
      <x:c r="D523" s="21" t="str">
        <x:v>0.03</x:v>
      </x:c>
    </x:row>
    <x:row r="524" ht="22" customHeight="1">
      <x:c r="A524" s="21" t="str">
        <x:v>data/units/race_units.json</x:v>
      </x:c>
      <x:c r="B524" s="21" t="str">
        <x:v>$/units/17/poison_duration</x:v>
      </x:c>
      <x:c r="C524" s="21" t="str">
        <x:v>int</x:v>
      </x:c>
      <x:c r="D524" s="21" t="str">
        <x:v>4</x:v>
      </x:c>
    </x:row>
    <x:row r="525" ht="22" customHeight="1">
      <x:c r="A525" s="21" t="str">
        <x:v>data/units/race_units.json</x:v>
      </x:c>
      <x:c r="B525" s="21" t="str">
        <x:v>$/units/17/star4</x:v>
      </x:c>
      <x:c r="C525" s="21" t="str">
        <x:v>object</x:v>
      </x:c>
      <x:c r="D525" s="21" t="str"/>
    </x:row>
    <x:row r="526" ht="22" customHeight="1">
      <x:c r="A526" s="21" t="str">
        <x:v>data/units/race_units.json</x:v>
      </x:c>
      <x:c r="B526" s="21" t="str">
        <x:v>$/units/17/star4/poison_pct_max_hp</x:v>
      </x:c>
      <x:c r="C526" s="21" t="str">
        <x:v>float</x:v>
      </x:c>
      <x:c r="D526" s="21" t="str">
        <x:v>0.06</x:v>
      </x:c>
    </x:row>
    <x:row r="527" ht="22" customHeight="1">
      <x:c r="A527" s="21" t="str">
        <x:v>data/units/race_units.json</x:v>
      </x:c>
      <x:c r="B527" s="21" t="str">
        <x:v>$/units/17/star4/poison_duration</x:v>
      </x:c>
      <x:c r="C527" s="21" t="str">
        <x:v>int</x:v>
      </x:c>
      <x:c r="D527" s="21" t="str">
        <x:v>6</x:v>
      </x:c>
    </x:row>
    <x:row r="528" ht="22" customHeight="1">
      <x:c r="A528" s="21" t="str">
        <x:v>data/units/race_units.json</x:v>
      </x:c>
      <x:c r="B528" s="21" t="str">
        <x:v>$/units/17/name</x:v>
      </x:c>
      <x:c r="C528" s="21" t="str">
        <x:v>string</x:v>
      </x:c>
      <x:c r="D528" s="21" t="str">
        <x:v>"毒灵"</x:v>
      </x:c>
    </x:row>
    <x:row r="529" ht="22" customHeight="1">
      <x:c r="A529" s="21" t="str">
        <x:v>data/units/race_units.json</x:v>
      </x:c>
      <x:c r="B529" s="21" t="str">
        <x:v>$/units/17/race</x:v>
      </x:c>
      <x:c r="C529" s="21" t="str">
        <x:v>string</x:v>
      </x:c>
      <x:c r="D529" s="21" t="str">
        <x:v>"undead"</x:v>
      </x:c>
    </x:row>
    <x:row r="530" ht="22" customHeight="1">
      <x:c r="A530" s="21" t="str">
        <x:v>data/units/race_units.json</x:v>
      </x:c>
      <x:c r="B530" s="21" t="str">
        <x:v>$/units/17/element</x:v>
      </x:c>
      <x:c r="C530" s="21" t="str">
        <x:v>string</x:v>
      </x:c>
      <x:c r="D530" s="21" t="str">
        <x:v>"ren"</x:v>
      </x:c>
    </x:row>
    <x:row r="531" ht="22" customHeight="1">
      <x:c r="A531" s="21" t="str">
        <x:v>data/units/race_units.json</x:v>
      </x:c>
      <x:c r="B531" s="21" t="str">
        <x:v>$/units/17/tier</x:v>
      </x:c>
      <x:c r="C531" s="21" t="str">
        <x:v>int</x:v>
      </x:c>
      <x:c r="D531" s="21" t="str">
        <x:v>1</x:v>
      </x:c>
    </x:row>
    <x:row r="532" ht="22" customHeight="1">
      <x:c r="A532" s="21" t="str">
        <x:v>data/units/race_units.json</x:v>
      </x:c>
      <x:c r="B532" s="21" t="str">
        <x:v>$/units/17/cost</x:v>
      </x:c>
      <x:c r="C532" s="21" t="str">
        <x:v>int</x:v>
      </x:c>
      <x:c r="D532" s="21" t="str">
        <x:v>20</x:v>
      </x:c>
    </x:row>
    <x:row r="533" ht="22" customHeight="1">
      <x:c r="A533" s="21" t="str">
        <x:v>data/units/race_units.json</x:v>
      </x:c>
      <x:c r="B533" s="21" t="str">
        <x:v>$/units/17/hp</x:v>
      </x:c>
      <x:c r="C533" s="21" t="str">
        <x:v>int</x:v>
      </x:c>
      <x:c r="D533" s="21" t="str">
        <x:v>660</x:v>
      </x:c>
    </x:row>
    <x:row r="534" ht="22" customHeight="1">
      <x:c r="A534" s="21" t="str">
        <x:v>data/units/race_units.json</x:v>
      </x:c>
      <x:c r="B534" s="21" t="str">
        <x:v>$/units/17/atk</x:v>
      </x:c>
      <x:c r="C534" s="21" t="str">
        <x:v>int</x:v>
      </x:c>
      <x:c r="D534" s="21" t="str">
        <x:v>33</x:v>
      </x:c>
    </x:row>
    <x:row r="535" ht="22" customHeight="1">
      <x:c r="A535" s="21" t="str">
        <x:v>data/units/race_units.json</x:v>
      </x:c>
      <x:c r="B535" s="21" t="str">
        <x:v>$/units/17/def</x:v>
      </x:c>
      <x:c r="C535" s="21" t="str">
        <x:v>int</x:v>
      </x:c>
      <x:c r="D535" s="21" t="str">
        <x:v>5</x:v>
      </x:c>
    </x:row>
    <x:row r="536" ht="22" customHeight="1">
      <x:c r="A536" s="21" t="str">
        <x:v>data/units/race_units.json</x:v>
      </x:c>
      <x:c r="B536" s="21" t="str">
        <x:v>$/units/17/attack_speed</x:v>
      </x:c>
      <x:c r="C536" s="21" t="str">
        <x:v>float</x:v>
      </x:c>
      <x:c r="D536" s="21" t="str">
        <x:v>1.0</x:v>
      </x:c>
    </x:row>
    <x:row r="537" ht="22" customHeight="1">
      <x:c r="A537" s="21" t="str">
        <x:v>data/units/race_units.json</x:v>
      </x:c>
      <x:c r="B537" s="21" t="str">
        <x:v>$/units/17/range</x:v>
      </x:c>
      <x:c r="C537" s="21" t="str">
        <x:v>int</x:v>
      </x:c>
      <x:c r="D537" s="21" t="str">
        <x:v>1</x:v>
      </x:c>
    </x:row>
    <x:row r="538" ht="22" customHeight="1">
      <x:c r="A538" s="21" t="str">
        <x:v>data/units/race_units.json</x:v>
      </x:c>
      <x:c r="B538" s="21" t="str">
        <x:v>$/units/17/move_speed</x:v>
      </x:c>
      <x:c r="C538" s="21" t="str">
        <x:v>float</x:v>
      </x:c>
      <x:c r="D538" s="21" t="str">
        <x:v>3.3</x:v>
      </x:c>
    </x:row>
    <x:row r="539" ht="22" customHeight="1">
      <x:c r="A539" s="21" t="str">
        <x:v>data/units/race_units.json</x:v>
      </x:c>
      <x:c r="B539" s="21" t="str">
        <x:v>$/units/17/crit</x:v>
      </x:c>
      <x:c r="C539" s="21" t="str">
        <x:v>float</x:v>
      </x:c>
      <x:c r="D539" s="21" t="str">
        <x:v>0.05</x:v>
      </x:c>
    </x:row>
    <x:row r="540" ht="22" customHeight="1">
      <x:c r="A540" s="21" t="str">
        <x:v>data/units/race_units.json</x:v>
      </x:c>
      <x:c r="B540" s="21" t="str">
        <x:v>$/units/17/crit_dmg</x:v>
      </x:c>
      <x:c r="C540" s="21" t="str">
        <x:v>float</x:v>
      </x:c>
      <x:c r="D540" s="21" t="str">
        <x:v>1.5</x:v>
      </x:c>
    </x:row>
    <x:row r="541" ht="22" customHeight="1">
      <x:c r="A541" s="21" t="str">
        <x:v>data/units/race_units.json</x:v>
      </x:c>
      <x:c r="B541" s="21" t="str">
        <x:v>$/units/17/skill_id</x:v>
      </x:c>
      <x:c r="C541" s="21" t="str">
        <x:v>string</x:v>
      </x:c>
      <x:c r="D541" s="21" t="str">
        <x:v>"poison_attack"</x:v>
      </x:c>
    </x:row>
    <x:row r="542" ht="22" customHeight="1">
      <x:c r="A542" s="21" t="str">
        <x:v>data/units/race_units.json</x:v>
      </x:c>
      <x:c r="B542" s="21" t="str">
        <x:v>$/units/17/model</x:v>
      </x:c>
      <x:c r="C542" s="21" t="str">
        <x:v>string</x:v>
      </x:c>
      <x:c r="D542" s="21" t="str">
        <x:v>"res://assets/models/units/undead_refined/undead_poison/undead_poison_refined.tscn"</x:v>
      </x:c>
    </x:row>
    <x:row r="543" ht="22" customHeight="1">
      <x:c r="A543" s="21" t="str">
        <x:v>data/units/race_units.json</x:v>
      </x:c>
      <x:c r="B543" s="21" t="str">
        <x:v>$/units/17/model_visual_scale</x:v>
      </x:c>
      <x:c r="C543" s="21" t="str">
        <x:v>int</x:v>
      </x:c>
      <x:c r="D543" s="21" t="str">
        <x:v>1</x:v>
      </x:c>
    </x:row>
    <x:row r="544" ht="22" customHeight="1">
      <x:c r="A544" s="21" t="str">
        <x:v>data/units/race_units.json</x:v>
      </x:c>
      <x:c r="B544" s="21" t="str">
        <x:v>$/units/17/model_base_yaw</x:v>
      </x:c>
      <x:c r="C544" s="21" t="str">
        <x:v>int</x:v>
      </x:c>
      <x:c r="D544" s="21" t="str">
        <x:v>180</x:v>
      </x:c>
    </x:row>
    <x:row r="545" ht="22" customHeight="1">
      <x:c r="A545" s="21" t="str">
        <x:v>data/units/race_units.json</x:v>
      </x:c>
      <x:c r="B545" s="21" t="str">
        <x:v>$/units/17/name_en</x:v>
      </x:c>
      <x:c r="C545" s="21" t="str">
        <x:v>string</x:v>
      </x:c>
      <x:c r="D545" s="21" t="str">
        <x:v>"Venom"</x:v>
      </x:c>
    </x:row>
    <x:row r="546" ht="22" customHeight="1">
      <x:c r="A546" s="21" t="str">
        <x:v>data/units/race_units.json</x:v>
      </x:c>
      <x:c r="B546" s="21" t="str">
        <x:v>$/units/18</x:v>
      </x:c>
      <x:c r="C546" s="21" t="str">
        <x:v>object</x:v>
      </x:c>
      <x:c r="D546" s="21" t="str"/>
    </x:row>
    <x:row r="547" ht="22" customHeight="1">
      <x:c r="A547" s="21" t="str">
        <x:v>data/units/race_units.json</x:v>
      </x:c>
      <x:c r="B547" s="21" t="str">
        <x:v>$/units/18/id</x:v>
      </x:c>
      <x:c r="C547" s="21" t="str">
        <x:v>string</x:v>
      </x:c>
      <x:c r="D547" s="21" t="str">
        <x:v>"undead_parasite"</x:v>
      </x:c>
    </x:row>
    <x:row r="548" ht="22" customHeight="1">
      <x:c r="A548" s="21" t="str">
        <x:v>data/units/race_units.json</x:v>
      </x:c>
      <x:c r="B548" s="21" t="str">
        <x:v>$/units/18/model_in_place_actions</x:v>
      </x:c>
      <x:c r="C548" s="21" t="str">
        <x:v>array</x:v>
      </x:c>
      <x:c r="D548" s="21" t="str"/>
    </x:row>
    <x:row r="549" ht="22" customHeight="1">
      <x:c r="A549" s="21" t="str">
        <x:v>data/units/race_units.json</x:v>
      </x:c>
      <x:c r="B549" s="21" t="str">
        <x:v>$/units/18/model_in_place_actions/0</x:v>
      </x:c>
      <x:c r="C549" s="21" t="str">
        <x:v>string</x:v>
      </x:c>
      <x:c r="D549" s="21" t="str">
        <x:v>"run"</x:v>
      </x:c>
    </x:row>
    <x:row r="550" ht="22" customHeight="1">
      <x:c r="A550" s="21" t="str">
        <x:v>data/units/race_units.json</x:v>
      </x:c>
      <x:c r="B550" s="21" t="str">
        <x:v>$/units/18/star4</x:v>
      </x:c>
      <x:c r="C550" s="21" t="str">
        <x:v>object</x:v>
      </x:c>
      <x:c r="D550" s="21" t="str"/>
    </x:row>
    <x:row r="551" ht="22" customHeight="1">
      <x:c r="A551" s="21" t="str">
        <x:v>data/units/race_units.json</x:v>
      </x:c>
      <x:c r="B551" s="21" t="str">
        <x:v>$/units/18/star4/clone_hp_pct</x:v>
      </x:c>
      <x:c r="C551" s="21" t="str">
        <x:v>float</x:v>
      </x:c>
      <x:c r="D551" s="21" t="str">
        <x:v>0.5</x:v>
      </x:c>
    </x:row>
    <x:row r="552" ht="22" customHeight="1">
      <x:c r="A552" s="21" t="str">
        <x:v>data/units/race_units.json</x:v>
      </x:c>
      <x:c r="B552" s="21" t="str">
        <x:v>$/units/18/star4/clone_atk_def_pct</x:v>
      </x:c>
      <x:c r="C552" s="21" t="str">
        <x:v>float</x:v>
      </x:c>
      <x:c r="D552" s="21" t="str">
        <x:v>0.75</x:v>
      </x:c>
    </x:row>
    <x:row r="553" ht="22" customHeight="1">
      <x:c r="A553" s="21" t="str">
        <x:v>data/units/race_units.json</x:v>
      </x:c>
      <x:c r="B553" s="21" t="str">
        <x:v>$/units/18/name</x:v>
      </x:c>
      <x:c r="C553" s="21" t="str">
        <x:v>string</x:v>
      </x:c>
      <x:c r="D553" s="21" t="str">
        <x:v>"寄生灵"</x:v>
      </x:c>
    </x:row>
    <x:row r="554" ht="22" customHeight="1">
      <x:c r="A554" s="21" t="str">
        <x:v>data/units/race_units.json</x:v>
      </x:c>
      <x:c r="B554" s="21" t="str">
        <x:v>$/units/18/race</x:v>
      </x:c>
      <x:c r="C554" s="21" t="str">
        <x:v>string</x:v>
      </x:c>
      <x:c r="D554" s="21" t="str">
        <x:v>"undead"</x:v>
      </x:c>
    </x:row>
    <x:row r="555" ht="22" customHeight="1">
      <x:c r="A555" s="21" t="str">
        <x:v>data/units/race_units.json</x:v>
      </x:c>
      <x:c r="B555" s="21" t="str">
        <x:v>$/units/18/element</x:v>
      </x:c>
      <x:c r="C555" s="21" t="str">
        <x:v>string</x:v>
      </x:c>
      <x:c r="D555" s="21" t="str">
        <x:v>"ren"</x:v>
      </x:c>
    </x:row>
    <x:row r="556" ht="22" customHeight="1">
      <x:c r="A556" s="21" t="str">
        <x:v>data/units/race_units.json</x:v>
      </x:c>
      <x:c r="B556" s="21" t="str">
        <x:v>$/units/18/tier</x:v>
      </x:c>
      <x:c r="C556" s="21" t="str">
        <x:v>int</x:v>
      </x:c>
      <x:c r="D556" s="21" t="str">
        <x:v>2</x:v>
      </x:c>
    </x:row>
    <x:row r="557" ht="22" customHeight="1">
      <x:c r="A557" s="21" t="str">
        <x:v>data/units/race_units.json</x:v>
      </x:c>
      <x:c r="B557" s="21" t="str">
        <x:v>$/units/18/cost</x:v>
      </x:c>
      <x:c r="C557" s="21" t="str">
        <x:v>int</x:v>
      </x:c>
      <x:c r="D557" s="21" t="str">
        <x:v>30</x:v>
      </x:c>
    </x:row>
    <x:row r="558" ht="22" customHeight="1">
      <x:c r="A558" s="21" t="str">
        <x:v>data/units/race_units.json</x:v>
      </x:c>
      <x:c r="B558" s="21" t="str">
        <x:v>$/units/18/hp</x:v>
      </x:c>
      <x:c r="C558" s="21" t="str">
        <x:v>int</x:v>
      </x:c>
      <x:c r="D558" s="21" t="str">
        <x:v>840</x:v>
      </x:c>
    </x:row>
    <x:row r="559" ht="22" customHeight="1">
      <x:c r="A559" s="21" t="str">
        <x:v>data/units/race_units.json</x:v>
      </x:c>
      <x:c r="B559" s="21" t="str">
        <x:v>$/units/18/atk</x:v>
      </x:c>
      <x:c r="C559" s="21" t="str">
        <x:v>int</x:v>
      </x:c>
      <x:c r="D559" s="21" t="str">
        <x:v>57</x:v>
      </x:c>
    </x:row>
    <x:row r="560" ht="22" customHeight="1">
      <x:c r="A560" s="21" t="str">
        <x:v>data/units/race_units.json</x:v>
      </x:c>
      <x:c r="B560" s="21" t="str">
        <x:v>$/units/18/def</x:v>
      </x:c>
      <x:c r="C560" s="21" t="str">
        <x:v>int</x:v>
      </x:c>
      <x:c r="D560" s="21" t="str">
        <x:v>7</x:v>
      </x:c>
    </x:row>
    <x:row r="561" ht="22" customHeight="1">
      <x:c r="A561" s="21" t="str">
        <x:v>data/units/race_units.json</x:v>
      </x:c>
      <x:c r="B561" s="21" t="str">
        <x:v>$/units/18/attack_speed</x:v>
      </x:c>
      <x:c r="C561" s="21" t="str">
        <x:v>float</x:v>
      </x:c>
      <x:c r="D561" s="21" t="str">
        <x:v>0.9</x:v>
      </x:c>
    </x:row>
    <x:row r="562" ht="22" customHeight="1">
      <x:c r="A562" s="21" t="str">
        <x:v>data/units/race_units.json</x:v>
      </x:c>
      <x:c r="B562" s="21" t="str">
        <x:v>$/units/18/range</x:v>
      </x:c>
      <x:c r="C562" s="21" t="str">
        <x:v>int</x:v>
      </x:c>
      <x:c r="D562" s="21" t="str">
        <x:v>1</x:v>
      </x:c>
    </x:row>
    <x:row r="563" ht="22" customHeight="1">
      <x:c r="A563" s="21" t="str">
        <x:v>data/units/race_units.json</x:v>
      </x:c>
      <x:c r="B563" s="21" t="str">
        <x:v>$/units/18/move_speed</x:v>
      </x:c>
      <x:c r="C563" s="21" t="str">
        <x:v>float</x:v>
      </x:c>
      <x:c r="D563" s="21" t="str">
        <x:v>3.15</x:v>
      </x:c>
    </x:row>
    <x:row r="564" ht="22" customHeight="1">
      <x:c r="A564" s="21" t="str">
        <x:v>data/units/race_units.json</x:v>
      </x:c>
      <x:c r="B564" s="21" t="str">
        <x:v>$/units/18/crit</x:v>
      </x:c>
      <x:c r="C564" s="21" t="str">
        <x:v>float</x:v>
      </x:c>
      <x:c r="D564" s="21" t="str">
        <x:v>0.08</x:v>
      </x:c>
    </x:row>
    <x:row r="565" ht="22" customHeight="1">
      <x:c r="A565" s="21" t="str">
        <x:v>data/units/race_units.json</x:v>
      </x:c>
      <x:c r="B565" s="21" t="str">
        <x:v>$/units/18/crit_dmg</x:v>
      </x:c>
      <x:c r="C565" s="21" t="str">
        <x:v>float</x:v>
      </x:c>
      <x:c r="D565" s="21" t="str">
        <x:v>1.6</x:v>
      </x:c>
    </x:row>
    <x:row r="566" ht="22" customHeight="1">
      <x:c r="A566" s="21" t="str">
        <x:v>data/units/race_units.json</x:v>
      </x:c>
      <x:c r="B566" s="21" t="str">
        <x:v>$/units/18/skill_id</x:v>
      </x:c>
      <x:c r="C566" s="21" t="str">
        <x:v>string</x:v>
      </x:c>
      <x:c r="D566" s="21" t="str">
        <x:v>"parasite_on_kill"</x:v>
      </x:c>
    </x:row>
    <x:row r="567" ht="22" customHeight="1">
      <x:c r="A567" s="21" t="str">
        <x:v>data/units/race_units.json</x:v>
      </x:c>
      <x:c r="B567" s="21" t="str">
        <x:v>$/units/18/clone_hp_pct</x:v>
      </x:c>
      <x:c r="C567" s="21" t="str">
        <x:v>float</x:v>
      </x:c>
      <x:c r="D567" s="21" t="str">
        <x:v>0.2</x:v>
      </x:c>
    </x:row>
    <x:row r="568" ht="22" customHeight="1">
      <x:c r="A568" s="21" t="str">
        <x:v>data/units/race_units.json</x:v>
      </x:c>
      <x:c r="B568" s="21" t="str">
        <x:v>$/units/18/clone_atk_def_pct</x:v>
      </x:c>
      <x:c r="C568" s="21" t="str">
        <x:v>float</x:v>
      </x:c>
      <x:c r="D568" s="21" t="str">
        <x:v>0.5</x:v>
      </x:c>
    </x:row>
    <x:row r="569" ht="22" customHeight="1">
      <x:c r="A569" s="21" t="str">
        <x:v>data/units/race_units.json</x:v>
      </x:c>
      <x:c r="B569" s="21" t="str">
        <x:v>$/units/18/model</x:v>
      </x:c>
      <x:c r="C569" s="21" t="str">
        <x:v>string</x:v>
      </x:c>
      <x:c r="D569" s="21" t="str">
        <x:v>"res://assets/models/units/undead_refined/undead_parasite/undead_parasite_refined.tscn"</x:v>
      </x:c>
    </x:row>
    <x:row r="570" ht="22" customHeight="1">
      <x:c r="A570" s="21" t="str">
        <x:v>data/units/race_units.json</x:v>
      </x:c>
      <x:c r="B570" s="21" t="str">
        <x:v>$/units/18/model_visual_scale</x:v>
      </x:c>
      <x:c r="C570" s="21" t="str">
        <x:v>int</x:v>
      </x:c>
      <x:c r="D570" s="21" t="str">
        <x:v>1</x:v>
      </x:c>
    </x:row>
    <x:row r="571" ht="22" customHeight="1">
      <x:c r="A571" s="21" t="str">
        <x:v>data/units/race_units.json</x:v>
      </x:c>
      <x:c r="B571" s="21" t="str">
        <x:v>$/units/18/model_base_yaw</x:v>
      </x:c>
      <x:c r="C571" s="21" t="str">
        <x:v>int</x:v>
      </x:c>
      <x:c r="D571" s="21" t="str">
        <x:v>180</x:v>
      </x:c>
    </x:row>
    <x:row r="572" ht="22" customHeight="1">
      <x:c r="A572" s="21" t="str">
        <x:v>data/units/race_units.json</x:v>
      </x:c>
      <x:c r="B572" s="21" t="str">
        <x:v>$/units/18/name_en</x:v>
      </x:c>
      <x:c r="C572" s="21" t="str">
        <x:v>string</x:v>
      </x:c>
      <x:c r="D572" s="21" t="str">
        <x:v>"Leech Wisp"</x:v>
      </x:c>
    </x:row>
    <x:row r="573" ht="22" customHeight="1">
      <x:c r="A573" s="21" t="str">
        <x:v>data/units/race_units.json</x:v>
      </x:c>
      <x:c r="B573" s="21" t="str">
        <x:v>$/units/19</x:v>
      </x:c>
      <x:c r="C573" s="21" t="str">
        <x:v>object</x:v>
      </x:c>
      <x:c r="D573" s="21" t="str"/>
    </x:row>
    <x:row r="574" ht="22" customHeight="1">
      <x:c r="A574" s="21" t="str">
        <x:v>data/units/race_units.json</x:v>
      </x:c>
      <x:c r="B574" s="21" t="str">
        <x:v>$/units/19/id</x:v>
      </x:c>
      <x:c r="C574" s="21" t="str">
        <x:v>string</x:v>
      </x:c>
      <x:c r="D574" s="21" t="str">
        <x:v>"undead_spike"</x:v>
      </x:c>
    </x:row>
    <x:row r="575" ht="22" customHeight="1">
      <x:c r="A575" s="21" t="str">
        <x:v>data/units/race_units.json</x:v>
      </x:c>
      <x:c r="B575" s="21" t="str">
        <x:v>$/units/19/star4</x:v>
      </x:c>
      <x:c r="C575" s="21" t="str">
        <x:v>object</x:v>
      </x:c>
      <x:c r="D575" s="21" t="str"/>
    </x:row>
    <x:row r="576" ht="22" customHeight="1">
      <x:c r="A576" s="21" t="str">
        <x:v>data/units/race_units.json</x:v>
      </x:c>
      <x:c r="B576" s="21" t="str">
        <x:v>$/units/19/star4/duration</x:v>
      </x:c>
      <x:c r="C576" s="21" t="str">
        <x:v>int</x:v>
      </x:c>
      <x:c r="D576" s="21" t="str">
        <x:v>8</x:v>
      </x:c>
    </x:row>
    <x:row r="577" ht="22" customHeight="1">
      <x:c r="A577" s="21" t="str">
        <x:v>data/units/race_units.json</x:v>
      </x:c>
      <x:c r="B577" s="21" t="str">
        <x:v>$/units/19/star4/def_down_pct</x:v>
      </x:c>
      <x:c r="C577" s="21" t="str">
        <x:v>float</x:v>
      </x:c>
      <x:c r="D577" s="21" t="str">
        <x:v>0.6</x:v>
      </x:c>
    </x:row>
    <x:row r="578" ht="22" customHeight="1">
      <x:c r="A578" s="21" t="str">
        <x:v>data/units/race_units.json</x:v>
      </x:c>
      <x:c r="B578" s="21" t="str">
        <x:v>$/units/19/name</x:v>
      </x:c>
      <x:c r="C578" s="21" t="str">
        <x:v>string</x:v>
      </x:c>
      <x:c r="D578" s="21" t="str">
        <x:v>"刺灵"</x:v>
      </x:c>
    </x:row>
    <x:row r="579" ht="22" customHeight="1">
      <x:c r="A579" s="21" t="str">
        <x:v>data/units/race_units.json</x:v>
      </x:c>
      <x:c r="B579" s="21" t="str">
        <x:v>$/units/19/race</x:v>
      </x:c>
      <x:c r="C579" s="21" t="str">
        <x:v>string</x:v>
      </x:c>
      <x:c r="D579" s="21" t="str">
        <x:v>"undead"</x:v>
      </x:c>
    </x:row>
    <x:row r="580" ht="22" customHeight="1">
      <x:c r="A580" s="21" t="str">
        <x:v>data/units/race_units.json</x:v>
      </x:c>
      <x:c r="B580" s="21" t="str">
        <x:v>$/units/19/element</x:v>
      </x:c>
      <x:c r="C580" s="21" t="str">
        <x:v>string</x:v>
      </x:c>
      <x:c r="D580" s="21" t="str">
        <x:v>"sky"</x:v>
      </x:c>
    </x:row>
    <x:row r="581" ht="22" customHeight="1">
      <x:c r="A581" s="21" t="str">
        <x:v>data/units/race_units.json</x:v>
      </x:c>
      <x:c r="B581" s="21" t="str">
        <x:v>$/units/19/tier</x:v>
      </x:c>
      <x:c r="C581" s="21" t="str">
        <x:v>int</x:v>
      </x:c>
      <x:c r="D581" s="21" t="str">
        <x:v>2</x:v>
      </x:c>
    </x:row>
    <x:row r="582" ht="22" customHeight="1">
      <x:c r="A582" s="21" t="str">
        <x:v>data/units/race_units.json</x:v>
      </x:c>
      <x:c r="B582" s="21" t="str">
        <x:v>$/units/19/cost</x:v>
      </x:c>
      <x:c r="C582" s="21" t="str">
        <x:v>int</x:v>
      </x:c>
      <x:c r="D582" s="21" t="str">
        <x:v>30</x:v>
      </x:c>
    </x:row>
    <x:row r="583" ht="22" customHeight="1">
      <x:c r="A583" s="21" t="str">
        <x:v>data/units/race_units.json</x:v>
      </x:c>
      <x:c r="B583" s="21" t="str">
        <x:v>$/units/19/hp</x:v>
      </x:c>
      <x:c r="C583" s="21" t="str">
        <x:v>int</x:v>
      </x:c>
      <x:c r="D583" s="21" t="str">
        <x:v>800</x:v>
      </x:c>
    </x:row>
    <x:row r="584" ht="22" customHeight="1">
      <x:c r="A584" s="21" t="str">
        <x:v>data/units/race_units.json</x:v>
      </x:c>
      <x:c r="B584" s="21" t="str">
        <x:v>$/units/19/atk</x:v>
      </x:c>
      <x:c r="C584" s="21" t="str">
        <x:v>int</x:v>
      </x:c>
      <x:c r="D584" s="21" t="str">
        <x:v>62</x:v>
      </x:c>
    </x:row>
    <x:row r="585" ht="22" customHeight="1">
      <x:c r="A585" s="21" t="str">
        <x:v>data/units/race_units.json</x:v>
      </x:c>
      <x:c r="B585" s="21" t="str">
        <x:v>$/units/19/def</x:v>
      </x:c>
      <x:c r="C585" s="21" t="str">
        <x:v>int</x:v>
      </x:c>
      <x:c r="D585" s="21" t="str">
        <x:v>6</x:v>
      </x:c>
    </x:row>
    <x:row r="586" ht="22" customHeight="1">
      <x:c r="A586" s="21" t="str">
        <x:v>data/units/race_units.json</x:v>
      </x:c>
      <x:c r="B586" s="21" t="str">
        <x:v>$/units/19/attack_speed</x:v>
      </x:c>
      <x:c r="C586" s="21" t="str">
        <x:v>float</x:v>
      </x:c>
      <x:c r="D586" s="21" t="str">
        <x:v>1.1</x:v>
      </x:c>
    </x:row>
    <x:row r="587" ht="22" customHeight="1">
      <x:c r="A587" s="21" t="str">
        <x:v>data/units/race_units.json</x:v>
      </x:c>
      <x:c r="B587" s="21" t="str">
        <x:v>$/units/19/range</x:v>
      </x:c>
      <x:c r="C587" s="21" t="str">
        <x:v>int</x:v>
      </x:c>
      <x:c r="D587" s="21" t="str">
        <x:v>4</x:v>
      </x:c>
    </x:row>
    <x:row r="588" ht="22" customHeight="1">
      <x:c r="A588" s="21" t="str">
        <x:v>data/units/race_units.json</x:v>
      </x:c>
      <x:c r="B588" s="21" t="str">
        <x:v>$/units/19/move_speed</x:v>
      </x:c>
      <x:c r="C588" s="21" t="str">
        <x:v>float</x:v>
      </x:c>
      <x:c r="D588" s="21" t="str">
        <x:v>3.25</x:v>
      </x:c>
    </x:row>
    <x:row r="589" ht="22" customHeight="1">
      <x:c r="A589" s="21" t="str">
        <x:v>data/units/race_units.json</x:v>
      </x:c>
      <x:c r="B589" s="21" t="str">
        <x:v>$/units/19/crit</x:v>
      </x:c>
      <x:c r="C589" s="21" t="str">
        <x:v>float</x:v>
      </x:c>
      <x:c r="D589" s="21" t="str">
        <x:v>0.15</x:v>
      </x:c>
    </x:row>
    <x:row r="590" ht="22" customHeight="1">
      <x:c r="A590" s="21" t="str">
        <x:v>data/units/race_units.json</x:v>
      </x:c>
      <x:c r="B590" s="21" t="str">
        <x:v>$/units/19/crit_dmg</x:v>
      </x:c>
      <x:c r="C590" s="21" t="str">
        <x:v>float</x:v>
      </x:c>
      <x:c r="D590" s="21" t="str">
        <x:v>1.6</x:v>
      </x:c>
    </x:row>
    <x:row r="591" ht="22" customHeight="1">
      <x:c r="A591" s="21" t="str">
        <x:v>data/units/race_units.json</x:v>
      </x:c>
      <x:c r="B591" s="21" t="str">
        <x:v>$/units/19/skill_id</x:v>
      </x:c>
      <x:c r="C591" s="21" t="str">
        <x:v>string</x:v>
      </x:c>
      <x:c r="D591" s="21" t="str">
        <x:v>"defense_down_attack"</x:v>
      </x:c>
    </x:row>
    <x:row r="592" ht="22" customHeight="1">
      <x:c r="A592" s="21" t="str">
        <x:v>data/units/race_units.json</x:v>
      </x:c>
      <x:c r="B592" s="21" t="str">
        <x:v>$/units/19/def_down_pct</x:v>
      </x:c>
      <x:c r="C592" s="21" t="str">
        <x:v>float</x:v>
      </x:c>
      <x:c r="D592" s="21" t="str">
        <x:v>0.3</x:v>
      </x:c>
    </x:row>
    <x:row r="593" ht="22" customHeight="1">
      <x:c r="A593" s="21" t="str">
        <x:v>data/units/race_units.json</x:v>
      </x:c>
      <x:c r="B593" s="21" t="str">
        <x:v>$/units/19/duration</x:v>
      </x:c>
      <x:c r="C593" s="21" t="str">
        <x:v>float</x:v>
      </x:c>
      <x:c r="D593" s="21" t="str">
        <x:v>5.0</x:v>
      </x:c>
    </x:row>
    <x:row r="594" ht="22" customHeight="1">
      <x:c r="A594" s="21" t="str">
        <x:v>data/units/race_units.json</x:v>
      </x:c>
      <x:c r="B594" s="21" t="str">
        <x:v>$/units/19/model</x:v>
      </x:c>
      <x:c r="C594" s="21" t="str">
        <x:v>string</x:v>
      </x:c>
      <x:c r="D594" s="21" t="str">
        <x:v>"res://assets/models/units/undead_refined/undead_spike/undead_spike_refined.tscn"</x:v>
      </x:c>
    </x:row>
    <x:row r="595" ht="22" customHeight="1">
      <x:c r="A595" s="21" t="str">
        <x:v>data/units/race_units.json</x:v>
      </x:c>
      <x:c r="B595" s="21" t="str">
        <x:v>$/units/19/model_visual_scale</x:v>
      </x:c>
      <x:c r="C595" s="21" t="str">
        <x:v>int</x:v>
      </x:c>
      <x:c r="D595" s="21" t="str">
        <x:v>1</x:v>
      </x:c>
    </x:row>
    <x:row r="596" ht="22" customHeight="1">
      <x:c r="A596" s="21" t="str">
        <x:v>data/units/race_units.json</x:v>
      </x:c>
      <x:c r="B596" s="21" t="str">
        <x:v>$/units/19/model_base_yaw</x:v>
      </x:c>
      <x:c r="C596" s="21" t="str">
        <x:v>int</x:v>
      </x:c>
      <x:c r="D596" s="21" t="str">
        <x:v>180</x:v>
      </x:c>
    </x:row>
    <x:row r="597" ht="22" customHeight="1">
      <x:c r="A597" s="21" t="str">
        <x:v>data/units/race_units.json</x:v>
      </x:c>
      <x:c r="B597" s="21" t="str">
        <x:v>$/units/19/name_en</x:v>
      </x:c>
      <x:c r="C597" s="21" t="str">
        <x:v>string</x:v>
      </x:c>
      <x:c r="D597" s="21" t="str">
        <x:v>"Spike Wisp"</x:v>
      </x:c>
    </x:row>
    <x:row r="598" ht="22" customHeight="1">
      <x:c r="A598" s="21" t="str">
        <x:v>data/units/race_units.json</x:v>
      </x:c>
      <x:c r="B598" s="21" t="str">
        <x:v>$/units/20</x:v>
      </x:c>
      <x:c r="C598" s="21" t="str">
        <x:v>object</x:v>
      </x:c>
      <x:c r="D598" s="21" t="str"/>
    </x:row>
    <x:row r="599" ht="22" customHeight="1">
      <x:c r="A599" s="21" t="str">
        <x:v>data/units/race_units.json</x:v>
      </x:c>
      <x:c r="B599" s="21" t="str">
        <x:v>$/units/20/id</x:v>
      </x:c>
      <x:c r="C599" s="21" t="str">
        <x:v>string</x:v>
      </x:c>
      <x:c r="D599" s="21" t="str">
        <x:v>"undead_fly"</x:v>
      </x:c>
    </x:row>
    <x:row r="600" ht="22" customHeight="1">
      <x:c r="A600" s="21" t="str">
        <x:v>data/units/race_units.json</x:v>
      </x:c>
      <x:c r="B600" s="21" t="str">
        <x:v>$/units/20/model_in_place_actions</x:v>
      </x:c>
      <x:c r="C600" s="21" t="str">
        <x:v>array</x:v>
      </x:c>
      <x:c r="D600" s="21" t="str"/>
    </x:row>
    <x:row r="601" ht="22" customHeight="1">
      <x:c r="A601" s="21" t="str">
        <x:v>data/units/race_units.json</x:v>
      </x:c>
      <x:c r="B601" s="21" t="str">
        <x:v>$/units/20/model_in_place_actions/0</x:v>
      </x:c>
      <x:c r="C601" s="21" t="str">
        <x:v>string</x:v>
      </x:c>
      <x:c r="D601" s="21" t="str">
        <x:v>"run"</x:v>
      </x:c>
    </x:row>
    <x:row r="602" ht="22" customHeight="1">
      <x:c r="A602" s="21" t="str">
        <x:v>data/units/race_units.json</x:v>
      </x:c>
      <x:c r="B602" s="21" t="str">
        <x:v>$/units/20/poison_pct_max_hp</x:v>
      </x:c>
      <x:c r="C602" s="21" t="str">
        <x:v>float</x:v>
      </x:c>
      <x:c r="D602" s="21" t="str">
        <x:v>0.03</x:v>
      </x:c>
    </x:row>
    <x:row r="603" ht="22" customHeight="1">
      <x:c r="A603" s="21" t="str">
        <x:v>data/units/race_units.json</x:v>
      </x:c>
      <x:c r="B603" s="21" t="str">
        <x:v>$/units/20/poison_duration</x:v>
      </x:c>
      <x:c r="C603" s="21" t="str">
        <x:v>int</x:v>
      </x:c>
      <x:c r="D603" s="21" t="str">
        <x:v>4</x:v>
      </x:c>
    </x:row>
    <x:row r="604" ht="22" customHeight="1">
      <x:c r="A604" s="21" t="str">
        <x:v>data/units/race_units.json</x:v>
      </x:c>
      <x:c r="B604" s="21" t="str">
        <x:v>$/units/20/star4</x:v>
      </x:c>
      <x:c r="C604" s="21" t="str">
        <x:v>object</x:v>
      </x:c>
      <x:c r="D604" s="21" t="str"/>
    </x:row>
    <x:row r="605" ht="22" customHeight="1">
      <x:c r="A605" s="21" t="str">
        <x:v>data/units/race_units.json</x:v>
      </x:c>
      <x:c r="B605" s="21" t="str">
        <x:v>$/units/20/star4/poison_pct_max_hp</x:v>
      </x:c>
      <x:c r="C605" s="21" t="str">
        <x:v>float</x:v>
      </x:c>
      <x:c r="D605" s="21" t="str">
        <x:v>0.06</x:v>
      </x:c>
    </x:row>
    <x:row r="606" ht="22" customHeight="1">
      <x:c r="A606" s="21" t="str">
        <x:v>data/units/race_units.json</x:v>
      </x:c>
      <x:c r="B606" s="21" t="str">
        <x:v>$/units/20/star4/poison_duration</x:v>
      </x:c>
      <x:c r="C606" s="21" t="str">
        <x:v>int</x:v>
      </x:c>
      <x:c r="D606" s="21" t="str">
        <x:v>6</x:v>
      </x:c>
    </x:row>
    <x:row r="607" ht="22" customHeight="1">
      <x:c r="A607" s="21" t="str">
        <x:v>data/units/race_units.json</x:v>
      </x:c>
      <x:c r="B607" s="21" t="str">
        <x:v>$/units/20/star4/dodge</x:v>
      </x:c>
      <x:c r="C607" s="21" t="str">
        <x:v>float</x:v>
      </x:c>
      <x:c r="D607" s="21" t="str">
        <x:v>0.4</x:v>
      </x:c>
    </x:row>
    <x:row r="608" ht="22" customHeight="1">
      <x:c r="A608" s="21" t="str">
        <x:v>data/units/race_units.json</x:v>
      </x:c>
      <x:c r="B608" s="21" t="str">
        <x:v>$/units/20/name</x:v>
      </x:c>
      <x:c r="C608" s="21" t="str">
        <x:v>string</x:v>
      </x:c>
      <x:c r="D608" s="21" t="str">
        <x:v>"飞灵"</x:v>
      </x:c>
    </x:row>
    <x:row r="609" ht="22" customHeight="1">
      <x:c r="A609" s="21" t="str">
        <x:v>data/units/race_units.json</x:v>
      </x:c>
      <x:c r="B609" s="21" t="str">
        <x:v>$/units/20/race</x:v>
      </x:c>
      <x:c r="C609" s="21" t="str">
        <x:v>string</x:v>
      </x:c>
      <x:c r="D609" s="21" t="str">
        <x:v>"undead"</x:v>
      </x:c>
    </x:row>
    <x:row r="610" ht="22" customHeight="1">
      <x:c r="A610" s="21" t="str">
        <x:v>data/units/race_units.json</x:v>
      </x:c>
      <x:c r="B610" s="21" t="str">
        <x:v>$/units/20/element</x:v>
      </x:c>
      <x:c r="C610" s="21" t="str">
        <x:v>string</x:v>
      </x:c>
      <x:c r="D610" s="21" t="str">
        <x:v>"sky"</x:v>
      </x:c>
    </x:row>
    <x:row r="611" ht="22" customHeight="1">
      <x:c r="A611" s="21" t="str">
        <x:v>data/units/race_units.json</x:v>
      </x:c>
      <x:c r="B611" s="21" t="str">
        <x:v>$/units/20/tier</x:v>
      </x:c>
      <x:c r="C611" s="21" t="str">
        <x:v>int</x:v>
      </x:c>
      <x:c r="D611" s="21" t="str">
        <x:v>2</x:v>
      </x:c>
    </x:row>
    <x:row r="612" ht="22" customHeight="1">
      <x:c r="A612" s="21" t="str">
        <x:v>data/units/race_units.json</x:v>
      </x:c>
      <x:c r="B612" s="21" t="str">
        <x:v>$/units/20/cost</x:v>
      </x:c>
      <x:c r="C612" s="21" t="str">
        <x:v>int</x:v>
      </x:c>
      <x:c r="D612" s="21" t="str">
        <x:v>30</x:v>
      </x:c>
    </x:row>
    <x:row r="613" ht="22" customHeight="1">
      <x:c r="A613" s="21" t="str">
        <x:v>data/units/race_units.json</x:v>
      </x:c>
      <x:c r="B613" s="21" t="str">
        <x:v>$/units/20/hp</x:v>
      </x:c>
      <x:c r="C613" s="21" t="str">
        <x:v>int</x:v>
      </x:c>
      <x:c r="D613" s="21" t="str">
        <x:v>760</x:v>
      </x:c>
    </x:row>
    <x:row r="614" ht="22" customHeight="1">
      <x:c r="A614" s="21" t="str">
        <x:v>data/units/race_units.json</x:v>
      </x:c>
      <x:c r="B614" s="21" t="str">
        <x:v>$/units/20/atk</x:v>
      </x:c>
      <x:c r="C614" s="21" t="str">
        <x:v>int</x:v>
      </x:c>
      <x:c r="D614" s="21" t="str">
        <x:v>66</x:v>
      </x:c>
    </x:row>
    <x:row r="615" ht="22" customHeight="1">
      <x:c r="A615" s="21" t="str">
        <x:v>data/units/race_units.json</x:v>
      </x:c>
      <x:c r="B615" s="21" t="str">
        <x:v>$/units/20/def</x:v>
      </x:c>
      <x:c r="C615" s="21" t="str">
        <x:v>int</x:v>
      </x:c>
      <x:c r="D615" s="21" t="str">
        <x:v>4</x:v>
      </x:c>
    </x:row>
    <x:row r="616" ht="22" customHeight="1">
      <x:c r="A616" s="21" t="str">
        <x:v>data/units/race_units.json</x:v>
      </x:c>
      <x:c r="B616" s="21" t="str">
        <x:v>$/units/20/attack_speed</x:v>
      </x:c>
      <x:c r="C616" s="21" t="str">
        <x:v>float</x:v>
      </x:c>
      <x:c r="D616" s="21" t="str">
        <x:v>1.2</x:v>
      </x:c>
    </x:row>
    <x:row r="617" ht="22" customHeight="1">
      <x:c r="A617" s="21" t="str">
        <x:v>data/units/race_units.json</x:v>
      </x:c>
      <x:c r="B617" s="21" t="str">
        <x:v>$/units/20/range</x:v>
      </x:c>
      <x:c r="C617" s="21" t="str">
        <x:v>int</x:v>
      </x:c>
      <x:c r="D617" s="21" t="str">
        <x:v>1</x:v>
      </x:c>
    </x:row>
    <x:row r="618" ht="22" customHeight="1">
      <x:c r="A618" s="21" t="str">
        <x:v>data/units/race_units.json</x:v>
      </x:c>
      <x:c r="B618" s="21" t="str">
        <x:v>$/units/20/move_speed</x:v>
      </x:c>
      <x:c r="C618" s="21" t="str">
        <x:v>float</x:v>
      </x:c>
      <x:c r="D618" s="21" t="str">
        <x:v>3.55</x:v>
      </x:c>
    </x:row>
    <x:row r="619" ht="22" customHeight="1">
      <x:c r="A619" s="21" t="str">
        <x:v>data/units/race_units.json</x:v>
      </x:c>
      <x:c r="B619" s="21" t="str">
        <x:v>$/units/20/crit</x:v>
      </x:c>
      <x:c r="C619" s="21" t="str">
        <x:v>float</x:v>
      </x:c>
      <x:c r="D619" s="21" t="str">
        <x:v>0.1</x:v>
      </x:c>
    </x:row>
    <x:row r="620" ht="22" customHeight="1">
      <x:c r="A620" s="21" t="str">
        <x:v>data/units/race_units.json</x:v>
      </x:c>
      <x:c r="B620" s="21" t="str">
        <x:v>$/units/20/crit_dmg</x:v>
      </x:c>
      <x:c r="C620" s="21" t="str">
        <x:v>float</x:v>
      </x:c>
      <x:c r="D620" s="21" t="str">
        <x:v>1.6</x:v>
      </x:c>
    </x:row>
    <x:row r="621" ht="22" customHeight="1">
      <x:c r="A621" s="21" t="str">
        <x:v>data/units/race_units.json</x:v>
      </x:c>
      <x:c r="B621" s="21" t="str">
        <x:v>$/units/20/dodge</x:v>
      </x:c>
      <x:c r="C621" s="21" t="str">
        <x:v>float</x:v>
      </x:c>
      <x:c r="D621" s="21" t="str">
        <x:v>0.25</x:v>
      </x:c>
    </x:row>
    <x:row r="622" ht="22" customHeight="1">
      <x:c r="A622" s="21" t="str">
        <x:v>data/units/race_units.json</x:v>
      </x:c>
      <x:c r="B622" s="21" t="str">
        <x:v>$/units/20/skill_id</x:v>
      </x:c>
      <x:c r="C622" s="21" t="str">
        <x:v>string</x:v>
      </x:c>
      <x:c r="D622" s="21" t="str">
        <x:v>"poison_attack"</x:v>
      </x:c>
    </x:row>
    <x:row r="623" ht="22" customHeight="1">
      <x:c r="A623" s="21" t="str">
        <x:v>data/units/race_units.json</x:v>
      </x:c>
      <x:c r="B623" s="21" t="str">
        <x:v>$/units/20/model</x:v>
      </x:c>
      <x:c r="C623" s="21" t="str">
        <x:v>string</x:v>
      </x:c>
      <x:c r="D623" s="21" t="str">
        <x:v>"res://assets/models/units/undead_refined/undead_fly/undead_fly_refined.tscn"</x:v>
      </x:c>
    </x:row>
    <x:row r="624" ht="22" customHeight="1">
      <x:c r="A624" s="21" t="str">
        <x:v>data/units/race_units.json</x:v>
      </x:c>
      <x:c r="B624" s="21" t="str">
        <x:v>$/units/20/model_visual_scale</x:v>
      </x:c>
      <x:c r="C624" s="21" t="str">
        <x:v>int</x:v>
      </x:c>
      <x:c r="D624" s="21" t="str">
        <x:v>1</x:v>
      </x:c>
    </x:row>
    <x:row r="625" ht="22" customHeight="1">
      <x:c r="A625" s="21" t="str">
        <x:v>data/units/race_units.json</x:v>
      </x:c>
      <x:c r="B625" s="21" t="str">
        <x:v>$/units/20/model_base_yaw</x:v>
      </x:c>
      <x:c r="C625" s="21" t="str">
        <x:v>int</x:v>
      </x:c>
      <x:c r="D625" s="21" t="str">
        <x:v>180</x:v>
      </x:c>
    </x:row>
    <x:row r="626" ht="22" customHeight="1">
      <x:c r="A626" s="21" t="str">
        <x:v>data/units/race_units.json</x:v>
      </x:c>
      <x:c r="B626" s="21" t="str">
        <x:v>$/units/20/name_en</x:v>
      </x:c>
      <x:c r="C626" s="21" t="str">
        <x:v>string</x:v>
      </x:c>
      <x:c r="D626" s="21" t="str">
        <x:v>"Fly Wisp"</x:v>
      </x:c>
    </x:row>
    <x:row r="627" ht="22" customHeight="1">
      <x:c r="A627" s="21" t="str">
        <x:v>data/units/race_units.json</x:v>
      </x:c>
      <x:c r="B627" s="21" t="str">
        <x:v>$/units/21</x:v>
      </x:c>
      <x:c r="C627" s="21" t="str">
        <x:v>object</x:v>
      </x:c>
      <x:c r="D627" s="21" t="str"/>
    </x:row>
    <x:row r="628" ht="22" customHeight="1">
      <x:c r="A628" s="21" t="str">
        <x:v>data/units/race_units.json</x:v>
      </x:c>
      <x:c r="B628" s="21" t="str">
        <x:v>$/units/21/id</x:v>
      </x:c>
      <x:c r="C628" s="21" t="str">
        <x:v>string</x:v>
      </x:c>
      <x:c r="D628" s="21" t="str">
        <x:v>"undead_bomb"</x:v>
      </x:c>
    </x:row>
    <x:row r="629" ht="22" customHeight="1">
      <x:c r="A629" s="21" t="str">
        <x:v>data/units/race_units.json</x:v>
      </x:c>
      <x:c r="B629" s="21" t="str">
        <x:v>$/units/21/model_in_place_actions</x:v>
      </x:c>
      <x:c r="C629" s="21" t="str">
        <x:v>array</x:v>
      </x:c>
      <x:c r="D629" s="21" t="str"/>
    </x:row>
    <x:row r="630" ht="22" customHeight="1">
      <x:c r="A630" s="21" t="str">
        <x:v>data/units/race_units.json</x:v>
      </x:c>
      <x:c r="B630" s="21" t="str">
        <x:v>$/units/21/model_in_place_actions/0</x:v>
      </x:c>
      <x:c r="C630" s="21" t="str">
        <x:v>string</x:v>
      </x:c>
      <x:c r="D630" s="21" t="str">
        <x:v>"run"</x:v>
      </x:c>
    </x:row>
    <x:row r="631" ht="22" customHeight="1">
      <x:c r="A631" s="21" t="str">
        <x:v>data/units/race_units.json</x:v>
      </x:c>
      <x:c r="B631" s="21" t="str">
        <x:v>$/units/21/star4</x:v>
      </x:c>
      <x:c r="C631" s="21" t="str">
        <x:v>object</x:v>
      </x:c>
      <x:c r="D631" s="21" t="str"/>
    </x:row>
    <x:row r="632" ht="22" customHeight="1">
      <x:c r="A632" s="21" t="str">
        <x:v>data/units/race_units.json</x:v>
      </x:c>
      <x:c r="B632" s="21" t="str">
        <x:v>$/units/21/star4/damage_atk_pct</x:v>
      </x:c>
      <x:c r="C632" s="21" t="str">
        <x:v>int</x:v>
      </x:c>
      <x:c r="D632" s="21" t="str">
        <x:v>5</x:v>
      </x:c>
    </x:row>
    <x:row r="633" ht="22" customHeight="1">
      <x:c r="A633" s="21" t="str">
        <x:v>data/units/race_units.json</x:v>
      </x:c>
      <x:c r="B633" s="21" t="str">
        <x:v>$/units/21/name</x:v>
      </x:c>
      <x:c r="C633" s="21" t="str">
        <x:v>string</x:v>
      </x:c>
      <x:c r="D633" s="21" t="str">
        <x:v>"自爆灵"</x:v>
      </x:c>
    </x:row>
    <x:row r="634" ht="22" customHeight="1">
      <x:c r="A634" s="21" t="str">
        <x:v>data/units/race_units.json</x:v>
      </x:c>
      <x:c r="B634" s="21" t="str">
        <x:v>$/units/21/race</x:v>
      </x:c>
      <x:c r="C634" s="21" t="str">
        <x:v>string</x:v>
      </x:c>
      <x:c r="D634" s="21" t="str">
        <x:v>"undead"</x:v>
      </x:c>
    </x:row>
    <x:row r="635" ht="22" customHeight="1">
      <x:c r="A635" s="21" t="str">
        <x:v>data/units/race_units.json</x:v>
      </x:c>
      <x:c r="B635" s="21" t="str">
        <x:v>$/units/21/element</x:v>
      </x:c>
      <x:c r="C635" s="21" t="str">
        <x:v>string</x:v>
      </x:c>
      <x:c r="D635" s="21" t="str">
        <x:v>"ren"</x:v>
      </x:c>
    </x:row>
    <x:row r="636" ht="22" customHeight="1">
      <x:c r="A636" s="21" t="str">
        <x:v>data/units/race_units.json</x:v>
      </x:c>
      <x:c r="B636" s="21" t="str">
        <x:v>$/units/21/tier</x:v>
      </x:c>
      <x:c r="C636" s="21" t="str">
        <x:v>int</x:v>
      </x:c>
      <x:c r="D636" s="21" t="str">
        <x:v>2</x:v>
      </x:c>
    </x:row>
    <x:row r="637" ht="22" customHeight="1">
      <x:c r="A637" s="21" t="str">
        <x:v>data/units/race_units.json</x:v>
      </x:c>
      <x:c r="B637" s="21" t="str">
        <x:v>$/units/21/cost</x:v>
      </x:c>
      <x:c r="C637" s="21" t="str">
        <x:v>int</x:v>
      </x:c>
      <x:c r="D637" s="21" t="str">
        <x:v>30</x:v>
      </x:c>
    </x:row>
    <x:row r="638" ht="22" customHeight="1">
      <x:c r="A638" s="21" t="str">
        <x:v>data/units/race_units.json</x:v>
      </x:c>
      <x:c r="B638" s="21" t="str">
        <x:v>$/units/21/hp</x:v>
      </x:c>
      <x:c r="C638" s="21" t="str">
        <x:v>int</x:v>
      </x:c>
      <x:c r="D638" s="21" t="str">
        <x:v>600</x:v>
      </x:c>
    </x:row>
    <x:row r="639" ht="22" customHeight="1">
      <x:c r="A639" s="21" t="str">
        <x:v>data/units/race_units.json</x:v>
      </x:c>
      <x:c r="B639" s="21" t="str">
        <x:v>$/units/21/atk</x:v>
      </x:c>
      <x:c r="C639" s="21" t="str">
        <x:v>int</x:v>
      </x:c>
      <x:c r="D639" s="21" t="str">
        <x:v>145</x:v>
      </x:c>
    </x:row>
    <x:row r="640" ht="22" customHeight="1">
      <x:c r="A640" s="21" t="str">
        <x:v>data/units/race_units.json</x:v>
      </x:c>
      <x:c r="B640" s="21" t="str">
        <x:v>$/units/21/def</x:v>
      </x:c>
      <x:c r="C640" s="21" t="str">
        <x:v>int</x:v>
      </x:c>
      <x:c r="D640" s="21" t="str">
        <x:v>0</x:v>
      </x:c>
    </x:row>
    <x:row r="641" ht="22" customHeight="1">
      <x:c r="A641" s="21" t="str">
        <x:v>data/units/race_units.json</x:v>
      </x:c>
      <x:c r="B641" s="21" t="str">
        <x:v>$/units/21/attack_speed</x:v>
      </x:c>
      <x:c r="C641" s="21" t="str">
        <x:v>float</x:v>
      </x:c>
      <x:c r="D641" s="21" t="str">
        <x:v>0.7</x:v>
      </x:c>
    </x:row>
    <x:row r="642" ht="22" customHeight="1">
      <x:c r="A642" s="21" t="str">
        <x:v>data/units/race_units.json</x:v>
      </x:c>
      <x:c r="B642" s="21" t="str">
        <x:v>$/units/21/range</x:v>
      </x:c>
      <x:c r="C642" s="21" t="str">
        <x:v>int</x:v>
      </x:c>
      <x:c r="D642" s="21" t="str">
        <x:v>1</x:v>
      </x:c>
    </x:row>
    <x:row r="643" ht="22" customHeight="1">
      <x:c r="A643" s="21" t="str">
        <x:v>data/units/race_units.json</x:v>
      </x:c>
      <x:c r="B643" s="21" t="str">
        <x:v>$/units/21/move_speed</x:v>
      </x:c>
      <x:c r="C643" s="21" t="str">
        <x:v>float</x:v>
      </x:c>
      <x:c r="D643" s="21" t="str">
        <x:v>3.0</x:v>
      </x:c>
    </x:row>
    <x:row r="644" ht="22" customHeight="1">
      <x:c r="A644" s="21" t="str">
        <x:v>data/units/race_units.json</x:v>
      </x:c>
      <x:c r="B644" s="21" t="str">
        <x:v>$/units/21/crit</x:v>
      </x:c>
      <x:c r="C644" s="21" t="str">
        <x:v>float</x:v>
      </x:c>
      <x:c r="D644" s="21" t="str">
        <x:v>0.08</x:v>
      </x:c>
    </x:row>
    <x:row r="645" ht="22" customHeight="1">
      <x:c r="A645" s="21" t="str">
        <x:v>data/units/race_units.json</x:v>
      </x:c>
      <x:c r="B645" s="21" t="str">
        <x:v>$/units/21/crit_dmg</x:v>
      </x:c>
      <x:c r="C645" s="21" t="str">
        <x:v>float</x:v>
      </x:c>
      <x:c r="D645" s="21" t="str">
        <x:v>1.6</x:v>
      </x:c>
    </x:row>
    <x:row r="646" ht="22" customHeight="1">
      <x:c r="A646" s="21" t="str">
        <x:v>data/units/race_units.json</x:v>
      </x:c>
      <x:c r="B646" s="21" t="str">
        <x:v>$/units/21/skill_id</x:v>
      </x:c>
      <x:c r="C646" s="21" t="str">
        <x:v>string</x:v>
      </x:c>
      <x:c r="D646" s="21" t="str">
        <x:v>"death_poison_explosion"</x:v>
      </x:c>
    </x:row>
    <x:row r="647" ht="22" customHeight="1">
      <x:c r="A647" s="21" t="str">
        <x:v>data/units/race_units.json</x:v>
      </x:c>
      <x:c r="B647" s="21" t="str">
        <x:v>$/units/21/damage_atk_pct</x:v>
      </x:c>
      <x:c r="C647" s="21" t="str">
        <x:v>float</x:v>
      </x:c>
      <x:c r="D647" s="21" t="str">
        <x:v>2.5</x:v>
      </x:c>
    </x:row>
    <x:row r="648" ht="22" customHeight="1">
      <x:c r="A648" s="21" t="str">
        <x:v>data/units/race_units.json</x:v>
      </x:c>
      <x:c r="B648" s="21" t="str">
        <x:v>$/units/21/model</x:v>
      </x:c>
      <x:c r="C648" s="21" t="str">
        <x:v>string</x:v>
      </x:c>
      <x:c r="D648" s="21" t="str">
        <x:v>"res://assets/models/units/undead_refined/undead_bomb/undead_bomb_refined.tscn"</x:v>
      </x:c>
    </x:row>
    <x:row r="649" ht="22" customHeight="1">
      <x:c r="A649" s="21" t="str">
        <x:v>data/units/race_units.json</x:v>
      </x:c>
      <x:c r="B649" s="21" t="str">
        <x:v>$/units/21/model_visual_scale</x:v>
      </x:c>
      <x:c r="C649" s="21" t="str">
        <x:v>int</x:v>
      </x:c>
      <x:c r="D649" s="21" t="str">
        <x:v>1</x:v>
      </x:c>
    </x:row>
    <x:row r="650" ht="22" customHeight="1">
      <x:c r="A650" s="21" t="str">
        <x:v>data/units/race_units.json</x:v>
      </x:c>
      <x:c r="B650" s="21" t="str">
        <x:v>$/units/21/model_base_yaw</x:v>
      </x:c>
      <x:c r="C650" s="21" t="str">
        <x:v>int</x:v>
      </x:c>
      <x:c r="D650" s="21" t="str">
        <x:v>180</x:v>
      </x:c>
    </x:row>
    <x:row r="651" ht="22" customHeight="1">
      <x:c r="A651" s="21" t="str">
        <x:v>data/units/race_units.json</x:v>
      </x:c>
      <x:c r="B651" s="21" t="str">
        <x:v>$/units/21/name_en</x:v>
      </x:c>
      <x:c r="C651" s="21" t="str">
        <x:v>string</x:v>
      </x:c>
      <x:c r="D651" s="21" t="str">
        <x:v>"Bomb Wisp"</x:v>
      </x:c>
    </x:row>
    <x:row r="652" ht="22" customHeight="1">
      <x:c r="A652" s="21" t="str">
        <x:v>data/units/race_units.json</x:v>
      </x:c>
      <x:c r="B652" s="21" t="str">
        <x:v>$/units/22</x:v>
      </x:c>
      <x:c r="C652" s="21" t="str">
        <x:v>object</x:v>
      </x:c>
      <x:c r="D652" s="21" t="str"/>
    </x:row>
    <x:row r="653" ht="22" customHeight="1">
      <x:c r="A653" s="21" t="str">
        <x:v>data/units/race_units.json</x:v>
      </x:c>
      <x:c r="B653" s="21" t="str">
        <x:v>$/units/22/id</x:v>
      </x:c>
      <x:c r="C653" s="21" t="str">
        <x:v>string</x:v>
      </x:c>
      <x:c r="D653" s="21" t="str">
        <x:v>"undead_titan"</x:v>
      </x:c>
    </x:row>
    <x:row r="654" ht="22" customHeight="1">
      <x:c r="A654" s="21" t="str">
        <x:v>data/units/race_units.json</x:v>
      </x:c>
      <x:c r="B654" s="21" t="str">
        <x:v>$/units/22/armor_per_hit_pct</x:v>
      </x:c>
      <x:c r="C654" s="21" t="str">
        <x:v>float</x:v>
      </x:c>
      <x:c r="D654" s="21" t="str">
        <x:v>0.14</x:v>
      </x:c>
    </x:row>
    <x:row r="655" ht="22" customHeight="1">
      <x:c r="A655" s="21" t="str">
        <x:v>data/units/race_units.json</x:v>
      </x:c>
      <x:c r="B655" s="21" t="str">
        <x:v>$/units/22/star4</x:v>
      </x:c>
      <x:c r="C655" s="21" t="str">
        <x:v>object</x:v>
      </x:c>
      <x:c r="D655" s="21" t="str"/>
    </x:row>
    <x:row r="656" ht="22" customHeight="1">
      <x:c r="A656" s="21" t="str">
        <x:v>data/units/race_units.json</x:v>
      </x:c>
      <x:c r="B656" s="21" t="str">
        <x:v>$/units/22/star4/armor_per_hit_pct</x:v>
      </x:c>
      <x:c r="C656" s="21" t="str">
        <x:v>float</x:v>
      </x:c>
      <x:c r="D656" s="21" t="str">
        <x:v>0.28</x:v>
      </x:c>
    </x:row>
    <x:row r="657" ht="22" customHeight="1">
      <x:c r="A657" s="21" t="str">
        <x:v>data/units/race_units.json</x:v>
      </x:c>
      <x:c r="B657" s="21" t="str">
        <x:v>$/units/22/star4/reflect_taken_damage_pct</x:v>
      </x:c>
      <x:c r="C657" s="21" t="str">
        <x:v>float</x:v>
      </x:c>
      <x:c r="D657" s="21" t="str">
        <x:v>0.3</x:v>
      </x:c>
    </x:row>
    <x:row r="658" ht="22" customHeight="1">
      <x:c r="A658" s="21" t="str">
        <x:v>data/units/race_units.json</x:v>
      </x:c>
      <x:c r="B658" s="21" t="str">
        <x:v>$/units/22/name</x:v>
      </x:c>
      <x:c r="C658" s="21" t="str">
        <x:v>string</x:v>
      </x:c>
      <x:c r="D658" s="21" t="str">
        <x:v>"巨甲灵"</x:v>
      </x:c>
    </x:row>
    <x:row r="659" ht="22" customHeight="1">
      <x:c r="A659" s="21" t="str">
        <x:v>data/units/race_units.json</x:v>
      </x:c>
      <x:c r="B659" s="21" t="str">
        <x:v>$/units/22/race</x:v>
      </x:c>
      <x:c r="C659" s="21" t="str">
        <x:v>string</x:v>
      </x:c>
      <x:c r="D659" s="21" t="str">
        <x:v>"undead"</x:v>
      </x:c>
    </x:row>
    <x:row r="660" ht="22" customHeight="1">
      <x:c r="A660" s="21" t="str">
        <x:v>data/units/race_units.json</x:v>
      </x:c>
      <x:c r="B660" s="21" t="str">
        <x:v>$/units/22/element</x:v>
      </x:c>
      <x:c r="C660" s="21" t="str">
        <x:v>string</x:v>
      </x:c>
      <x:c r="D660" s="21" t="str">
        <x:v>"land"</x:v>
      </x:c>
    </x:row>
    <x:row r="661" ht="22" customHeight="1">
      <x:c r="A661" s="21" t="str">
        <x:v>data/units/race_units.json</x:v>
      </x:c>
      <x:c r="B661" s="21" t="str">
        <x:v>$/units/22/tier</x:v>
      </x:c>
      <x:c r="C661" s="21" t="str">
        <x:v>int</x:v>
      </x:c>
      <x:c r="D661" s="21" t="str">
        <x:v>2</x:v>
      </x:c>
    </x:row>
    <x:row r="662" ht="22" customHeight="1">
      <x:c r="A662" s="21" t="str">
        <x:v>data/units/race_units.json</x:v>
      </x:c>
      <x:c r="B662" s="21" t="str">
        <x:v>$/units/22/cost</x:v>
      </x:c>
      <x:c r="C662" s="21" t="str">
        <x:v>int</x:v>
      </x:c>
      <x:c r="D662" s="21" t="str">
        <x:v>30</x:v>
      </x:c>
    </x:row>
    <x:row r="663" ht="22" customHeight="1">
      <x:c r="A663" s="21" t="str">
        <x:v>data/units/race_units.json</x:v>
      </x:c>
      <x:c r="B663" s="21" t="str">
        <x:v>$/units/22/hp</x:v>
      </x:c>
      <x:c r="C663" s="21" t="str">
        <x:v>int</x:v>
      </x:c>
      <x:c r="D663" s="21" t="str">
        <x:v>1500</x:v>
      </x:c>
    </x:row>
    <x:row r="664" ht="22" customHeight="1">
      <x:c r="A664" s="21" t="str">
        <x:v>data/units/race_units.json</x:v>
      </x:c>
      <x:c r="B664" s="21" t="str">
        <x:v>$/units/22/atk</x:v>
      </x:c>
      <x:c r="C664" s="21" t="str">
        <x:v>int</x:v>
      </x:c>
      <x:c r="D664" s="21" t="str">
        <x:v>50</x:v>
      </x:c>
    </x:row>
    <x:row r="665" ht="22" customHeight="1">
      <x:c r="A665" s="21" t="str">
        <x:v>data/units/race_units.json</x:v>
      </x:c>
      <x:c r="B665" s="21" t="str">
        <x:v>$/units/22/def</x:v>
      </x:c>
      <x:c r="C665" s="21" t="str">
        <x:v>int</x:v>
      </x:c>
      <x:c r="D665" s="21" t="str">
        <x:v>21</x:v>
      </x:c>
    </x:row>
    <x:row r="666" ht="22" customHeight="1">
      <x:c r="A666" s="21" t="str">
        <x:v>data/units/race_units.json</x:v>
      </x:c>
      <x:c r="B666" s="21" t="str">
        <x:v>$/units/22/attack_speed</x:v>
      </x:c>
      <x:c r="C666" s="21" t="str">
        <x:v>float</x:v>
      </x:c>
      <x:c r="D666" s="21" t="str">
        <x:v>0.9</x:v>
      </x:c>
    </x:row>
    <x:row r="667" ht="22" customHeight="1">
      <x:c r="A667" s="21" t="str">
        <x:v>data/units/race_units.json</x:v>
      </x:c>
      <x:c r="B667" s="21" t="str">
        <x:v>$/units/22/range</x:v>
      </x:c>
      <x:c r="C667" s="21" t="str">
        <x:v>int</x:v>
      </x:c>
      <x:c r="D667" s="21" t="str">
        <x:v>1</x:v>
      </x:c>
    </x:row>
    <x:row r="668" ht="22" customHeight="1">
      <x:c r="A668" s="21" t="str">
        <x:v>data/units/race_units.json</x:v>
      </x:c>
      <x:c r="B668" s="21" t="str">
        <x:v>$/units/22/move_speed</x:v>
      </x:c>
      <x:c r="C668" s="21" t="str">
        <x:v>float</x:v>
      </x:c>
      <x:c r="D668" s="21" t="str">
        <x:v>2.8</x:v>
      </x:c>
    </x:row>
    <x:row r="669" ht="22" customHeight="1">
      <x:c r="A669" s="21" t="str">
        <x:v>data/units/race_units.json</x:v>
      </x:c>
      <x:c r="B669" s="21" t="str">
        <x:v>$/units/22/crit</x:v>
      </x:c>
      <x:c r="C669" s="21" t="str">
        <x:v>float</x:v>
      </x:c>
      <x:c r="D669" s="21" t="str">
        <x:v>0.05</x:v>
      </x:c>
    </x:row>
    <x:row r="670" ht="22" customHeight="1">
      <x:c r="A670" s="21" t="str">
        <x:v>data/units/race_units.json</x:v>
      </x:c>
      <x:c r="B670" s="21" t="str">
        <x:v>$/units/22/crit_dmg</x:v>
      </x:c>
      <x:c r="C670" s="21" t="str">
        <x:v>float</x:v>
      </x:c>
      <x:c r="D670" s="21" t="str">
        <x:v>1.5</x:v>
      </x:c>
    </x:row>
    <x:row r="671" ht="22" customHeight="1">
      <x:c r="A671" s="21" t="str">
        <x:v>data/units/race_units.json</x:v>
      </x:c>
      <x:c r="B671" s="21" t="str">
        <x:v>$/units/22/skill_id</x:v>
      </x:c>
      <x:c r="C671" s="21" t="str">
        <x:v>string</x:v>
      </x:c>
      <x:c r="D671" s="21" t="str">
        <x:v>"poison_reflect_armor_stack"</x:v>
      </x:c>
    </x:row>
    <x:row r="672" ht="22" customHeight="1">
      <x:c r="A672" s="21" t="str">
        <x:v>data/units/race_units.json</x:v>
      </x:c>
      <x:c r="B672" s="21" t="str">
        <x:v>$/units/22/reflect_taken_damage_pct</x:v>
      </x:c>
      <x:c r="C672" s="21" t="str">
        <x:v>float</x:v>
      </x:c>
      <x:c r="D672" s="21" t="str">
        <x:v>0.15</x:v>
      </x:c>
    </x:row>
    <x:row r="673" ht="22" customHeight="1">
      <x:c r="A673" s="21" t="str">
        <x:v>data/units/race_units.json</x:v>
      </x:c>
      <x:c r="B673" s="21" t="str">
        <x:v>$/units/22/max_stacks</x:v>
      </x:c>
      <x:c r="C673" s="21" t="str">
        <x:v>int</x:v>
      </x:c>
      <x:c r="D673" s="21" t="str">
        <x:v>10</x:v>
      </x:c>
    </x:row>
    <x:row r="674" ht="22" customHeight="1">
      <x:c r="A674" s="21" t="str">
        <x:v>data/units/race_units.json</x:v>
      </x:c>
      <x:c r="B674" s="21" t="str">
        <x:v>$/units/22/model</x:v>
      </x:c>
      <x:c r="C674" s="21" t="str">
        <x:v>string</x:v>
      </x:c>
      <x:c r="D674" s="21" t="str">
        <x:v>"res://assets/models/units/undead_refined/undead_titan/undead_titan_refined.tscn"</x:v>
      </x:c>
    </x:row>
    <x:row r="675" ht="22" customHeight="1">
      <x:c r="A675" s="21" t="str">
        <x:v>data/units/race_units.json</x:v>
      </x:c>
      <x:c r="B675" s="21" t="str">
        <x:v>$/units/22/model_visual_scale</x:v>
      </x:c>
      <x:c r="C675" s="21" t="str">
        <x:v>int</x:v>
      </x:c>
      <x:c r="D675" s="21" t="str">
        <x:v>1</x:v>
      </x:c>
    </x:row>
    <x:row r="676" ht="22" customHeight="1">
      <x:c r="A676" s="21" t="str">
        <x:v>data/units/race_units.json</x:v>
      </x:c>
      <x:c r="B676" s="21" t="str">
        <x:v>$/units/22/model_base_yaw</x:v>
      </x:c>
      <x:c r="C676" s="21" t="str">
        <x:v>int</x:v>
      </x:c>
      <x:c r="D676" s="21" t="str">
        <x:v>180</x:v>
      </x:c>
    </x:row>
    <x:row r="677" ht="22" customHeight="1">
      <x:c r="A677" s="21" t="str">
        <x:v>data/units/race_units.json</x:v>
      </x:c>
      <x:c r="B677" s="21" t="str">
        <x:v>$/units/22/name_en</x:v>
      </x:c>
      <x:c r="C677" s="21" t="str">
        <x:v>string</x:v>
      </x:c>
      <x:c r="D677" s="21" t="str">
        <x:v>"Titan Wisp"</x:v>
      </x:c>
    </x:row>
    <x:row r="678" ht="22" customHeight="1">
      <x:c r="A678" s="21" t="str">
        <x:v>data/units/race_units.json</x:v>
      </x:c>
      <x:c r="B678" s="21" t="str">
        <x:v>$/units/23</x:v>
      </x:c>
      <x:c r="C678" s="21" t="str">
        <x:v>object</x:v>
      </x:c>
      <x:c r="D678" s="21" t="str"/>
    </x:row>
    <x:row r="679" ht="22" customHeight="1">
      <x:c r="A679" s="21" t="str">
        <x:v>data/units/race_units.json</x:v>
      </x:c>
      <x:c r="B679" s="21" t="str">
        <x:v>$/units/23/id</x:v>
      </x:c>
      <x:c r="C679" s="21" t="str">
        <x:v>string</x:v>
      </x:c>
      <x:c r="D679" s="21" t="str">
        <x:v>"undead_mother"</x:v>
      </x:c>
    </x:row>
    <x:row r="680" ht="22" customHeight="1">
      <x:c r="A680" s="21" t="str">
        <x:v>data/units/race_units.json</x:v>
      </x:c>
      <x:c r="B680" s="21" t="str">
        <x:v>$/units/23/star4</x:v>
      </x:c>
      <x:c r="C680" s="21" t="str">
        <x:v>object</x:v>
      </x:c>
      <x:c r="D680" s="21" t="str"/>
    </x:row>
    <x:row r="681" ht="22" customHeight="1">
      <x:c r="A681" s="21" t="str">
        <x:v>data/units/race_units.json</x:v>
      </x:c>
      <x:c r="B681" s="21" t="str">
        <x:v>$/units/23/star4/tier2_chance</x:v>
      </x:c>
      <x:c r="C681" s="21" t="str">
        <x:v>float</x:v>
      </x:c>
      <x:c r="D681" s="21" t="str">
        <x:v>0.35</x:v>
      </x:c>
    </x:row>
    <x:row r="682" ht="22" customHeight="1">
      <x:c r="A682" s="21" t="str">
        <x:v>data/units/race_units.json</x:v>
      </x:c>
      <x:c r="B682" s="21" t="str">
        <x:v>$/units/23/star4/death_threshold</x:v>
      </x:c>
      <x:c r="C682" s="21" t="str">
        <x:v>int</x:v>
      </x:c>
      <x:c r="D682" s="21" t="str">
        <x:v>4</x:v>
      </x:c>
    </x:row>
    <x:row r="683" ht="22" customHeight="1">
      <x:c r="A683" s="21" t="str">
        <x:v>data/units/race_units.json</x:v>
      </x:c>
      <x:c r="B683" s="21" t="str">
        <x:v>$/units/23/star4/boss_max_hp_damage</x:v>
      </x:c>
      <x:c r="C683" s="21" t="str">
        <x:v>float</x:v>
      </x:c>
      <x:c r="D683" s="21" t="str">
        <x:v>0.3</x:v>
      </x:c>
    </x:row>
    <x:row r="684" ht="22" customHeight="1">
      <x:c r="A684" s="21" t="str">
        <x:v>data/units/race_units.json</x:v>
      </x:c>
      <x:c r="B684" s="21" t="str">
        <x:v>$/units/23/star4/tier1_or_merc_chance</x:v>
      </x:c>
      <x:c r="C684" s="21" t="str">
        <x:v>float</x:v>
      </x:c>
      <x:c r="D684" s="21" t="str">
        <x:v>0.55</x:v>
      </x:c>
    </x:row>
    <x:row r="685" ht="22" customHeight="1">
      <x:c r="A685" s="21" t="str">
        <x:v>data/units/race_units.json</x:v>
      </x:c>
      <x:c r="B685" s="21" t="str">
        <x:v>$/units/23/name</x:v>
      </x:c>
      <x:c r="C685" s="21" t="str">
        <x:v>string</x:v>
      </x:c>
      <x:c r="D685" s="21" t="str">
        <x:v>"母灵"</x:v>
      </x:c>
    </x:row>
    <x:row r="686" ht="22" customHeight="1">
      <x:c r="A686" s="21" t="str">
        <x:v>data/units/race_units.json</x:v>
      </x:c>
      <x:c r="B686" s="21" t="str">
        <x:v>$/units/23/race</x:v>
      </x:c>
      <x:c r="C686" s="21" t="str">
        <x:v>string</x:v>
      </x:c>
      <x:c r="D686" s="21" t="str">
        <x:v>"undead"</x:v>
      </x:c>
    </x:row>
    <x:row r="687" ht="22" customHeight="1">
      <x:c r="A687" s="21" t="str">
        <x:v>data/units/race_units.json</x:v>
      </x:c>
      <x:c r="B687" s="21" t="str">
        <x:v>$/units/23/element</x:v>
      </x:c>
      <x:c r="C687" s="21" t="str">
        <x:v>string</x:v>
      </x:c>
      <x:c r="D687" s="21" t="str">
        <x:v>"land"</x:v>
      </x:c>
    </x:row>
    <x:row r="688" ht="22" customHeight="1">
      <x:c r="A688" s="21" t="str">
        <x:v>data/units/race_units.json</x:v>
      </x:c>
      <x:c r="B688" s="21" t="str">
        <x:v>$/units/23/tier</x:v>
      </x:c>
      <x:c r="C688" s="21" t="str">
        <x:v>int</x:v>
      </x:c>
      <x:c r="D688" s="21" t="str">
        <x:v>3</x:v>
      </x:c>
    </x:row>
    <x:row r="689" ht="22" customHeight="1">
      <x:c r="A689" s="21" t="str">
        <x:v>data/units/race_units.json</x:v>
      </x:c>
      <x:c r="B689" s="21" t="str">
        <x:v>$/units/23/cost</x:v>
      </x:c>
      <x:c r="C689" s="21" t="str">
        <x:v>int</x:v>
      </x:c>
      <x:c r="D689" s="21" t="str">
        <x:v>50</x:v>
      </x:c>
    </x:row>
    <x:row r="690" ht="22" customHeight="1">
      <x:c r="A690" s="21" t="str">
        <x:v>data/units/race_units.json</x:v>
      </x:c>
      <x:c r="B690" s="21" t="str">
        <x:v>$/units/23/hp</x:v>
      </x:c>
      <x:c r="C690" s="21" t="str">
        <x:v>int</x:v>
      </x:c>
      <x:c r="D690" s="21" t="str">
        <x:v>1600</x:v>
      </x:c>
    </x:row>
    <x:row r="691" ht="22" customHeight="1">
      <x:c r="A691" s="21" t="str">
        <x:v>data/units/race_units.json</x:v>
      </x:c>
      <x:c r="B691" s="21" t="str">
        <x:v>$/units/23/atk</x:v>
      </x:c>
      <x:c r="C691" s="21" t="str">
        <x:v>int</x:v>
      </x:c>
      <x:c r="D691" s="21" t="str">
        <x:v>110</x:v>
      </x:c>
    </x:row>
    <x:row r="692" ht="22" customHeight="1">
      <x:c r="A692" s="21" t="str">
        <x:v>data/units/race_units.json</x:v>
      </x:c>
      <x:c r="B692" s="21" t="str">
        <x:v>$/units/23/def</x:v>
      </x:c>
      <x:c r="C692" s="21" t="str">
        <x:v>int</x:v>
      </x:c>
      <x:c r="D692" s="21" t="str">
        <x:v>18</x:v>
      </x:c>
    </x:row>
    <x:row r="693" ht="22" customHeight="1">
      <x:c r="A693" s="21" t="str">
        <x:v>data/units/race_units.json</x:v>
      </x:c>
      <x:c r="B693" s="21" t="str">
        <x:v>$/units/23/attack_speed</x:v>
      </x:c>
      <x:c r="C693" s="21" t="str">
        <x:v>float</x:v>
      </x:c>
      <x:c r="D693" s="21" t="str">
        <x:v>0.82</x:v>
      </x:c>
    </x:row>
    <x:row r="694" ht="22" customHeight="1">
      <x:c r="A694" s="21" t="str">
        <x:v>data/units/race_units.json</x:v>
      </x:c>
      <x:c r="B694" s="21" t="str">
        <x:v>$/units/23/range</x:v>
      </x:c>
      <x:c r="C694" s="21" t="str">
        <x:v>int</x:v>
      </x:c>
      <x:c r="D694" s="21" t="str">
        <x:v>4</x:v>
      </x:c>
    </x:row>
    <x:row r="695" ht="22" customHeight="1">
      <x:c r="A695" s="21" t="str">
        <x:v>data/units/race_units.json</x:v>
      </x:c>
      <x:c r="B695" s="21" t="str">
        <x:v>$/units/23/move_speed</x:v>
      </x:c>
      <x:c r="C695" s="21" t="str">
        <x:v>float</x:v>
      </x:c>
      <x:c r="D695" s="21" t="str">
        <x:v>3.0</x:v>
      </x:c>
    </x:row>
    <x:row r="696" ht="22" customHeight="1">
      <x:c r="A696" s="21" t="str">
        <x:v>data/units/race_units.json</x:v>
      </x:c>
      <x:c r="B696" s="21" t="str">
        <x:v>$/units/23/crit</x:v>
      </x:c>
      <x:c r="C696" s="21" t="str">
        <x:v>float</x:v>
      </x:c>
      <x:c r="D696" s="21" t="str">
        <x:v>0.1</x:v>
      </x:c>
    </x:row>
    <x:row r="697" ht="22" customHeight="1">
      <x:c r="A697" s="21" t="str">
        <x:v>data/units/race_units.json</x:v>
      </x:c>
      <x:c r="B697" s="21" t="str">
        <x:v>$/units/23/crit_dmg</x:v>
      </x:c>
      <x:c r="C697" s="21" t="str">
        <x:v>float</x:v>
      </x:c>
      <x:c r="D697" s="21" t="str">
        <x:v>1.75</x:v>
      </x:c>
    </x:row>
    <x:row r="698" ht="22" customHeight="1">
      <x:c r="A698" s="21" t="str">
        <x:v>data/units/race_units.json</x:v>
      </x:c>
      <x:c r="B698" s="21" t="str">
        <x:v>$/units/23/skill_id</x:v>
      </x:c>
      <x:c r="C698" s="21" t="str">
        <x:v>string</x:v>
      </x:c>
      <x:c r="D698" s="21" t="str">
        <x:v>"unique_death_execute"</x:v>
      </x:c>
    </x:row>
    <x:row r="699" ht="22" customHeight="1">
      <x:c r="A699" s="21" t="str">
        <x:v>data/units/race_units.json</x:v>
      </x:c>
      <x:c r="B699" s="21" t="str">
        <x:v>$/units/23/death_threshold</x:v>
      </x:c>
      <x:c r="C699" s="21" t="str">
        <x:v>int</x:v>
      </x:c>
      <x:c r="D699" s="21" t="str">
        <x:v>5</x:v>
      </x:c>
    </x:row>
    <x:row r="700" ht="22" customHeight="1">
      <x:c r="A700" s="21" t="str">
        <x:v>data/units/race_units.json</x:v>
      </x:c>
      <x:c r="B700" s="21" t="str">
        <x:v>$/units/23/tier1_or_merc_chance</x:v>
      </x:c>
      <x:c r="C700" s="21" t="str">
        <x:v>float</x:v>
      </x:c>
      <x:c r="D700" s="21" t="str">
        <x:v>0.5</x:v>
      </x:c>
    </x:row>
    <x:row r="701" ht="22" customHeight="1">
      <x:c r="A701" s="21" t="str">
        <x:v>data/units/race_units.json</x:v>
      </x:c>
      <x:c r="B701" s="21" t="str">
        <x:v>$/units/23/tier2_chance</x:v>
      </x:c>
      <x:c r="C701" s="21" t="str">
        <x:v>float</x:v>
      </x:c>
      <x:c r="D701" s="21" t="str">
        <x:v>0.35</x:v>
      </x:c>
    </x:row>
    <x:row r="702" ht="22" customHeight="1">
      <x:c r="A702" s="21" t="str">
        <x:v>data/units/race_units.json</x:v>
      </x:c>
      <x:c r="B702" s="21" t="str">
        <x:v>$/units/23/tier3_chance</x:v>
      </x:c>
      <x:c r="C702" s="21" t="str">
        <x:v>float</x:v>
      </x:c>
      <x:c r="D702" s="21" t="str">
        <x:v>0.1</x:v>
      </x:c>
    </x:row>
    <x:row r="703" ht="22" customHeight="1">
      <x:c r="A703" s="21" t="str">
        <x:v>data/units/race_units.json</x:v>
      </x:c>
      <x:c r="B703" s="21" t="str">
        <x:v>$/units/23/boss_max_hp_damage</x:v>
      </x:c>
      <x:c r="C703" s="21" t="str">
        <x:v>float</x:v>
      </x:c>
      <x:c r="D703" s="21" t="str">
        <x:v>0.2</x:v>
      </x:c>
    </x:row>
    <x:row r="704" ht="22" customHeight="1">
      <x:c r="A704" s="21" t="str">
        <x:v>data/units/race_units.json</x:v>
      </x:c>
      <x:c r="B704" s="21" t="str">
        <x:v>$/units/23/unique_on_board</x:v>
      </x:c>
      <x:c r="C704" s="21" t="str">
        <x:v>bool</x:v>
      </x:c>
      <x:c r="D704" s="21" t="str">
        <x:v>true</x:v>
      </x:c>
    </x:row>
    <x:row r="705" ht="22" customHeight="1">
      <x:c r="A705" s="21" t="str">
        <x:v>data/units/race_units.json</x:v>
      </x:c>
      <x:c r="B705" s="21" t="str">
        <x:v>$/units/23/model</x:v>
      </x:c>
      <x:c r="C705" s="21" t="str">
        <x:v>string</x:v>
      </x:c>
      <x:c r="D705" s="21" t="str">
        <x:v>"res://assets/models/units/undead_refined/undead_mother/undead_mother_refined.tscn"</x:v>
      </x:c>
    </x:row>
    <x:row r="706" ht="22" customHeight="1">
      <x:c r="A706" s="21" t="str">
        <x:v>data/units/race_units.json</x:v>
      </x:c>
      <x:c r="B706" s="21" t="str">
        <x:v>$/units/23/model_visual_scale</x:v>
      </x:c>
      <x:c r="C706" s="21" t="str">
        <x:v>int</x:v>
      </x:c>
      <x:c r="D706" s="21" t="str">
        <x:v>1</x:v>
      </x:c>
    </x:row>
    <x:row r="707" ht="22" customHeight="1">
      <x:c r="A707" s="21" t="str">
        <x:v>data/units/race_units.json</x:v>
      </x:c>
      <x:c r="B707" s="21" t="str">
        <x:v>$/units/23/model_base_yaw</x:v>
      </x:c>
      <x:c r="C707" s="21" t="str">
        <x:v>int</x:v>
      </x:c>
      <x:c r="D707" s="21" t="str">
        <x:v>180</x:v>
      </x:c>
    </x:row>
    <x:row r="708" ht="22" customHeight="1">
      <x:c r="A708" s="21" t="str">
        <x:v>data/units/race_units.json</x:v>
      </x:c>
      <x:c r="B708" s="21" t="str">
        <x:v>$/units/23/name_en</x:v>
      </x:c>
      <x:c r="C708" s="21" t="str">
        <x:v>string</x:v>
      </x:c>
      <x:c r="D708" s="21" t="str">
        <x:v>"Matron"</x:v>
      </x:c>
    </x:row>
    <x:row r="709" ht="22" customHeight="1">
      <x:c r="A709" s="21" t="str">
        <x:v>data/units/race_units.json</x:v>
      </x:c>
      <x:c r="B709" s="21" t="str">
        <x:v>$/units/24</x:v>
      </x:c>
      <x:c r="C709" s="21" t="str">
        <x:v>object</x:v>
      </x:c>
      <x:c r="D709" s="21" t="str"/>
    </x:row>
    <x:row r="710" ht="22" customHeight="1">
      <x:c r="A710" s="21" t="str">
        <x:v>data/units/race_units.json</x:v>
      </x:c>
      <x:c r="B710" s="21" t="str">
        <x:v>$/units/24/id</x:v>
      </x:c>
      <x:c r="C710" s="21" t="str">
        <x:v>string</x:v>
      </x:c>
      <x:c r="D710" s="21" t="str">
        <x:v>"human_militia"</x:v>
      </x:c>
    </x:row>
    <x:row r="711" ht="22" customHeight="1">
      <x:c r="A711" s="21" t="str">
        <x:v>data/units/race_units.json</x:v>
      </x:c>
      <x:c r="B711" s="21" t="str">
        <x:v>$/units/24/model_in_place_actions</x:v>
      </x:c>
      <x:c r="C711" s="21" t="str">
        <x:v>array</x:v>
      </x:c>
      <x:c r="D711" s="21" t="str"/>
    </x:row>
    <x:row r="712" ht="22" customHeight="1">
      <x:c r="A712" s="21" t="str">
        <x:v>data/units/race_units.json</x:v>
      </x:c>
      <x:c r="B712" s="21" t="str">
        <x:v>$/units/24/model_in_place_actions/0</x:v>
      </x:c>
      <x:c r="C712" s="21" t="str">
        <x:v>string</x:v>
      </x:c>
      <x:c r="D712" s="21" t="str">
        <x:v>"run"</x:v>
      </x:c>
    </x:row>
    <x:row r="713" ht="22" customHeight="1">
      <x:c r="A713" s="21" t="str">
        <x:v>data/units/race_units.json</x:v>
      </x:c>
      <x:c r="B713" s="21" t="str">
        <x:v>$/units/24/star4</x:v>
      </x:c>
      <x:c r="C713" s="21" t="str">
        <x:v>object</x:v>
      </x:c>
      <x:c r="D713" s="21" t="str"/>
    </x:row>
    <x:row r="714" ht="22" customHeight="1">
      <x:c r="A714" s="21" t="str">
        <x:v>data/units/race_units.json</x:v>
      </x:c>
      <x:c r="B714" s="21" t="str">
        <x:v>$/units/24/star4/stun_sec</x:v>
      </x:c>
      <x:c r="C714" s="21" t="str">
        <x:v>float</x:v>
      </x:c>
      <x:c r="D714" s="21" t="str">
        <x:v>0.5</x:v>
      </x:c>
    </x:row>
    <x:row r="715" ht="22" customHeight="1">
      <x:c r="A715" s="21" t="str">
        <x:v>data/units/race_units.json</x:v>
      </x:c>
      <x:c r="B715" s="21" t="str">
        <x:v>$/units/24/star4/interrupt_chance</x:v>
      </x:c>
      <x:c r="C715" s="21" t="str">
        <x:v>float</x:v>
      </x:c>
      <x:c r="D715" s="21" t="str">
        <x:v>0.2</x:v>
      </x:c>
    </x:row>
    <x:row r="716" ht="22" customHeight="1">
      <x:c r="A716" s="21" t="str">
        <x:v>data/units/race_units.json</x:v>
      </x:c>
      <x:c r="B716" s="21" t="str">
        <x:v>$/units/24/name</x:v>
      </x:c>
      <x:c r="C716" s="21" t="str">
        <x:v>string</x:v>
      </x:c>
      <x:c r="D716" s="21" t="str">
        <x:v>"民兵"</x:v>
      </x:c>
    </x:row>
    <x:row r="717" ht="22" customHeight="1">
      <x:c r="A717" s="21" t="str">
        <x:v>data/units/race_units.json</x:v>
      </x:c>
      <x:c r="B717" s="21" t="str">
        <x:v>$/units/24/race</x:v>
      </x:c>
      <x:c r="C717" s="21" t="str">
        <x:v>string</x:v>
      </x:c>
      <x:c r="D717" s="21" t="str">
        <x:v>"human"</x:v>
      </x:c>
    </x:row>
    <x:row r="718" ht="22" customHeight="1">
      <x:c r="A718" s="21" t="str">
        <x:v>data/units/race_units.json</x:v>
      </x:c>
      <x:c r="B718" s="21" t="str">
        <x:v>$/units/24/element</x:v>
      </x:c>
      <x:c r="C718" s="21" t="str">
        <x:v>string</x:v>
      </x:c>
      <x:c r="D718" s="21" t="str">
        <x:v>"land"</x:v>
      </x:c>
    </x:row>
    <x:row r="719" ht="22" customHeight="1">
      <x:c r="A719" s="21" t="str">
        <x:v>data/units/race_units.json</x:v>
      </x:c>
      <x:c r="B719" s="21" t="str">
        <x:v>$/units/24/tier</x:v>
      </x:c>
      <x:c r="C719" s="21" t="str">
        <x:v>int</x:v>
      </x:c>
      <x:c r="D719" s="21" t="str">
        <x:v>1</x:v>
      </x:c>
    </x:row>
    <x:row r="720" ht="22" customHeight="1">
      <x:c r="A720" s="21" t="str">
        <x:v>data/units/race_units.json</x:v>
      </x:c>
      <x:c r="B720" s="21" t="str">
        <x:v>$/units/24/cost</x:v>
      </x:c>
      <x:c r="C720" s="21" t="str">
        <x:v>int</x:v>
      </x:c>
      <x:c r="D720" s="21" t="str">
        <x:v>20</x:v>
      </x:c>
    </x:row>
    <x:row r="721" ht="22" customHeight="1">
      <x:c r="A721" s="21" t="str">
        <x:v>data/units/race_units.json</x:v>
      </x:c>
      <x:c r="B721" s="21" t="str">
        <x:v>$/units/24/hp</x:v>
      </x:c>
      <x:c r="C721" s="21" t="str">
        <x:v>int</x:v>
      </x:c>
      <x:c r="D721" s="21" t="str">
        <x:v>600</x:v>
      </x:c>
    </x:row>
    <x:row r="722" ht="22" customHeight="1">
      <x:c r="A722" s="21" t="str">
        <x:v>data/units/race_units.json</x:v>
      </x:c>
      <x:c r="B722" s="21" t="str">
        <x:v>$/units/24/atk</x:v>
      </x:c>
      <x:c r="C722" s="21" t="str">
        <x:v>int</x:v>
      </x:c>
      <x:c r="D722" s="21" t="str">
        <x:v>35</x:v>
      </x:c>
    </x:row>
    <x:row r="723" ht="22" customHeight="1">
      <x:c r="A723" s="21" t="str">
        <x:v>data/units/race_units.json</x:v>
      </x:c>
      <x:c r="B723" s="21" t="str">
        <x:v>$/units/24/def</x:v>
      </x:c>
      <x:c r="C723" s="21" t="str">
        <x:v>int</x:v>
      </x:c>
      <x:c r="D723" s="21" t="str">
        <x:v>5</x:v>
      </x:c>
    </x:row>
    <x:row r="724" ht="22" customHeight="1">
      <x:c r="A724" s="21" t="str">
        <x:v>data/units/race_units.json</x:v>
      </x:c>
      <x:c r="B724" s="21" t="str">
        <x:v>$/units/24/attack_speed</x:v>
      </x:c>
      <x:c r="C724" s="21" t="str">
        <x:v>float</x:v>
      </x:c>
      <x:c r="D724" s="21" t="str">
        <x:v>1.0</x:v>
      </x:c>
    </x:row>
    <x:row r="725" ht="22" customHeight="1">
      <x:c r="A725" s="21" t="str">
        <x:v>data/units/race_units.json</x:v>
      </x:c>
      <x:c r="B725" s="21" t="str">
        <x:v>$/units/24/range</x:v>
      </x:c>
      <x:c r="C725" s="21" t="str">
        <x:v>int</x:v>
      </x:c>
      <x:c r="D725" s="21" t="str">
        <x:v>1</x:v>
      </x:c>
    </x:row>
    <x:row r="726" ht="22" customHeight="1">
      <x:c r="A726" s="21" t="str">
        <x:v>data/units/race_units.json</x:v>
      </x:c>
      <x:c r="B726" s="21" t="str">
        <x:v>$/units/24/move_speed</x:v>
      </x:c>
      <x:c r="C726" s="21" t="str">
        <x:v>float</x:v>
      </x:c>
      <x:c r="D726" s="21" t="str">
        <x:v>3.3</x:v>
      </x:c>
    </x:row>
    <x:row r="727" ht="22" customHeight="1">
      <x:c r="A727" s="21" t="str">
        <x:v>data/units/race_units.json</x:v>
      </x:c>
      <x:c r="B727" s="21" t="str">
        <x:v>$/units/24/crit</x:v>
      </x:c>
      <x:c r="C727" s="21" t="str">
        <x:v>float</x:v>
      </x:c>
      <x:c r="D727" s="21" t="str">
        <x:v>0.05</x:v>
      </x:c>
    </x:row>
    <x:row r="728" ht="22" customHeight="1">
      <x:c r="A728" s="21" t="str">
        <x:v>data/units/race_units.json</x:v>
      </x:c>
      <x:c r="B728" s="21" t="str">
        <x:v>$/units/24/crit_dmg</x:v>
      </x:c>
      <x:c r="C728" s="21" t="str">
        <x:v>float</x:v>
      </x:c>
      <x:c r="D728" s="21" t="str">
        <x:v>1.5</x:v>
      </x:c>
    </x:row>
    <x:row r="729" ht="22" customHeight="1">
      <x:c r="A729" s="21" t="str">
        <x:v>data/units/race_units.json</x:v>
      </x:c>
      <x:c r="B729" s="21" t="str">
        <x:v>$/units/24/skill_id</x:v>
      </x:c>
      <x:c r="C729" s="21" t="str">
        <x:v>string</x:v>
      </x:c>
      <x:c r="D729" s="21" t="str">
        <x:v>"attack_interrupt"</x:v>
      </x:c>
    </x:row>
    <x:row r="730" ht="22" customHeight="1">
      <x:c r="A730" s="21" t="str">
        <x:v>data/units/race_units.json</x:v>
      </x:c>
      <x:c r="B730" s="21" t="str">
        <x:v>$/units/24/interrupt_chance</x:v>
      </x:c>
      <x:c r="C730" s="21" t="str">
        <x:v>float</x:v>
      </x:c>
      <x:c r="D730" s="21" t="str">
        <x:v>0.12</x:v>
      </x:c>
    </x:row>
    <x:row r="731" ht="22" customHeight="1">
      <x:c r="A731" s="21" t="str">
        <x:v>data/units/race_units.json</x:v>
      </x:c>
      <x:c r="B731" s="21" t="str">
        <x:v>$/units/24/model</x:v>
      </x:c>
      <x:c r="C731" s="21" t="str">
        <x:v>string</x:v>
      </x:c>
      <x:c r="D731" s="21" t="str">
        <x:v>"res://assets/models/units/human_militia_little_knight/human_militia_animated.tscn"</x:v>
      </x:c>
    </x:row>
    <x:row r="732" ht="22" customHeight="1">
      <x:c r="A732" s="21" t="str">
        <x:v>data/units/race_units.json</x:v>
      </x:c>
      <x:c r="B732" s="21" t="str">
        <x:v>$/units/24/model_idle_animation_name</x:v>
      </x:c>
      <x:c r="C732" s="21" t="str">
        <x:v>string</x:v>
      </x:c>
      <x:c r="D732" s="21" t="str">
        <x:v>"idle"</x:v>
      </x:c>
    </x:row>
    <x:row r="733" ht="22" customHeight="1">
      <x:c r="A733" s="21" t="str">
        <x:v>data/units/race_units.json</x:v>
      </x:c>
      <x:c r="B733" s="21" t="str">
        <x:v>$/units/24/model_attack_animation_name</x:v>
      </x:c>
      <x:c r="C733" s="21" t="str">
        <x:v>string</x:v>
      </x:c>
      <x:c r="D733" s="21" t="str">
        <x:v>"attack"</x:v>
      </x:c>
    </x:row>
    <x:row r="734" ht="22" customHeight="1">
      <x:c r="A734" s="21" t="str">
        <x:v>data/units/race_units.json</x:v>
      </x:c>
      <x:c r="B734" s="21" t="str">
        <x:v>$/units/24/model_attack_sync_seek</x:v>
      </x:c>
      <x:c r="C734" s="21" t="str">
        <x:v>float</x:v>
      </x:c>
      <x:c r="D734" s="21" t="str">
        <x:v>0.18</x:v>
      </x:c>
    </x:row>
    <x:row r="735" ht="22" customHeight="1">
      <x:c r="A735" s="21" t="str">
        <x:v>data/units/race_units.json</x:v>
      </x:c>
      <x:c r="B735" s="21" t="str">
        <x:v>$/units/24/model_attack_lock_time</x:v>
      </x:c>
      <x:c r="C735" s="21" t="str">
        <x:v>float</x:v>
      </x:c>
      <x:c r="D735" s="21" t="str">
        <x:v>0.4</x:v>
      </x:c>
    </x:row>
    <x:row r="736" ht="22" customHeight="1">
      <x:c r="A736" s="21" t="str">
        <x:v>data/units/race_units.json</x:v>
      </x:c>
      <x:c r="B736" s="21" t="str">
        <x:v>$/units/24/model_run_animation_name</x:v>
      </x:c>
      <x:c r="C736" s="21" t="str">
        <x:v>string</x:v>
      </x:c>
      <x:c r="D736" s="21" t="str">
        <x:v>"run"</x:v>
      </x:c>
    </x:row>
    <x:row r="737" ht="22" customHeight="1">
      <x:c r="A737" s="21" t="str">
        <x:v>data/units/race_units.json</x:v>
      </x:c>
      <x:c r="B737" s="21" t="str">
        <x:v>$/units/24/model_visual_scale</x:v>
      </x:c>
      <x:c r="C737" s="21" t="str">
        <x:v>int</x:v>
      </x:c>
      <x:c r="D737" s="21" t="str">
        <x:v>1</x:v>
      </x:c>
    </x:row>
    <x:row r="738" ht="22" customHeight="1">
      <x:c r="A738" s="21" t="str">
        <x:v>data/units/race_units.json</x:v>
      </x:c>
      <x:c r="B738" s="21" t="str">
        <x:v>$/units/24/model_base_yaw</x:v>
      </x:c>
      <x:c r="C738" s="21" t="str">
        <x:v>int</x:v>
      </x:c>
      <x:c r="D738" s="21" t="str">
        <x:v>180</x:v>
      </x:c>
    </x:row>
    <x:row r="739" ht="22" customHeight="1">
      <x:c r="A739" s="21" t="str">
        <x:v>data/units/race_units.json</x:v>
      </x:c>
      <x:c r="B739" s="21" t="str">
        <x:v>$/units/24/name_en</x:v>
      </x:c>
      <x:c r="C739" s="21" t="str">
        <x:v>string</x:v>
      </x:c>
      <x:c r="D739" s="21" t="str">
        <x:v>"Militia"</x:v>
      </x:c>
    </x:row>
    <x:row r="740" ht="22" customHeight="1">
      <x:c r="A740" s="21" t="str">
        <x:v>data/units/race_units.json</x:v>
      </x:c>
      <x:c r="B740" s="21" t="str">
        <x:v>$/units/25</x:v>
      </x:c>
      <x:c r="C740" s="21" t="str">
        <x:v>object</x:v>
      </x:c>
      <x:c r="D740" s="21" t="str"/>
    </x:row>
    <x:row r="741" ht="22" customHeight="1">
      <x:c r="A741" s="21" t="str">
        <x:v>data/units/race_units.json</x:v>
      </x:c>
      <x:c r="B741" s="21" t="str">
        <x:v>$/units/25/id</x:v>
      </x:c>
      <x:c r="C741" s="21" t="str">
        <x:v>string</x:v>
      </x:c>
      <x:c r="D741" s="21" t="str">
        <x:v>"human_merchant"</x:v>
      </x:c>
    </x:row>
    <x:row r="742" ht="22" customHeight="1">
      <x:c r="A742" s="21" t="str">
        <x:v>data/units/race_units.json</x:v>
      </x:c>
      <x:c r="B742" s="21" t="str">
        <x:v>$/units/25/model_in_place_actions</x:v>
      </x:c>
      <x:c r="C742" s="21" t="str">
        <x:v>array</x:v>
      </x:c>
      <x:c r="D742" s="21" t="str"/>
    </x:row>
    <x:row r="743" ht="22" customHeight="1">
      <x:c r="A743" s="21" t="str">
        <x:v>data/units/race_units.json</x:v>
      </x:c>
      <x:c r="B743" s="21" t="str">
        <x:v>$/units/25/model_in_place_actions/0</x:v>
      </x:c>
      <x:c r="C743" s="21" t="str">
        <x:v>string</x:v>
      </x:c>
      <x:c r="D743" s="21" t="str">
        <x:v>"run"</x:v>
      </x:c>
    </x:row>
    <x:row r="744" ht="22" customHeight="1">
      <x:c r="A744" s="21" t="str">
        <x:v>data/units/race_units.json</x:v>
      </x:c>
      <x:c r="B744" s="21" t="str">
        <x:v>$/units/25/model_in_place_actions/1</x:v>
      </x:c>
      <x:c r="C744" s="21" t="str">
        <x:v>string</x:v>
      </x:c>
      <x:c r="D744" s="21" t="str">
        <x:v>"idle"</x:v>
      </x:c>
    </x:row>
    <x:row r="745" ht="22" customHeight="1">
      <x:c r="A745" s="21" t="str">
        <x:v>data/units/race_units.json</x:v>
      </x:c>
      <x:c r="B745" s="21" t="str">
        <x:v>$/units/25/name</x:v>
      </x:c>
      <x:c r="C745" s="21" t="str">
        <x:v>string</x:v>
      </x:c>
      <x:c r="D745" s="21" t="str">
        <x:v>"商人"</x:v>
      </x:c>
    </x:row>
    <x:row r="746" ht="22" customHeight="1">
      <x:c r="A746" s="21" t="str">
        <x:v>data/units/race_units.json</x:v>
      </x:c>
      <x:c r="B746" s="21" t="str">
        <x:v>$/units/25/race</x:v>
      </x:c>
      <x:c r="C746" s="21" t="str">
        <x:v>string</x:v>
      </x:c>
      <x:c r="D746" s="21" t="str">
        <x:v>"human"</x:v>
      </x:c>
    </x:row>
    <x:row r="747" ht="22" customHeight="1">
      <x:c r="A747" s="21" t="str">
        <x:v>data/units/race_units.json</x:v>
      </x:c>
      <x:c r="B747" s="21" t="str">
        <x:v>$/units/25/element</x:v>
      </x:c>
      <x:c r="C747" s="21" t="str">
        <x:v>string</x:v>
      </x:c>
      <x:c r="D747" s="21" t="str">
        <x:v>"ren"</x:v>
      </x:c>
    </x:row>
    <x:row r="748" ht="22" customHeight="1">
      <x:c r="A748" s="21" t="str">
        <x:v>data/units/race_units.json</x:v>
      </x:c>
      <x:c r="B748" s="21" t="str">
        <x:v>$/units/25/tier</x:v>
      </x:c>
      <x:c r="C748" s="21" t="str">
        <x:v>int</x:v>
      </x:c>
      <x:c r="D748" s="21" t="str">
        <x:v>1</x:v>
      </x:c>
    </x:row>
    <x:row r="749" ht="22" customHeight="1">
      <x:c r="A749" s="21" t="str">
        <x:v>data/units/race_units.json</x:v>
      </x:c>
      <x:c r="B749" s="21" t="str">
        <x:v>$/units/25/cost</x:v>
      </x:c>
      <x:c r="C749" s="21" t="str">
        <x:v>int</x:v>
      </x:c>
      <x:c r="D749" s="21" t="str">
        <x:v>20</x:v>
      </x:c>
    </x:row>
    <x:row r="750" ht="22" customHeight="1">
      <x:c r="A750" s="21" t="str">
        <x:v>data/units/race_units.json</x:v>
      </x:c>
      <x:c r="B750" s="21" t="str">
        <x:v>$/units/25/hp</x:v>
      </x:c>
      <x:c r="C750" s="21" t="str">
        <x:v>int</x:v>
      </x:c>
      <x:c r="D750" s="21" t="str">
        <x:v>560</x:v>
      </x:c>
    </x:row>
    <x:row r="751" ht="22" customHeight="1">
      <x:c r="A751" s="21" t="str">
        <x:v>data/units/race_units.json</x:v>
      </x:c>
      <x:c r="B751" s="21" t="str">
        <x:v>$/units/25/atk</x:v>
      </x:c>
      <x:c r="C751" s="21" t="str">
        <x:v>int</x:v>
      </x:c>
      <x:c r="D751" s="21" t="str">
        <x:v>29</x:v>
      </x:c>
    </x:row>
    <x:row r="752" ht="22" customHeight="1">
      <x:c r="A752" s="21" t="str">
        <x:v>data/units/race_units.json</x:v>
      </x:c>
      <x:c r="B752" s="21" t="str">
        <x:v>$/units/25/def</x:v>
      </x:c>
      <x:c r="C752" s="21" t="str">
        <x:v>int</x:v>
      </x:c>
      <x:c r="D752" s="21" t="str">
        <x:v>4</x:v>
      </x:c>
    </x:row>
    <x:row r="753" ht="22" customHeight="1">
      <x:c r="A753" s="21" t="str">
        <x:v>data/units/race_units.json</x:v>
      </x:c>
      <x:c r="B753" s="21" t="str">
        <x:v>$/units/25/attack_speed</x:v>
      </x:c>
      <x:c r="C753" s="21" t="str">
        <x:v>float</x:v>
      </x:c>
      <x:c r="D753" s="21" t="str">
        <x:v>0.9</x:v>
      </x:c>
    </x:row>
    <x:row r="754" ht="22" customHeight="1">
      <x:c r="A754" s="21" t="str">
        <x:v>data/units/race_units.json</x:v>
      </x:c>
      <x:c r="B754" s="21" t="str">
        <x:v>$/units/25/range</x:v>
      </x:c>
      <x:c r="C754" s="21" t="str">
        <x:v>int</x:v>
      </x:c>
      <x:c r="D754" s="21" t="str">
        <x:v>1</x:v>
      </x:c>
    </x:row>
    <x:row r="755" ht="22" customHeight="1">
      <x:c r="A755" s="21" t="str">
        <x:v>data/units/race_units.json</x:v>
      </x:c>
      <x:c r="B755" s="21" t="str">
        <x:v>$/units/25/move_speed</x:v>
      </x:c>
      <x:c r="C755" s="21" t="str">
        <x:v>float</x:v>
      </x:c>
      <x:c r="D755" s="21" t="str">
        <x:v>3.2</x:v>
      </x:c>
    </x:row>
    <x:row r="756" ht="22" customHeight="1">
      <x:c r="A756" s="21" t="str">
        <x:v>data/units/race_units.json</x:v>
      </x:c>
      <x:c r="B756" s="21" t="str">
        <x:v>$/units/25/crit</x:v>
      </x:c>
      <x:c r="C756" s="21" t="str">
        <x:v>float</x:v>
      </x:c>
      <x:c r="D756" s="21" t="str">
        <x:v>0.05</x:v>
      </x:c>
    </x:row>
    <x:row r="757" ht="22" customHeight="1">
      <x:c r="A757" s="21" t="str">
        <x:v>data/units/race_units.json</x:v>
      </x:c>
      <x:c r="B757" s="21" t="str">
        <x:v>$/units/25/crit_dmg</x:v>
      </x:c>
      <x:c r="C757" s="21" t="str">
        <x:v>float</x:v>
      </x:c>
      <x:c r="D757" s="21" t="str">
        <x:v>1.5</x:v>
      </x:c>
    </x:row>
    <x:row r="758" ht="22" customHeight="1">
      <x:c r="A758" s="21" t="str">
        <x:v>data/units/race_units.json</x:v>
      </x:c>
      <x:c r="B758" s="21" t="str">
        <x:v>$/units/25/skill_id</x:v>
      </x:c>
      <x:c r="C758" s="21" t="str">
        <x:v>string</x:v>
      </x:c>
      <x:c r="D758" s="21" t="str">
        <x:v>"post_battle_gold_by_star"</x:v>
      </x:c>
    </x:row>
    <x:row r="759" ht="22" customHeight="1">
      <x:c r="A759" s="21" t="str">
        <x:v>data/units/race_units.json</x:v>
      </x:c>
      <x:c r="B759" s="21" t="str">
        <x:v>$/units/25/model</x:v>
      </x:c>
      <x:c r="C759" s="21" t="str">
        <x:v>string</x:v>
      </x:c>
      <x:c r="D759" s="21" t="str">
        <x:v>"res://assets/models/units/human_merchant_green_cloak/human_merchant_animated.tscn"</x:v>
      </x:c>
    </x:row>
    <x:row r="760" ht="22" customHeight="1">
      <x:c r="A760" s="21" t="str">
        <x:v>data/units/race_units.json</x:v>
      </x:c>
      <x:c r="B760" s="21" t="str">
        <x:v>$/units/25/model_idle_animation_name</x:v>
      </x:c>
      <x:c r="C760" s="21" t="str">
        <x:v>string</x:v>
      </x:c>
      <x:c r="D760" s="21" t="str">
        <x:v>"idle"</x:v>
      </x:c>
    </x:row>
    <x:row r="761" ht="22" customHeight="1">
      <x:c r="A761" s="21" t="str">
        <x:v>data/units/race_units.json</x:v>
      </x:c>
      <x:c r="B761" s="21" t="str">
        <x:v>$/units/25/model_attack_animation_name</x:v>
      </x:c>
      <x:c r="C761" s="21" t="str">
        <x:v>string</x:v>
      </x:c>
      <x:c r="D761" s="21" t="str">
        <x:v>"attack"</x:v>
      </x:c>
    </x:row>
    <x:row r="762" ht="22" customHeight="1">
      <x:c r="A762" s="21" t="str">
        <x:v>data/units/race_units.json</x:v>
      </x:c>
      <x:c r="B762" s="21" t="str">
        <x:v>$/units/25/model_attack_sync_seek</x:v>
      </x:c>
      <x:c r="C762" s="21" t="str">
        <x:v>float</x:v>
      </x:c>
      <x:c r="D762" s="21" t="str">
        <x:v>0.18</x:v>
      </x:c>
    </x:row>
    <x:row r="763" ht="22" customHeight="1">
      <x:c r="A763" s="21" t="str">
        <x:v>data/units/race_units.json</x:v>
      </x:c>
      <x:c r="B763" s="21" t="str">
        <x:v>$/units/25/model_attack_lock_time</x:v>
      </x:c>
      <x:c r="C763" s="21" t="str">
        <x:v>float</x:v>
      </x:c>
      <x:c r="D763" s="21" t="str">
        <x:v>0.4</x:v>
      </x:c>
    </x:row>
    <x:row r="764" ht="22" customHeight="1">
      <x:c r="A764" s="21" t="str">
        <x:v>data/units/race_units.json</x:v>
      </x:c>
      <x:c r="B764" s="21" t="str">
        <x:v>$/units/25/model_run_animation_name</x:v>
      </x:c>
      <x:c r="C764" s="21" t="str">
        <x:v>string</x:v>
      </x:c>
      <x:c r="D764" s="21" t="str">
        <x:v>"run"</x:v>
      </x:c>
    </x:row>
    <x:row r="765" ht="22" customHeight="1">
      <x:c r="A765" s="21" t="str">
        <x:v>data/units/race_units.json</x:v>
      </x:c>
      <x:c r="B765" s="21" t="str">
        <x:v>$/units/25/model_visual_scale</x:v>
      </x:c>
      <x:c r="C765" s="21" t="str">
        <x:v>int</x:v>
      </x:c>
      <x:c r="D765" s="21" t="str">
        <x:v>1</x:v>
      </x:c>
    </x:row>
    <x:row r="766" ht="22" customHeight="1">
      <x:c r="A766" s="21" t="str">
        <x:v>data/units/race_units.json</x:v>
      </x:c>
      <x:c r="B766" s="21" t="str">
        <x:v>$/units/25/model_base_yaw</x:v>
      </x:c>
      <x:c r="C766" s="21" t="str">
        <x:v>int</x:v>
      </x:c>
      <x:c r="D766" s="21" t="str">
        <x:v>180</x:v>
      </x:c>
    </x:row>
    <x:row r="767" ht="22" customHeight="1">
      <x:c r="A767" s="21" t="str">
        <x:v>data/units/race_units.json</x:v>
      </x:c>
      <x:c r="B767" s="21" t="str">
        <x:v>$/units/25/name_en</x:v>
      </x:c>
      <x:c r="C767" s="21" t="str">
        <x:v>string</x:v>
      </x:c>
      <x:c r="D767" s="21" t="str">
        <x:v>"Merchant"</x:v>
      </x:c>
    </x:row>
    <x:row r="768" ht="22" customHeight="1">
      <x:c r="A768" s="21" t="str">
        <x:v>data/units/race_units.json</x:v>
      </x:c>
      <x:c r="B768" s="21" t="str">
        <x:v>$/units/26</x:v>
      </x:c>
      <x:c r="C768" s="21" t="str">
        <x:v>object</x:v>
      </x:c>
      <x:c r="D768" s="21" t="str"/>
    </x:row>
    <x:row r="769" ht="22" customHeight="1">
      <x:c r="A769" s="21" t="str">
        <x:v>data/units/race_units.json</x:v>
      </x:c>
      <x:c r="B769" s="21" t="str">
        <x:v>$/units/26/id</x:v>
      </x:c>
      <x:c r="C769" s="21" t="str">
        <x:v>string</x:v>
      </x:c>
      <x:c r="D769" s="21" t="str">
        <x:v>"human_archer"</x:v>
      </x:c>
    </x:row>
    <x:row r="770" ht="22" customHeight="1">
      <x:c r="A770" s="21" t="str">
        <x:v>data/units/race_units.json</x:v>
      </x:c>
      <x:c r="B770" s="21" t="str">
        <x:v>$/units/26/star4</x:v>
      </x:c>
      <x:c r="C770" s="21" t="str">
        <x:v>object</x:v>
      </x:c>
      <x:c r="D770" s="21" t="str"/>
    </x:row>
    <x:row r="771" ht="22" customHeight="1">
      <x:c r="A771" s="21" t="str">
        <x:v>data/units/race_units.json</x:v>
      </x:c>
      <x:c r="B771" s="21" t="str">
        <x:v>$/units/26/star4/every</x:v>
      </x:c>
      <x:c r="C771" s="21" t="str">
        <x:v>int</x:v>
      </x:c>
      <x:c r="D771" s="21" t="str">
        <x:v>3</x:v>
      </x:c>
    </x:row>
    <x:row r="772" ht="22" customHeight="1">
      <x:c r="A772" s="21" t="str">
        <x:v>data/units/race_units.json</x:v>
      </x:c>
      <x:c r="B772" s="21" t="str">
        <x:v>$/units/26/star4/combo_atk_pct</x:v>
      </x:c>
      <x:c r="C772" s="21" t="str">
        <x:v>int</x:v>
      </x:c>
      <x:c r="D772" s="21" t="str">
        <x:v>3</x:v>
      </x:c>
    </x:row>
    <x:row r="773" ht="22" customHeight="1">
      <x:c r="A773" s="21" t="str">
        <x:v>data/units/race_units.json</x:v>
      </x:c>
      <x:c r="B773" s="21" t="str">
        <x:v>$/units/26/name</x:v>
      </x:c>
      <x:c r="C773" s="21" t="str">
        <x:v>string</x:v>
      </x:c>
      <x:c r="D773" s="21" t="str">
        <x:v>"弓箭手"</x:v>
      </x:c>
    </x:row>
    <x:row r="774" ht="22" customHeight="1">
      <x:c r="A774" s="21" t="str">
        <x:v>data/units/race_units.json</x:v>
      </x:c>
      <x:c r="B774" s="21" t="str">
        <x:v>$/units/26/race</x:v>
      </x:c>
      <x:c r="C774" s="21" t="str">
        <x:v>string</x:v>
      </x:c>
      <x:c r="D774" s="21" t="str">
        <x:v>"human"</x:v>
      </x:c>
    </x:row>
    <x:row r="775" ht="22" customHeight="1">
      <x:c r="A775" s="21" t="str">
        <x:v>data/units/race_units.json</x:v>
      </x:c>
      <x:c r="B775" s="21" t="str">
        <x:v>$/units/26/element</x:v>
      </x:c>
      <x:c r="C775" s="21" t="str">
        <x:v>string</x:v>
      </x:c>
      <x:c r="D775" s="21" t="str">
        <x:v>"sky"</x:v>
      </x:c>
    </x:row>
    <x:row r="776" ht="22" customHeight="1">
      <x:c r="A776" s="21" t="str">
        <x:v>data/units/race_units.json</x:v>
      </x:c>
      <x:c r="B776" s="21" t="str">
        <x:v>$/units/26/tier</x:v>
      </x:c>
      <x:c r="C776" s="21" t="str">
        <x:v>int</x:v>
      </x:c>
      <x:c r="D776" s="21" t="str">
        <x:v>2</x:v>
      </x:c>
    </x:row>
    <x:row r="777" ht="22" customHeight="1">
      <x:c r="A777" s="21" t="str">
        <x:v>data/units/race_units.json</x:v>
      </x:c>
      <x:c r="B777" s="21" t="str">
        <x:v>$/units/26/cost</x:v>
      </x:c>
      <x:c r="C777" s="21" t="str">
        <x:v>int</x:v>
      </x:c>
      <x:c r="D777" s="21" t="str">
        <x:v>30</x:v>
      </x:c>
    </x:row>
    <x:row r="778" ht="22" customHeight="1">
      <x:c r="A778" s="21" t="str">
        <x:v>data/units/race_units.json</x:v>
      </x:c>
      <x:c r="B778" s="21" t="str">
        <x:v>$/units/26/hp</x:v>
      </x:c>
      <x:c r="C778" s="21" t="str">
        <x:v>int</x:v>
      </x:c>
      <x:c r="D778" s="21" t="str">
        <x:v>760</x:v>
      </x:c>
    </x:row>
    <x:row r="779" ht="22" customHeight="1">
      <x:c r="A779" s="21" t="str">
        <x:v>data/units/race_units.json</x:v>
      </x:c>
      <x:c r="B779" s="21" t="str">
        <x:v>$/units/26/atk</x:v>
      </x:c>
      <x:c r="C779" s="21" t="str">
        <x:v>int</x:v>
      </x:c>
      <x:c r="D779" s="21" t="str">
        <x:v>70</x:v>
      </x:c>
    </x:row>
    <x:row r="780" ht="22" customHeight="1">
      <x:c r="A780" s="21" t="str">
        <x:v>data/units/race_units.json</x:v>
      </x:c>
      <x:c r="B780" s="21" t="str">
        <x:v>$/units/26/def</x:v>
      </x:c>
      <x:c r="C780" s="21" t="str">
        <x:v>int</x:v>
      </x:c>
      <x:c r="D780" s="21" t="str">
        <x:v>3</x:v>
      </x:c>
    </x:row>
    <x:row r="781" ht="22" customHeight="1">
      <x:c r="A781" s="21" t="str">
        <x:v>data/units/race_units.json</x:v>
      </x:c>
      <x:c r="B781" s="21" t="str">
        <x:v>$/units/26/attack_speed</x:v>
      </x:c>
      <x:c r="C781" s="21" t="str">
        <x:v>float</x:v>
      </x:c>
      <x:c r="D781" s="21" t="str">
        <x:v>1.2</x:v>
      </x:c>
    </x:row>
    <x:row r="782" ht="22" customHeight="1">
      <x:c r="A782" s="21" t="str">
        <x:v>data/units/race_units.json</x:v>
      </x:c>
      <x:c r="B782" s="21" t="str">
        <x:v>$/units/26/range</x:v>
      </x:c>
      <x:c r="C782" s="21" t="str">
        <x:v>int</x:v>
      </x:c>
      <x:c r="D782" s="21" t="str">
        <x:v>4</x:v>
      </x:c>
    </x:row>
    <x:row r="783" ht="22" customHeight="1">
      <x:c r="A783" s="21" t="str">
        <x:v>data/units/race_units.json</x:v>
      </x:c>
      <x:c r="B783" s="21" t="str">
        <x:v>$/units/26/move_speed</x:v>
      </x:c>
      <x:c r="C783" s="21" t="str">
        <x:v>float</x:v>
      </x:c>
      <x:c r="D783" s="21" t="str">
        <x:v>3.25</x:v>
      </x:c>
    </x:row>
    <x:row r="784" ht="22" customHeight="1">
      <x:c r="A784" s="21" t="str">
        <x:v>data/units/race_units.json</x:v>
      </x:c>
      <x:c r="B784" s="21" t="str">
        <x:v>$/units/26/crit</x:v>
      </x:c>
      <x:c r="C784" s="21" t="str">
        <x:v>float</x:v>
      </x:c>
      <x:c r="D784" s="21" t="str">
        <x:v>0.1</x:v>
      </x:c>
    </x:row>
    <x:row r="785" ht="22" customHeight="1">
      <x:c r="A785" s="21" t="str">
        <x:v>data/units/race_units.json</x:v>
      </x:c>
      <x:c r="B785" s="21" t="str">
        <x:v>$/units/26/crit_dmg</x:v>
      </x:c>
      <x:c r="C785" s="21" t="str">
        <x:v>float</x:v>
      </x:c>
      <x:c r="D785" s="21" t="str">
        <x:v>1.6</x:v>
      </x:c>
    </x:row>
    <x:row r="786" ht="22" customHeight="1">
      <x:c r="A786" s="21" t="str">
        <x:v>data/units/race_units.json</x:v>
      </x:c>
      <x:c r="B786" s="21" t="str">
        <x:v>$/units/26/skill_id</x:v>
      </x:c>
      <x:c r="C786" s="21" t="str">
        <x:v>string</x:v>
      </x:c>
      <x:c r="D786" s="21" t="str">
        <x:v>"every_fourth_combo"</x:v>
      </x:c>
    </x:row>
    <x:row r="787" ht="22" customHeight="1">
      <x:c r="A787" s="21" t="str">
        <x:v>data/units/race_units.json</x:v>
      </x:c>
      <x:c r="B787" s="21" t="str">
        <x:v>$/units/26/every</x:v>
      </x:c>
      <x:c r="C787" s="21" t="str">
        <x:v>int</x:v>
      </x:c>
      <x:c r="D787" s="21" t="str">
        <x:v>4</x:v>
      </x:c>
    </x:row>
    <x:row r="788" ht="22" customHeight="1">
      <x:c r="A788" s="21" t="str">
        <x:v>data/units/race_units.json</x:v>
      </x:c>
      <x:c r="B788" s="21" t="str">
        <x:v>$/units/26/combo_atk_pct</x:v>
      </x:c>
      <x:c r="C788" s="21" t="str">
        <x:v>float</x:v>
      </x:c>
      <x:c r="D788" s="21" t="str">
        <x:v>1.5</x:v>
      </x:c>
    </x:row>
    <x:row r="789" ht="22" customHeight="1">
      <x:c r="A789" s="21" t="str">
        <x:v>data/units/race_units.json</x:v>
      </x:c>
      <x:c r="B789" s="21" t="str">
        <x:v>$/units/26/model</x:v>
      </x:c>
      <x:c r="C789" s="21" t="str">
        <x:v>string</x:v>
      </x:c>
      <x:c r="D789" s="21" t="str">
        <x:v>"res://assets/models/units/human_archer_animated/human_archer_animated.tscn"</x:v>
      </x:c>
    </x:row>
    <x:row r="790" ht="22" customHeight="1">
      <x:c r="A790" s="21" t="str">
        <x:v>data/units/race_units.json</x:v>
      </x:c>
      <x:c r="B790" s="21" t="str">
        <x:v>$/units/26/model_visual_scale</x:v>
      </x:c>
      <x:c r="C790" s="21" t="str">
        <x:v>int</x:v>
      </x:c>
      <x:c r="D790" s="21" t="str">
        <x:v>1</x:v>
      </x:c>
    </x:row>
    <x:row r="791" ht="22" customHeight="1">
      <x:c r="A791" s="21" t="str">
        <x:v>data/units/race_units.json</x:v>
      </x:c>
      <x:c r="B791" s="21" t="str">
        <x:v>$/units/26/model_base_yaw</x:v>
      </x:c>
      <x:c r="C791" s="21" t="str">
        <x:v>int</x:v>
      </x:c>
      <x:c r="D791" s="21" t="str">
        <x:v>180</x:v>
      </x:c>
    </x:row>
    <x:row r="792" ht="22" customHeight="1">
      <x:c r="A792" s="21" t="str">
        <x:v>data/units/race_units.json</x:v>
      </x:c>
      <x:c r="B792" s="21" t="str">
        <x:v>$/units/26/name_en</x:v>
      </x:c>
      <x:c r="C792" s="21" t="str">
        <x:v>string</x:v>
      </x:c>
      <x:c r="D792" s="21" t="str">
        <x:v>"Archer"</x:v>
      </x:c>
    </x:row>
    <x:row r="793" ht="22" customHeight="1">
      <x:c r="A793" s="21" t="str">
        <x:v>data/units/race_units.json</x:v>
      </x:c>
      <x:c r="B793" s="21" t="str">
        <x:v>$/units/27</x:v>
      </x:c>
      <x:c r="C793" s="21" t="str">
        <x:v>object</x:v>
      </x:c>
      <x:c r="D793" s="21" t="str"/>
    </x:row>
    <x:row r="794" ht="22" customHeight="1">
      <x:c r="A794" s="21" t="str">
        <x:v>data/units/race_units.json</x:v>
      </x:c>
      <x:c r="B794" s="21" t="str">
        <x:v>$/units/27/id</x:v>
      </x:c>
      <x:c r="C794" s="21" t="str">
        <x:v>string</x:v>
      </x:c>
      <x:c r="D794" s="21" t="str">
        <x:v>"human_swordsman"</x:v>
      </x:c>
    </x:row>
    <x:row r="795" ht="22" customHeight="1">
      <x:c r="A795" s="21" t="str">
        <x:v>data/units/race_units.json</x:v>
      </x:c>
      <x:c r="B795" s="21" t="str">
        <x:v>$/units/27/model_in_place_actions</x:v>
      </x:c>
      <x:c r="C795" s="21" t="str">
        <x:v>array</x:v>
      </x:c>
      <x:c r="D795" s="21" t="str"/>
    </x:row>
    <x:row r="796" ht="22" customHeight="1">
      <x:c r="A796" s="21" t="str">
        <x:v>data/units/race_units.json</x:v>
      </x:c>
      <x:c r="B796" s="21" t="str">
        <x:v>$/units/27/model_in_place_actions/0</x:v>
      </x:c>
      <x:c r="C796" s="21" t="str">
        <x:v>string</x:v>
      </x:c>
      <x:c r="D796" s="21" t="str">
        <x:v>"run"</x:v>
      </x:c>
    </x:row>
    <x:row r="797" ht="22" customHeight="1">
      <x:c r="A797" s="21" t="str">
        <x:v>data/units/race_units.json</x:v>
      </x:c>
      <x:c r="B797" s="21" t="str">
        <x:v>$/units/27/star4</x:v>
      </x:c>
      <x:c r="C797" s="21" t="str">
        <x:v>object</x:v>
      </x:c>
      <x:c r="D797" s="21" t="str"/>
    </x:row>
    <x:row r="798" ht="22" customHeight="1">
      <x:c r="A798" s="21" t="str">
        <x:v>data/units/race_units.json</x:v>
      </x:c>
      <x:c r="B798" s="21" t="str">
        <x:v>$/units/27/star4/damage_atk_pct</x:v>
      </x:c>
      <x:c r="C798" s="21" t="str">
        <x:v>int</x:v>
      </x:c>
      <x:c r="D798" s="21" t="str">
        <x:v>3</x:v>
      </x:c>
    </x:row>
    <x:row r="799" ht="22" customHeight="1">
      <x:c r="A799" s="21" t="str">
        <x:v>data/units/race_units.json</x:v>
      </x:c>
      <x:c r="B799" s="21" t="str">
        <x:v>$/units/27/star4/stun_sec</x:v>
      </x:c>
      <x:c r="C799" s="21" t="str">
        <x:v>int</x:v>
      </x:c>
      <x:c r="D799" s="21" t="str">
        <x:v>2</x:v>
      </x:c>
    </x:row>
    <x:row r="800" ht="22" customHeight="1">
      <x:c r="A800" s="21" t="str">
        <x:v>data/units/race_units.json</x:v>
      </x:c>
      <x:c r="B800" s="21" t="str">
        <x:v>$/units/27/name</x:v>
      </x:c>
      <x:c r="C800" s="21" t="str">
        <x:v>string</x:v>
      </x:c>
      <x:c r="D800" s="21" t="str">
        <x:v>"剑士"</x:v>
      </x:c>
    </x:row>
    <x:row r="801" ht="22" customHeight="1">
      <x:c r="A801" s="21" t="str">
        <x:v>data/units/race_units.json</x:v>
      </x:c>
      <x:c r="B801" s="21" t="str">
        <x:v>$/units/27/race</x:v>
      </x:c>
      <x:c r="C801" s="21" t="str">
        <x:v>string</x:v>
      </x:c>
      <x:c r="D801" s="21" t="str">
        <x:v>"human"</x:v>
      </x:c>
    </x:row>
    <x:row r="802" ht="22" customHeight="1">
      <x:c r="A802" s="21" t="str">
        <x:v>data/units/race_units.json</x:v>
      </x:c>
      <x:c r="B802" s="21" t="str">
        <x:v>$/units/27/element</x:v>
      </x:c>
      <x:c r="C802" s="21" t="str">
        <x:v>string</x:v>
      </x:c>
      <x:c r="D802" s="21" t="str">
        <x:v>"land"</x:v>
      </x:c>
    </x:row>
    <x:row r="803" ht="22" customHeight="1">
      <x:c r="A803" s="21" t="str">
        <x:v>data/units/race_units.json</x:v>
      </x:c>
      <x:c r="B803" s="21" t="str">
        <x:v>$/units/27/tier</x:v>
      </x:c>
      <x:c r="C803" s="21" t="str">
        <x:v>int</x:v>
      </x:c>
      <x:c r="D803" s="21" t="str">
        <x:v>2</x:v>
      </x:c>
    </x:row>
    <x:row r="804" ht="22" customHeight="1">
      <x:c r="A804" s="21" t="str">
        <x:v>data/units/race_units.json</x:v>
      </x:c>
      <x:c r="B804" s="21" t="str">
        <x:v>$/units/27/cost</x:v>
      </x:c>
      <x:c r="C804" s="21" t="str">
        <x:v>int</x:v>
      </x:c>
      <x:c r="D804" s="21" t="str">
        <x:v>30</x:v>
      </x:c>
    </x:row>
    <x:row r="805" ht="22" customHeight="1">
      <x:c r="A805" s="21" t="str">
        <x:v>data/units/race_units.json</x:v>
      </x:c>
      <x:c r="B805" s="21" t="str">
        <x:v>$/units/27/hp</x:v>
      </x:c>
      <x:c r="C805" s="21" t="str">
        <x:v>int</x:v>
      </x:c>
      <x:c r="D805" s="21" t="str">
        <x:v>1120</x:v>
      </x:c>
    </x:row>
    <x:row r="806" ht="22" customHeight="1">
      <x:c r="A806" s="21" t="str">
        <x:v>data/units/race_units.json</x:v>
      </x:c>
      <x:c r="B806" s="21" t="str">
        <x:v>$/units/27/atk</x:v>
      </x:c>
      <x:c r="C806" s="21" t="str">
        <x:v>int</x:v>
      </x:c>
      <x:c r="D806" s="21" t="str">
        <x:v>64</x:v>
      </x:c>
    </x:row>
    <x:row r="807" ht="22" customHeight="1">
      <x:c r="A807" s="21" t="str">
        <x:v>data/units/race_units.json</x:v>
      </x:c>
      <x:c r="B807" s="21" t="str">
        <x:v>$/units/27/def</x:v>
      </x:c>
      <x:c r="C807" s="21" t="str">
        <x:v>int</x:v>
      </x:c>
      <x:c r="D807" s="21" t="str">
        <x:v>10</x:v>
      </x:c>
    </x:row>
    <x:row r="808" ht="22" customHeight="1">
      <x:c r="A808" s="21" t="str">
        <x:v>data/units/race_units.json</x:v>
      </x:c>
      <x:c r="B808" s="21" t="str">
        <x:v>$/units/27/attack_speed</x:v>
      </x:c>
      <x:c r="C808" s="21" t="str">
        <x:v>float</x:v>
      </x:c>
      <x:c r="D808" s="21" t="str">
        <x:v>0.88</x:v>
      </x:c>
    </x:row>
    <x:row r="809" ht="22" customHeight="1">
      <x:c r="A809" s="21" t="str">
        <x:v>data/units/race_units.json</x:v>
      </x:c>
      <x:c r="B809" s="21" t="str">
        <x:v>$/units/27/range</x:v>
      </x:c>
      <x:c r="C809" s="21" t="str">
        <x:v>int</x:v>
      </x:c>
      <x:c r="D809" s="21" t="str">
        <x:v>1</x:v>
      </x:c>
    </x:row>
    <x:row r="810" ht="22" customHeight="1">
      <x:c r="A810" s="21" t="str">
        <x:v>data/units/race_units.json</x:v>
      </x:c>
      <x:c r="B810" s="21" t="str">
        <x:v>$/units/27/move_speed</x:v>
      </x:c>
      <x:c r="C810" s="21" t="str">
        <x:v>float</x:v>
      </x:c>
      <x:c r="D810" s="21" t="str">
        <x:v>3.1</x:v>
      </x:c>
    </x:row>
    <x:row r="811" ht="22" customHeight="1">
      <x:c r="A811" s="21" t="str">
        <x:v>data/units/race_units.json</x:v>
      </x:c>
      <x:c r="B811" s="21" t="str">
        <x:v>$/units/27/crit</x:v>
      </x:c>
      <x:c r="C811" s="21" t="str">
        <x:v>float</x:v>
      </x:c>
      <x:c r="D811" s="21" t="str">
        <x:v>0.08</x:v>
      </x:c>
    </x:row>
    <x:row r="812" ht="22" customHeight="1">
      <x:c r="A812" s="21" t="str">
        <x:v>data/units/race_units.json</x:v>
      </x:c>
      <x:c r="B812" s="21" t="str">
        <x:v>$/units/27/crit_dmg</x:v>
      </x:c>
      <x:c r="C812" s="21" t="str">
        <x:v>float</x:v>
      </x:c>
      <x:c r="D812" s="21" t="str">
        <x:v>1.6</x:v>
      </x:c>
    </x:row>
    <x:row r="813" ht="22" customHeight="1">
      <x:c r="A813" s="21" t="str">
        <x:v>data/units/race_units.json</x:v>
      </x:c>
      <x:c r="B813" s="21" t="str">
        <x:v>$/units/27/skill_id</x:v>
      </x:c>
      <x:c r="C813" s="21" t="str">
        <x:v>string</x:v>
      </x:c>
      <x:c r="D813" s="21" t="str">
        <x:v>"front_cone_stun"</x:v>
      </x:c>
    </x:row>
    <x:row r="814" ht="22" customHeight="1">
      <x:c r="A814" s="21" t="str">
        <x:v>data/units/race_units.json</x:v>
      </x:c>
      <x:c r="B814" s="21" t="str">
        <x:v>$/units/27/damage_atk_pct</x:v>
      </x:c>
      <x:c r="C814" s="21" t="str">
        <x:v>float</x:v>
      </x:c>
      <x:c r="D814" s="21" t="str">
        <x:v>1.5</x:v>
      </x:c>
    </x:row>
    <x:row r="815" ht="22" customHeight="1">
      <x:c r="A815" s="21" t="str">
        <x:v>data/units/race_units.json</x:v>
      </x:c>
      <x:c r="B815" s="21" t="str">
        <x:v>$/units/27/stun_sec</x:v>
      </x:c>
      <x:c r="C815" s="21" t="str">
        <x:v>float</x:v>
      </x:c>
      <x:c r="D815" s="21" t="str">
        <x:v>1.0</x:v>
      </x:c>
    </x:row>
    <x:row r="816" ht="22" customHeight="1">
      <x:c r="A816" s="21" t="str">
        <x:v>data/units/race_units.json</x:v>
      </x:c>
      <x:c r="B816" s="21" t="str">
        <x:v>$/units/27/model</x:v>
      </x:c>
      <x:c r="C816" s="21" t="str">
        <x:v>string</x:v>
      </x:c>
      <x:c r="D816" s="21" t="str">
        <x:v>"res://assets/models/units/human_swordsman_animated/human_swordsman_animated.tscn"</x:v>
      </x:c>
    </x:row>
    <x:row r="817" ht="22" customHeight="1">
      <x:c r="A817" s="21" t="str">
        <x:v>data/units/race_units.json</x:v>
      </x:c>
      <x:c r="B817" s="21" t="str">
        <x:v>$/units/27/model_visual_scale</x:v>
      </x:c>
      <x:c r="C817" s="21" t="str">
        <x:v>int</x:v>
      </x:c>
      <x:c r="D817" s="21" t="str">
        <x:v>1</x:v>
      </x:c>
    </x:row>
    <x:row r="818" ht="22" customHeight="1">
      <x:c r="A818" s="21" t="str">
        <x:v>data/units/race_units.json</x:v>
      </x:c>
      <x:c r="B818" s="21" t="str">
        <x:v>$/units/27/model_base_yaw</x:v>
      </x:c>
      <x:c r="C818" s="21" t="str">
        <x:v>int</x:v>
      </x:c>
      <x:c r="D818" s="21" t="str">
        <x:v>180</x:v>
      </x:c>
    </x:row>
    <x:row r="819" ht="22" customHeight="1">
      <x:c r="A819" s="21" t="str">
        <x:v>data/units/race_units.json</x:v>
      </x:c>
      <x:c r="B819" s="21" t="str">
        <x:v>$/units/27/name_en</x:v>
      </x:c>
      <x:c r="C819" s="21" t="str">
        <x:v>string</x:v>
      </x:c>
      <x:c r="D819" s="21" t="str">
        <x:v>"Swordsman"</x:v>
      </x:c>
    </x:row>
    <x:row r="820" ht="22" customHeight="1">
      <x:c r="A820" s="21" t="str">
        <x:v>data/units/race_units.json</x:v>
      </x:c>
      <x:c r="B820" s="21" t="str">
        <x:v>$/units/28</x:v>
      </x:c>
      <x:c r="C820" s="21" t="str">
        <x:v>object</x:v>
      </x:c>
      <x:c r="D820" s="21" t="str"/>
    </x:row>
    <x:row r="821" ht="22" customHeight="1">
      <x:c r="A821" s="21" t="str">
        <x:v>data/units/race_units.json</x:v>
      </x:c>
      <x:c r="B821" s="21" t="str">
        <x:v>$/units/28/id</x:v>
      </x:c>
      <x:c r="C821" s="21" t="str">
        <x:v>string</x:v>
      </x:c>
      <x:c r="D821" s="21" t="str">
        <x:v>"human_mage"</x:v>
      </x:c>
    </x:row>
    <x:row r="822" ht="22" customHeight="1">
      <x:c r="A822" s="21" t="str">
        <x:v>data/units/race_units.json</x:v>
      </x:c>
      <x:c r="B822" s="21" t="str">
        <x:v>$/units/28/star4</x:v>
      </x:c>
      <x:c r="C822" s="21" t="str">
        <x:v>object</x:v>
      </x:c>
      <x:c r="D822" s="21" t="str"/>
    </x:row>
    <x:row r="823" ht="22" customHeight="1">
      <x:c r="A823" s="21" t="str">
        <x:v>data/units/race_units.json</x:v>
      </x:c>
      <x:c r="B823" s="21" t="str">
        <x:v>$/units/28/star4/double_element_chance</x:v>
      </x:c>
      <x:c r="C823" s="21" t="str">
        <x:v>float</x:v>
      </x:c>
      <x:c r="D823" s="21" t="str">
        <x:v>0.2</x:v>
      </x:c>
    </x:row>
    <x:row r="824" ht="22" customHeight="1">
      <x:c r="A824" s="21" t="str">
        <x:v>data/units/race_units.json</x:v>
      </x:c>
      <x:c r="B824" s="21" t="str">
        <x:v>$/units/28/star4/damage_atk_pct</x:v>
      </x:c>
      <x:c r="C824" s="21" t="str">
        <x:v>int</x:v>
      </x:c>
      <x:c r="D824" s="21" t="str">
        <x:v>6</x:v>
      </x:c>
    </x:row>
    <x:row r="825" ht="22" customHeight="1">
      <x:c r="A825" s="21" t="str">
        <x:v>data/units/race_units.json</x:v>
      </x:c>
      <x:c r="B825" s="21" t="str">
        <x:v>$/units/28/star4/skill_cd</x:v>
      </x:c>
      <x:c r="C825" s="21" t="str">
        <x:v>int</x:v>
      </x:c>
      <x:c r="D825" s="21" t="str">
        <x:v>2</x:v>
      </x:c>
    </x:row>
    <x:row r="826" ht="22" customHeight="1">
      <x:c r="A826" s="21" t="str">
        <x:v>data/units/race_units.json</x:v>
      </x:c>
      <x:c r="B826" s="21" t="str">
        <x:v>$/units/28/name</x:v>
      </x:c>
      <x:c r="C826" s="21" t="str">
        <x:v>string</x:v>
      </x:c>
      <x:c r="D826" s="21" t="str">
        <x:v>"法师"</x:v>
      </x:c>
    </x:row>
    <x:row r="827" ht="22" customHeight="1">
      <x:c r="A827" s="21" t="str">
        <x:v>data/units/race_units.json</x:v>
      </x:c>
      <x:c r="B827" s="21" t="str">
        <x:v>$/units/28/race</x:v>
      </x:c>
      <x:c r="C827" s="21" t="str">
        <x:v>string</x:v>
      </x:c>
      <x:c r="D827" s="21" t="str">
        <x:v>"human"</x:v>
      </x:c>
    </x:row>
    <x:row r="828" ht="22" customHeight="1">
      <x:c r="A828" s="21" t="str">
        <x:v>data/units/race_units.json</x:v>
      </x:c>
      <x:c r="B828" s="21" t="str">
        <x:v>$/units/28/element</x:v>
      </x:c>
      <x:c r="C828" s="21" t="str">
        <x:v>string</x:v>
      </x:c>
      <x:c r="D828" s="21" t="str">
        <x:v>"sky"</x:v>
      </x:c>
    </x:row>
    <x:row r="829" ht="22" customHeight="1">
      <x:c r="A829" s="21" t="str">
        <x:v>data/units/race_units.json</x:v>
      </x:c>
      <x:c r="B829" s="21" t="str">
        <x:v>$/units/28/tier</x:v>
      </x:c>
      <x:c r="C829" s="21" t="str">
        <x:v>int</x:v>
      </x:c>
      <x:c r="D829" s="21" t="str">
        <x:v>2</x:v>
      </x:c>
    </x:row>
    <x:row r="830" ht="22" customHeight="1">
      <x:c r="A830" s="21" t="str">
        <x:v>data/units/race_units.json</x:v>
      </x:c>
      <x:c r="B830" s="21" t="str">
        <x:v>$/units/28/cost</x:v>
      </x:c>
      <x:c r="C830" s="21" t="str">
        <x:v>int</x:v>
      </x:c>
      <x:c r="D830" s="21" t="str">
        <x:v>30</x:v>
      </x:c>
    </x:row>
    <x:row r="831" ht="22" customHeight="1">
      <x:c r="A831" s="21" t="str">
        <x:v>data/units/race_units.json</x:v>
      </x:c>
      <x:c r="B831" s="21" t="str">
        <x:v>$/units/28/hp</x:v>
      </x:c>
      <x:c r="C831" s="21" t="str">
        <x:v>int</x:v>
      </x:c>
      <x:c r="D831" s="21" t="str">
        <x:v>720</x:v>
      </x:c>
    </x:row>
    <x:row r="832" ht="22" customHeight="1">
      <x:c r="A832" s="21" t="str">
        <x:v>data/units/race_units.json</x:v>
      </x:c>
      <x:c r="B832" s="21" t="str">
        <x:v>$/units/28/atk</x:v>
      </x:c>
      <x:c r="C832" s="21" t="str">
        <x:v>int</x:v>
      </x:c>
      <x:c r="D832" s="21" t="str">
        <x:v>72</x:v>
      </x:c>
    </x:row>
    <x:row r="833" ht="22" customHeight="1">
      <x:c r="A833" s="21" t="str">
        <x:v>data/units/race_units.json</x:v>
      </x:c>
      <x:c r="B833" s="21" t="str">
        <x:v>$/units/28/def</x:v>
      </x:c>
      <x:c r="C833" s="21" t="str">
        <x:v>int</x:v>
      </x:c>
      <x:c r="D833" s="21" t="str">
        <x:v>3</x:v>
      </x:c>
    </x:row>
    <x:row r="834" ht="22" customHeight="1">
      <x:c r="A834" s="21" t="str">
        <x:v>data/units/race_units.json</x:v>
      </x:c>
      <x:c r="B834" s="21" t="str">
        <x:v>$/units/28/attack_speed</x:v>
      </x:c>
      <x:c r="C834" s="21" t="str">
        <x:v>float</x:v>
      </x:c>
      <x:c r="D834" s="21" t="str">
        <x:v>0.85</x:v>
      </x:c>
    </x:row>
    <x:row r="835" ht="22" customHeight="1">
      <x:c r="A835" s="21" t="str">
        <x:v>data/units/race_units.json</x:v>
      </x:c>
      <x:c r="B835" s="21" t="str">
        <x:v>$/units/28/range</x:v>
      </x:c>
      <x:c r="C835" s="21" t="str">
        <x:v>int</x:v>
      </x:c>
      <x:c r="D835" s="21" t="str">
        <x:v>4</x:v>
      </x:c>
    </x:row>
    <x:row r="836" ht="22" customHeight="1">
      <x:c r="A836" s="21" t="str">
        <x:v>data/units/race_units.json</x:v>
      </x:c>
      <x:c r="B836" s="21" t="str">
        <x:v>$/units/28/move_speed</x:v>
      </x:c>
      <x:c r="C836" s="21" t="str">
        <x:v>float</x:v>
      </x:c>
      <x:c r="D836" s="21" t="str">
        <x:v>3.15</x:v>
      </x:c>
    </x:row>
    <x:row r="837" ht="22" customHeight="1">
      <x:c r="A837" s="21" t="str">
        <x:v>data/units/race_units.json</x:v>
      </x:c>
      <x:c r="B837" s="21" t="str">
        <x:v>$/units/28/crit</x:v>
      </x:c>
      <x:c r="C837" s="21" t="str">
        <x:v>float</x:v>
      </x:c>
      <x:c r="D837" s="21" t="str">
        <x:v>0.08</x:v>
      </x:c>
    </x:row>
    <x:row r="838" ht="22" customHeight="1">
      <x:c r="A838" s="21" t="str">
        <x:v>data/units/race_units.json</x:v>
      </x:c>
      <x:c r="B838" s="21" t="str">
        <x:v>$/units/28/crit_dmg</x:v>
      </x:c>
      <x:c r="C838" s="21" t="str">
        <x:v>float</x:v>
      </x:c>
      <x:c r="D838" s="21" t="str">
        <x:v>1.6</x:v>
      </x:c>
    </x:row>
    <x:row r="839" ht="22" customHeight="1">
      <x:c r="A839" s="21" t="str">
        <x:v>data/units/race_units.json</x:v>
      </x:c>
      <x:c r="B839" s="21" t="str">
        <x:v>$/units/28/skill_id</x:v>
      </x:c>
      <x:c r="C839" s="21" t="str">
        <x:v>string</x:v>
      </x:c>
      <x:c r="D839" s="21" t="str">
        <x:v>"random_attribute_bolt"</x:v>
      </x:c>
    </x:row>
    <x:row r="840" ht="22" customHeight="1">
      <x:c r="A840" s="21" t="str">
        <x:v>data/units/race_units.json</x:v>
      </x:c>
      <x:c r="B840" s="21" t="str">
        <x:v>$/units/28/no_basic_attack</x:v>
      </x:c>
      <x:c r="C840" s="21" t="str">
        <x:v>bool</x:v>
      </x:c>
      <x:c r="D840" s="21" t="str">
        <x:v>true</x:v>
      </x:c>
    </x:row>
    <x:row r="841" ht="22" customHeight="1">
      <x:c r="A841" s="21" t="str">
        <x:v>data/units/race_units.json</x:v>
      </x:c>
      <x:c r="B841" s="21" t="str">
        <x:v>$/units/28/model</x:v>
      </x:c>
      <x:c r="C841" s="21" t="str">
        <x:v>string</x:v>
      </x:c>
      <x:c r="D841" s="21" t="str">
        <x:v>"res://assets/models/units/human_mage_animated/human_mage_animated.tscn"</x:v>
      </x:c>
    </x:row>
    <x:row r="842" ht="22" customHeight="1">
      <x:c r="A842" s="21" t="str">
        <x:v>data/units/race_units.json</x:v>
      </x:c>
      <x:c r="B842" s="21" t="str">
        <x:v>$/units/28/model_visual_scale</x:v>
      </x:c>
      <x:c r="C842" s="21" t="str">
        <x:v>int</x:v>
      </x:c>
      <x:c r="D842" s="21" t="str">
        <x:v>1</x:v>
      </x:c>
    </x:row>
    <x:row r="843" ht="22" customHeight="1">
      <x:c r="A843" s="21" t="str">
        <x:v>data/units/race_units.json</x:v>
      </x:c>
      <x:c r="B843" s="21" t="str">
        <x:v>$/units/28/model_base_yaw</x:v>
      </x:c>
      <x:c r="C843" s="21" t="str">
        <x:v>int</x:v>
      </x:c>
      <x:c r="D843" s="21" t="str">
        <x:v>180</x:v>
      </x:c>
    </x:row>
    <x:row r="844" ht="22" customHeight="1">
      <x:c r="A844" s="21" t="str">
        <x:v>data/units/race_units.json</x:v>
      </x:c>
      <x:c r="B844" s="21" t="str">
        <x:v>$/units/28/skill_cd</x:v>
      </x:c>
      <x:c r="C844" s="21" t="str">
        <x:v>float</x:v>
      </x:c>
      <x:c r="D844" s="21" t="str">
        <x:v>2.5</x:v>
      </x:c>
    </x:row>
    <x:row r="845" ht="22" customHeight="1">
      <x:c r="A845" s="21" t="str">
        <x:v>data/units/race_units.json</x:v>
      </x:c>
      <x:c r="B845" s="21" t="str">
        <x:v>$/units/28/damage_atk_pct</x:v>
      </x:c>
      <x:c r="C845" s="21" t="str">
        <x:v>int</x:v>
      </x:c>
      <x:c r="D845" s="21" t="str">
        <x:v>3</x:v>
      </x:c>
    </x:row>
    <x:row r="846" ht="22" customHeight="1">
      <x:c r="A846" s="21" t="str">
        <x:v>data/units/race_units.json</x:v>
      </x:c>
      <x:c r="B846" s="21" t="str">
        <x:v>$/units/28/name_en</x:v>
      </x:c>
      <x:c r="C846" s="21" t="str">
        <x:v>string</x:v>
      </x:c>
      <x:c r="D846" s="21" t="str">
        <x:v>"Mage"</x:v>
      </x:c>
    </x:row>
    <x:row r="847" ht="22" customHeight="1">
      <x:c r="A847" s="21" t="str">
        <x:v>data/units/race_units.json</x:v>
      </x:c>
      <x:c r="B847" s="21" t="str">
        <x:v>$/units/29</x:v>
      </x:c>
      <x:c r="C847" s="21" t="str">
        <x:v>object</x:v>
      </x:c>
      <x:c r="D847" s="21" t="str"/>
    </x:row>
    <x:row r="848" ht="22" customHeight="1">
      <x:c r="A848" s="21" t="str">
        <x:v>data/units/race_units.json</x:v>
      </x:c>
      <x:c r="B848" s="21" t="str">
        <x:v>$/units/29/id</x:v>
      </x:c>
      <x:c r="C848" s="21" t="str">
        <x:v>string</x:v>
      </x:c>
      <x:c r="D848" s="21" t="str">
        <x:v>"human_cleric"</x:v>
      </x:c>
    </x:row>
    <x:row r="849" ht="22" customHeight="1">
      <x:c r="A849" s="21" t="str">
        <x:v>data/units/race_units.json</x:v>
      </x:c>
      <x:c r="B849" s="21" t="str">
        <x:v>$/units/29/star4</x:v>
      </x:c>
      <x:c r="C849" s="21" t="str">
        <x:v>object</x:v>
      </x:c>
      <x:c r="D849" s="21" t="str"/>
    </x:row>
    <x:row r="850" ht="22" customHeight="1">
      <x:c r="A850" s="21" t="str">
        <x:v>data/units/race_units.json</x:v>
      </x:c>
      <x:c r="B850" s="21" t="str">
        <x:v>$/units/29/star4/heal_pct</x:v>
      </x:c>
      <x:c r="C850" s="21" t="str">
        <x:v>float</x:v>
      </x:c>
      <x:c r="D850" s="21" t="str">
        <x:v>0.4</x:v>
      </x:c>
    </x:row>
    <x:row r="851" ht="22" customHeight="1">
      <x:c r="A851" s="21" t="str">
        <x:v>data/units/race_units.json</x:v>
      </x:c>
      <x:c r="B851" s="21" t="str">
        <x:v>$/units/29/star4/every</x:v>
      </x:c>
      <x:c r="C851" s="21" t="str">
        <x:v>int</x:v>
      </x:c>
      <x:c r="D851" s="21" t="str">
        <x:v>4</x:v>
      </x:c>
    </x:row>
    <x:row r="852" ht="22" customHeight="1">
      <x:c r="A852" s="21" t="str">
        <x:v>data/units/race_units.json</x:v>
      </x:c>
      <x:c r="B852" s="21" t="str">
        <x:v>$/units/29/name</x:v>
      </x:c>
      <x:c r="C852" s="21" t="str">
        <x:v>string</x:v>
      </x:c>
      <x:c r="D852" s="21" t="str">
        <x:v>"牧师"</x:v>
      </x:c>
    </x:row>
    <x:row r="853" ht="22" customHeight="1">
      <x:c r="A853" s="21" t="str">
        <x:v>data/units/race_units.json</x:v>
      </x:c>
      <x:c r="B853" s="21" t="str">
        <x:v>$/units/29/race</x:v>
      </x:c>
      <x:c r="C853" s="21" t="str">
        <x:v>string</x:v>
      </x:c>
      <x:c r="D853" s="21" t="str">
        <x:v>"human"</x:v>
      </x:c>
    </x:row>
    <x:row r="854" ht="22" customHeight="1">
      <x:c r="A854" s="21" t="str">
        <x:v>data/units/race_units.json</x:v>
      </x:c>
      <x:c r="B854" s="21" t="str">
        <x:v>$/units/29/element</x:v>
      </x:c>
      <x:c r="C854" s="21" t="str">
        <x:v>string</x:v>
      </x:c>
      <x:c r="D854" s="21" t="str">
        <x:v>"ren"</x:v>
      </x:c>
    </x:row>
    <x:row r="855" ht="22" customHeight="1">
      <x:c r="A855" s="21" t="str">
        <x:v>data/units/race_units.json</x:v>
      </x:c>
      <x:c r="B855" s="21" t="str">
        <x:v>$/units/29/tier</x:v>
      </x:c>
      <x:c r="C855" s="21" t="str">
        <x:v>int</x:v>
      </x:c>
      <x:c r="D855" s="21" t="str">
        <x:v>2</x:v>
      </x:c>
    </x:row>
    <x:row r="856" ht="22" customHeight="1">
      <x:c r="A856" s="21" t="str">
        <x:v>data/units/race_units.json</x:v>
      </x:c>
      <x:c r="B856" s="21" t="str">
        <x:v>$/units/29/cost</x:v>
      </x:c>
      <x:c r="C856" s="21" t="str">
        <x:v>int</x:v>
      </x:c>
      <x:c r="D856" s="21" t="str">
        <x:v>30</x:v>
      </x:c>
    </x:row>
    <x:row r="857" ht="22" customHeight="1">
      <x:c r="A857" s="21" t="str">
        <x:v>data/units/race_units.json</x:v>
      </x:c>
      <x:c r="B857" s="21" t="str">
        <x:v>$/units/29/hp</x:v>
      </x:c>
      <x:c r="C857" s="21" t="str">
        <x:v>int</x:v>
      </x:c>
      <x:c r="D857" s="21" t="str">
        <x:v>1200</x:v>
      </x:c>
    </x:row>
    <x:row r="858" ht="22" customHeight="1">
      <x:c r="A858" s="21" t="str">
        <x:v>data/units/race_units.json</x:v>
      </x:c>
      <x:c r="B858" s="21" t="str">
        <x:v>$/units/29/atk</x:v>
      </x:c>
      <x:c r="C858" s="21" t="str">
        <x:v>int</x:v>
      </x:c>
      <x:c r="D858" s="21" t="str">
        <x:v>48</x:v>
      </x:c>
    </x:row>
    <x:row r="859" ht="22" customHeight="1">
      <x:c r="A859" s="21" t="str">
        <x:v>data/units/race_units.json</x:v>
      </x:c>
      <x:c r="B859" s="21" t="str">
        <x:v>$/units/29/def</x:v>
      </x:c>
      <x:c r="C859" s="21" t="str">
        <x:v>int</x:v>
      </x:c>
      <x:c r="D859" s="21" t="str">
        <x:v>6</x:v>
      </x:c>
    </x:row>
    <x:row r="860" ht="22" customHeight="1">
      <x:c r="A860" s="21" t="str">
        <x:v>data/units/race_units.json</x:v>
      </x:c>
      <x:c r="B860" s="21" t="str">
        <x:v>$/units/29/attack_speed</x:v>
      </x:c>
      <x:c r="C860" s="21" t="str">
        <x:v>float</x:v>
      </x:c>
      <x:c r="D860" s="21" t="str">
        <x:v>0.92</x:v>
      </x:c>
    </x:row>
    <x:row r="861" ht="22" customHeight="1">
      <x:c r="A861" s="21" t="str">
        <x:v>data/units/race_units.json</x:v>
      </x:c>
      <x:c r="B861" s="21" t="str">
        <x:v>$/units/29/range</x:v>
      </x:c>
      <x:c r="C861" s="21" t="str">
        <x:v>int</x:v>
      </x:c>
      <x:c r="D861" s="21" t="str">
        <x:v>4</x:v>
      </x:c>
    </x:row>
    <x:row r="862" ht="22" customHeight="1">
      <x:c r="A862" s="21" t="str">
        <x:v>data/units/race_units.json</x:v>
      </x:c>
      <x:c r="B862" s="21" t="str">
        <x:v>$/units/29/move_speed</x:v>
      </x:c>
      <x:c r="C862" s="21" t="str">
        <x:v>float</x:v>
      </x:c>
      <x:c r="D862" s="21" t="str">
        <x:v>3.2</x:v>
      </x:c>
    </x:row>
    <x:row r="863" ht="22" customHeight="1">
      <x:c r="A863" s="21" t="str">
        <x:v>data/units/race_units.json</x:v>
      </x:c>
      <x:c r="B863" s="21" t="str">
        <x:v>$/units/29/crit</x:v>
      </x:c>
      <x:c r="C863" s="21" t="str">
        <x:v>float</x:v>
      </x:c>
      <x:c r="D863" s="21" t="str">
        <x:v>0.08</x:v>
      </x:c>
    </x:row>
    <x:row r="864" ht="22" customHeight="1">
      <x:c r="A864" s="21" t="str">
        <x:v>data/units/race_units.json</x:v>
      </x:c>
      <x:c r="B864" s="21" t="str">
        <x:v>$/units/29/crit_dmg</x:v>
      </x:c>
      <x:c r="C864" s="21" t="str">
        <x:v>float</x:v>
      </x:c>
      <x:c r="D864" s="21" t="str">
        <x:v>1.6</x:v>
      </x:c>
    </x:row>
    <x:row r="865" ht="22" customHeight="1">
      <x:c r="A865" s="21" t="str">
        <x:v>data/units/race_units.json</x:v>
      </x:c>
      <x:c r="B865" s="21" t="str">
        <x:v>$/units/29/skill_id</x:v>
      </x:c>
      <x:c r="C865" s="21" t="str">
        <x:v>string</x:v>
      </x:c>
      <x:c r="D865" s="21" t="str">
        <x:v>"every_fifth_group_heal"</x:v>
      </x:c>
    </x:row>
    <x:row r="866" ht="22" customHeight="1">
      <x:c r="A866" s="21" t="str">
        <x:v>data/units/race_units.json</x:v>
      </x:c>
      <x:c r="B866" s="21" t="str">
        <x:v>$/units/29/every</x:v>
      </x:c>
      <x:c r="C866" s="21" t="str">
        <x:v>int</x:v>
      </x:c>
      <x:c r="D866" s="21" t="str">
        <x:v>5</x:v>
      </x:c>
    </x:row>
    <x:row r="867" ht="22" customHeight="1">
      <x:c r="A867" s="21" t="str">
        <x:v>data/units/race_units.json</x:v>
      </x:c>
      <x:c r="B867" s="21" t="str">
        <x:v>$/units/29/heal_pct</x:v>
      </x:c>
      <x:c r="C867" s="21" t="str">
        <x:v>float</x:v>
      </x:c>
      <x:c r="D867" s="21" t="str">
        <x:v>0.15</x:v>
      </x:c>
    </x:row>
    <x:row r="868" ht="22" customHeight="1">
      <x:c r="A868" s="21" t="str">
        <x:v>data/units/race_units.json</x:v>
      </x:c>
      <x:c r="B868" s="21" t="str">
        <x:v>$/units/29/model</x:v>
      </x:c>
      <x:c r="C868" s="21" t="str">
        <x:v>string</x:v>
      </x:c>
      <x:c r="D868" s="21" t="str">
        <x:v>"res://assets/models/units/human_cleric_animated/human_cleric_animated.tscn"</x:v>
      </x:c>
    </x:row>
    <x:row r="869" ht="22" customHeight="1">
      <x:c r="A869" s="21" t="str">
        <x:v>data/units/race_units.json</x:v>
      </x:c>
      <x:c r="B869" s="21" t="str">
        <x:v>$/units/29/model_visual_scale</x:v>
      </x:c>
      <x:c r="C869" s="21" t="str">
        <x:v>int</x:v>
      </x:c>
      <x:c r="D869" s="21" t="str">
        <x:v>1</x:v>
      </x:c>
    </x:row>
    <x:row r="870" ht="22" customHeight="1">
      <x:c r="A870" s="21" t="str">
        <x:v>data/units/race_units.json</x:v>
      </x:c>
      <x:c r="B870" s="21" t="str">
        <x:v>$/units/29/model_base_yaw</x:v>
      </x:c>
      <x:c r="C870" s="21" t="str">
        <x:v>int</x:v>
      </x:c>
      <x:c r="D870" s="21" t="str">
        <x:v>180</x:v>
      </x:c>
    </x:row>
    <x:row r="871" ht="22" customHeight="1">
      <x:c r="A871" s="21" t="str">
        <x:v>data/units/race_units.json</x:v>
      </x:c>
      <x:c r="B871" s="21" t="str">
        <x:v>$/units/29/name_en</x:v>
      </x:c>
      <x:c r="C871" s="21" t="str">
        <x:v>string</x:v>
      </x:c>
      <x:c r="D871" s="21" t="str">
        <x:v>"Cleric"</x:v>
      </x:c>
    </x:row>
    <x:row r="872" ht="22" customHeight="1">
      <x:c r="A872" s="21" t="str">
        <x:v>data/units/race_units.json</x:v>
      </x:c>
      <x:c r="B872" s="21" t="str">
        <x:v>$/units/30</x:v>
      </x:c>
      <x:c r="C872" s="21" t="str">
        <x:v>object</x:v>
      </x:c>
      <x:c r="D872" s="21" t="str"/>
    </x:row>
    <x:row r="873" ht="22" customHeight="1">
      <x:c r="A873" s="21" t="str">
        <x:v>data/units/race_units.json</x:v>
      </x:c>
      <x:c r="B873" s="21" t="str">
        <x:v>$/units/30/id</x:v>
      </x:c>
      <x:c r="C873" s="21" t="str">
        <x:v>string</x:v>
      </x:c>
      <x:c r="D873" s="21" t="str">
        <x:v>"human_death_servant"</x:v>
      </x:c>
    </x:row>
    <x:row r="874" ht="22" customHeight="1">
      <x:c r="A874" s="21" t="str">
        <x:v>data/units/race_units.json</x:v>
      </x:c>
      <x:c r="B874" s="21" t="str">
        <x:v>$/units/30/model_in_place_actions</x:v>
      </x:c>
      <x:c r="C874" s="21" t="str">
        <x:v>array</x:v>
      </x:c>
      <x:c r="D874" s="21" t="str"/>
    </x:row>
    <x:row r="875" ht="22" customHeight="1">
      <x:c r="A875" s="21" t="str">
        <x:v>data/units/race_units.json</x:v>
      </x:c>
      <x:c r="B875" s="21" t="str">
        <x:v>$/units/30/model_in_place_actions/0</x:v>
      </x:c>
      <x:c r="C875" s="21" t="str">
        <x:v>string</x:v>
      </x:c>
      <x:c r="D875" s="21" t="str">
        <x:v>"run"</x:v>
      </x:c>
    </x:row>
    <x:row r="876" ht="22" customHeight="1">
      <x:c r="A876" s="21" t="str">
        <x:v>data/units/race_units.json</x:v>
      </x:c>
      <x:c r="B876" s="21" t="str">
        <x:v>$/units/30/model_in_place_actions/1</x:v>
      </x:c>
      <x:c r="C876" s="21" t="str">
        <x:v>string</x:v>
      </x:c>
      <x:c r="D876" s="21" t="str">
        <x:v>"attack"</x:v>
      </x:c>
    </x:row>
    <x:row r="877" ht="22" customHeight="1">
      <x:c r="A877" s="21" t="str">
        <x:v>data/units/race_units.json</x:v>
      </x:c>
      <x:c r="B877" s="21" t="str">
        <x:v>$/units/30/model_in_place_actions/2</x:v>
      </x:c>
      <x:c r="C877" s="21" t="str">
        <x:v>string</x:v>
      </x:c>
      <x:c r="D877" s="21" t="str">
        <x:v>"idle"</x:v>
      </x:c>
    </x:row>
    <x:row r="878" ht="22" customHeight="1">
      <x:c r="A878" s="21" t="str">
        <x:v>data/units/race_units.json</x:v>
      </x:c>
      <x:c r="B878" s="21" t="str">
        <x:v>$/units/30/star4</x:v>
      </x:c>
      <x:c r="C878" s="21" t="str">
        <x:v>object</x:v>
      </x:c>
      <x:c r="D878" s="21" t="str"/>
    </x:row>
    <x:row r="879" ht="22" customHeight="1">
      <x:c r="A879" s="21" t="str">
        <x:v>data/units/race_units.json</x:v>
      </x:c>
      <x:c r="B879" s="21" t="str">
        <x:v>$/units/30/star4/ally_def_pct</x:v>
      </x:c>
      <x:c r="C879" s="21" t="str">
        <x:v>float</x:v>
      </x:c>
      <x:c r="D879" s="21" t="str">
        <x:v>0.4</x:v>
      </x:c>
    </x:row>
    <x:row r="880" ht="22" customHeight="1">
      <x:c r="A880" s="21" t="str">
        <x:v>data/units/race_units.json</x:v>
      </x:c>
      <x:c r="B880" s="21" t="str">
        <x:v>$/units/30/star4/ally_def_duration</x:v>
      </x:c>
      <x:c r="C880" s="21" t="str">
        <x:v>int</x:v>
      </x:c>
      <x:c r="D880" s="21" t="str">
        <x:v>8</x:v>
      </x:c>
    </x:row>
    <x:row r="881" ht="22" customHeight="1">
      <x:c r="A881" s="21" t="str">
        <x:v>data/units/race_units.json</x:v>
      </x:c>
      <x:c r="B881" s="21" t="str">
        <x:v>$/units/30/name</x:v>
      </x:c>
      <x:c r="C881" s="21" t="str">
        <x:v>string</x:v>
      </x:c>
      <x:c r="D881" s="21" t="str">
        <x:v>"死侍"</x:v>
      </x:c>
    </x:row>
    <x:row r="882" ht="22" customHeight="1">
      <x:c r="A882" s="21" t="str">
        <x:v>data/units/race_units.json</x:v>
      </x:c>
      <x:c r="B882" s="21" t="str">
        <x:v>$/units/30/race</x:v>
      </x:c>
      <x:c r="C882" s="21" t="str">
        <x:v>string</x:v>
      </x:c>
      <x:c r="D882" s="21" t="str">
        <x:v>"human"</x:v>
      </x:c>
    </x:row>
    <x:row r="883" ht="22" customHeight="1">
      <x:c r="A883" s="21" t="str">
        <x:v>data/units/race_units.json</x:v>
      </x:c>
      <x:c r="B883" s="21" t="str">
        <x:v>$/units/30/element</x:v>
      </x:c>
      <x:c r="C883" s="21" t="str">
        <x:v>string</x:v>
      </x:c>
      <x:c r="D883" s="21" t="str">
        <x:v>"land"</x:v>
      </x:c>
    </x:row>
    <x:row r="884" ht="22" customHeight="1">
      <x:c r="A884" s="21" t="str">
        <x:v>data/units/race_units.json</x:v>
      </x:c>
      <x:c r="B884" s="21" t="str">
        <x:v>$/units/30/tier</x:v>
      </x:c>
      <x:c r="C884" s="21" t="str">
        <x:v>int</x:v>
      </x:c>
      <x:c r="D884" s="21" t="str">
        <x:v>2</x:v>
      </x:c>
    </x:row>
    <x:row r="885" ht="22" customHeight="1">
      <x:c r="A885" s="21" t="str">
        <x:v>data/units/race_units.json</x:v>
      </x:c>
      <x:c r="B885" s="21" t="str">
        <x:v>$/units/30/cost</x:v>
      </x:c>
      <x:c r="C885" s="21" t="str">
        <x:v>int</x:v>
      </x:c>
      <x:c r="D885" s="21" t="str">
        <x:v>30</x:v>
      </x:c>
    </x:row>
    <x:row r="886" ht="22" customHeight="1">
      <x:c r="A886" s="21" t="str">
        <x:v>data/units/race_units.json</x:v>
      </x:c>
      <x:c r="B886" s="21" t="str">
        <x:v>$/units/30/hp</x:v>
      </x:c>
      <x:c r="C886" s="21" t="str">
        <x:v>int</x:v>
      </x:c>
      <x:c r="D886" s="21" t="str">
        <x:v>1640</x:v>
      </x:c>
    </x:row>
    <x:row r="887" ht="22" customHeight="1">
      <x:c r="A887" s="21" t="str">
        <x:v>data/units/race_units.json</x:v>
      </x:c>
      <x:c r="B887" s="21" t="str">
        <x:v>$/units/30/atk</x:v>
      </x:c>
      <x:c r="C887" s="21" t="str">
        <x:v>int</x:v>
      </x:c>
      <x:c r="D887" s="21" t="str">
        <x:v>1</x:v>
      </x:c>
    </x:row>
    <x:row r="888" ht="22" customHeight="1">
      <x:c r="A888" s="21" t="str">
        <x:v>data/units/race_units.json</x:v>
      </x:c>
      <x:c r="B888" s="21" t="str">
        <x:v>$/units/30/def</x:v>
      </x:c>
      <x:c r="C888" s="21" t="str">
        <x:v>int</x:v>
      </x:c>
      <x:c r="D888" s="21" t="str">
        <x:v>18</x:v>
      </x:c>
    </x:row>
    <x:row r="889" ht="22" customHeight="1">
      <x:c r="A889" s="21" t="str">
        <x:v>data/units/race_units.json</x:v>
      </x:c>
      <x:c r="B889" s="21" t="str">
        <x:v>$/units/30/attack_speed</x:v>
      </x:c>
      <x:c r="C889" s="21" t="str">
        <x:v>float</x:v>
      </x:c>
      <x:c r="D889" s="21" t="str">
        <x:v>0.0</x:v>
      </x:c>
    </x:row>
    <x:row r="890" ht="22" customHeight="1">
      <x:c r="A890" s="21" t="str">
        <x:v>data/units/race_units.json</x:v>
      </x:c>
      <x:c r="B890" s="21" t="str">
        <x:v>$/units/30/range</x:v>
      </x:c>
      <x:c r="C890" s="21" t="str">
        <x:v>int</x:v>
      </x:c>
      <x:c r="D890" s="21" t="str">
        <x:v>1</x:v>
      </x:c>
    </x:row>
    <x:row r="891" ht="22" customHeight="1">
      <x:c r="A891" s="21" t="str">
        <x:v>data/units/race_units.json</x:v>
      </x:c>
      <x:c r="B891" s="21" t="str">
        <x:v>$/units/30/move_speed</x:v>
      </x:c>
      <x:c r="C891" s="21" t="str">
        <x:v>float</x:v>
      </x:c>
      <x:c r="D891" s="21" t="str">
        <x:v>2.8</x:v>
      </x:c>
    </x:row>
    <x:row r="892" ht="22" customHeight="1">
      <x:c r="A892" s="21" t="str">
        <x:v>data/units/race_units.json</x:v>
      </x:c>
      <x:c r="B892" s="21" t="str">
        <x:v>$/units/30/crit</x:v>
      </x:c>
      <x:c r="C892" s="21" t="str">
        <x:v>float</x:v>
      </x:c>
      <x:c r="D892" s="21" t="str">
        <x:v>0.0</x:v>
      </x:c>
    </x:row>
    <x:row r="893" ht="22" customHeight="1">
      <x:c r="A893" s="21" t="str">
        <x:v>data/units/race_units.json</x:v>
      </x:c>
      <x:c r="B893" s="21" t="str">
        <x:v>$/units/30/crit_dmg</x:v>
      </x:c>
      <x:c r="C893" s="21" t="str">
        <x:v>float</x:v>
      </x:c>
      <x:c r="D893" s="21" t="str">
        <x:v>1.0</x:v>
      </x:c>
    </x:row>
    <x:row r="894" ht="22" customHeight="1">
      <x:c r="A894" s="21" t="str">
        <x:v>data/units/race_units.json</x:v>
      </x:c>
      <x:c r="B894" s="21" t="str">
        <x:v>$/units/30/skill_id</x:v>
      </x:c>
      <x:c r="C894" s="21" t="str">
        <x:v>string</x:v>
      </x:c>
      <x:c r="D894" s="21" t="str">
        <x:v>"left_neighbor_sacrifice"</x:v>
      </x:c>
    </x:row>
    <x:row r="895" ht="22" customHeight="1">
      <x:c r="A895" s="21" t="str">
        <x:v>data/units/race_units.json</x:v>
      </x:c>
      <x:c r="B895" s="21" t="str">
        <x:v>$/units/30/model</x:v>
      </x:c>
      <x:c r="C895" s="21" t="str">
        <x:v>string</x:v>
      </x:c>
      <x:c r="D895" s="21" t="str">
        <x:v>"res://assets/models/units/human_death_servant_animated/human_death_servant_animated.tscn"</x:v>
      </x:c>
    </x:row>
    <x:row r="896" ht="22" customHeight="1">
      <x:c r="A896" s="21" t="str">
        <x:v>data/units/race_units.json</x:v>
      </x:c>
      <x:c r="B896" s="21" t="str">
        <x:v>$/units/30/model_visual_scale</x:v>
      </x:c>
      <x:c r="C896" s="21" t="str">
        <x:v>int</x:v>
      </x:c>
      <x:c r="D896" s="21" t="str">
        <x:v>1</x:v>
      </x:c>
    </x:row>
    <x:row r="897" ht="22" customHeight="1">
      <x:c r="A897" s="21" t="str">
        <x:v>data/units/race_units.json</x:v>
      </x:c>
      <x:c r="B897" s="21" t="str">
        <x:v>$/units/30/model_base_yaw</x:v>
      </x:c>
      <x:c r="C897" s="21" t="str">
        <x:v>int</x:v>
      </x:c>
      <x:c r="D897" s="21" t="str">
        <x:v>180</x:v>
      </x:c>
    </x:row>
    <x:row r="898" ht="22" customHeight="1">
      <x:c r="A898" s="21" t="str">
        <x:v>data/units/race_units.json</x:v>
      </x:c>
      <x:c r="B898" s="21" t="str">
        <x:v>$/units/30/ally_def_bonus</x:v>
      </x:c>
      <x:c r="C898" s="21" t="str">
        <x:v>int</x:v>
      </x:c>
      <x:c r="D898" s="21" t="str">
        <x:v>3</x:v>
      </x:c>
    </x:row>
    <x:row r="899" ht="22" customHeight="1">
      <x:c r="A899" s="21" t="str">
        <x:v>data/units/race_units.json</x:v>
      </x:c>
      <x:c r="B899" s="21" t="str">
        <x:v>$/units/30/ally_def_duration</x:v>
      </x:c>
      <x:c r="C899" s="21" t="str">
        <x:v>int</x:v>
      </x:c>
      <x:c r="D899" s="21" t="str">
        <x:v>5</x:v>
      </x:c>
    </x:row>
    <x:row r="900" ht="22" customHeight="1">
      <x:c r="A900" s="21" t="str">
        <x:v>data/units/race_units.json</x:v>
      </x:c>
      <x:c r="B900" s="21" t="str">
        <x:v>$/units/30/name_en</x:v>
      </x:c>
      <x:c r="C900" s="21" t="str">
        <x:v>string</x:v>
      </x:c>
      <x:c r="D900" s="21" t="str">
        <x:v>"Deathbound"</x:v>
      </x:c>
    </x:row>
    <x:row r="901" ht="22" customHeight="1">
      <x:c r="A901" s="21" t="str">
        <x:v>data/units/race_units.json</x:v>
      </x:c>
      <x:c r="B901" s="21" t="str">
        <x:v>$/units/31</x:v>
      </x:c>
      <x:c r="C901" s="21" t="str">
        <x:v>object</x:v>
      </x:c>
      <x:c r="D901" s="21" t="str"/>
    </x:row>
    <x:row r="902" ht="22" customHeight="1">
      <x:c r="A902" s="21" t="str">
        <x:v>data/units/race_units.json</x:v>
      </x:c>
      <x:c r="B902" s="21" t="str">
        <x:v>$/units/31/id</x:v>
      </x:c>
      <x:c r="C902" s="21" t="str">
        <x:v>string</x:v>
      </x:c>
      <x:c r="D902" s="21" t="str">
        <x:v>"human_king"</x:v>
      </x:c>
    </x:row>
    <x:row r="903" ht="22" customHeight="1">
      <x:c r="A903" s="21" t="str">
        <x:v>data/units/race_units.json</x:v>
      </x:c>
      <x:c r="B903" s="21" t="str">
        <x:v>$/units/31/max_stacks</x:v>
      </x:c>
      <x:c r="C903" s="21" t="str">
        <x:v>int</x:v>
      </x:c>
      <x:c r="D903" s="21" t="str">
        <x:v>5</x:v>
      </x:c>
    </x:row>
    <x:row r="904" ht="22" customHeight="1">
      <x:c r="A904" s="21" t="str">
        <x:v>data/units/race_units.json</x:v>
      </x:c>
      <x:c r="B904" s="21" t="str">
        <x:v>$/units/31/star4</x:v>
      </x:c>
      <x:c r="C904" s="21" t="str">
        <x:v>object</x:v>
      </x:c>
      <x:c r="D904" s="21" t="str"/>
    </x:row>
    <x:row r="905" ht="22" customHeight="1">
      <x:c r="A905" s="21" t="str">
        <x:v>data/units/race_units.json</x:v>
      </x:c>
      <x:c r="B905" s="21" t="str">
        <x:v>$/units/31/star4/max_stacks</x:v>
      </x:c>
      <x:c r="C905" s="21" t="str">
        <x:v>int</x:v>
      </x:c>
      <x:c r="D905" s="21" t="str">
        <x:v>8</x:v>
      </x:c>
    </x:row>
    <x:row r="906" ht="22" customHeight="1">
      <x:c r="A906" s="21" t="str">
        <x:v>data/units/race_units.json</x:v>
      </x:c>
      <x:c r="B906" s="21" t="str">
        <x:v>$/units/31/star4/post_battle_all_stat_growth</x:v>
      </x:c>
      <x:c r="C906" s="21" t="str">
        <x:v>float</x:v>
      </x:c>
      <x:c r="D906" s="21" t="str">
        <x:v>0.3</x:v>
      </x:c>
    </x:row>
    <x:row r="907" ht="22" customHeight="1">
      <x:c r="A907" s="21" t="str">
        <x:v>data/units/race_units.json</x:v>
      </x:c>
      <x:c r="B907" s="21" t="str">
        <x:v>$/units/31/name</x:v>
      </x:c>
      <x:c r="C907" s="21" t="str">
        <x:v>string</x:v>
      </x:c>
      <x:c r="D907" s="21" t="str">
        <x:v>"人王"</x:v>
      </x:c>
    </x:row>
    <x:row r="908" ht="22" customHeight="1">
      <x:c r="A908" s="21" t="str">
        <x:v>data/units/race_units.json</x:v>
      </x:c>
      <x:c r="B908" s="21" t="str">
        <x:v>$/units/31/race</x:v>
      </x:c>
      <x:c r="C908" s="21" t="str">
        <x:v>string</x:v>
      </x:c>
      <x:c r="D908" s="21" t="str">
        <x:v>"human"</x:v>
      </x:c>
    </x:row>
    <x:row r="909" ht="22" customHeight="1">
      <x:c r="A909" s="21" t="str">
        <x:v>data/units/race_units.json</x:v>
      </x:c>
      <x:c r="B909" s="21" t="str">
        <x:v>$/units/31/element</x:v>
      </x:c>
      <x:c r="C909" s="21" t="str">
        <x:v>string</x:v>
      </x:c>
      <x:c r="D909" s="21" t="str">
        <x:v>"ren"</x:v>
      </x:c>
    </x:row>
    <x:row r="910" ht="22" customHeight="1">
      <x:c r="A910" s="21" t="str">
        <x:v>data/units/race_units.json</x:v>
      </x:c>
      <x:c r="B910" s="21" t="str">
        <x:v>$/units/31/tier</x:v>
      </x:c>
      <x:c r="C910" s="21" t="str">
        <x:v>int</x:v>
      </x:c>
      <x:c r="D910" s="21" t="str">
        <x:v>3</x:v>
      </x:c>
    </x:row>
    <x:row r="911" ht="22" customHeight="1">
      <x:c r="A911" s="21" t="str">
        <x:v>data/units/race_units.json</x:v>
      </x:c>
      <x:c r="B911" s="21" t="str">
        <x:v>$/units/31/cost</x:v>
      </x:c>
      <x:c r="C911" s="21" t="str">
        <x:v>int</x:v>
      </x:c>
      <x:c r="D911" s="21" t="str">
        <x:v>50</x:v>
      </x:c>
    </x:row>
    <x:row r="912" ht="22" customHeight="1">
      <x:c r="A912" s="21" t="str">
        <x:v>data/units/race_units.json</x:v>
      </x:c>
      <x:c r="B912" s="21" t="str">
        <x:v>$/units/31/hp</x:v>
      </x:c>
      <x:c r="C912" s="21" t="str">
        <x:v>int</x:v>
      </x:c>
      <x:c r="D912" s="21" t="str">
        <x:v>720</x:v>
      </x:c>
    </x:row>
    <x:row r="913" ht="22" customHeight="1">
      <x:c r="A913" s="21" t="str">
        <x:v>data/units/race_units.json</x:v>
      </x:c>
      <x:c r="B913" s="21" t="str">
        <x:v>$/units/31/atk</x:v>
      </x:c>
      <x:c r="C913" s="21" t="str">
        <x:v>int</x:v>
      </x:c>
      <x:c r="D913" s="21" t="str">
        <x:v>55</x:v>
      </x:c>
    </x:row>
    <x:row r="914" ht="22" customHeight="1">
      <x:c r="A914" s="21" t="str">
        <x:v>data/units/race_units.json</x:v>
      </x:c>
      <x:c r="B914" s="21" t="str">
        <x:v>$/units/31/def</x:v>
      </x:c>
      <x:c r="C914" s="21" t="str">
        <x:v>int</x:v>
      </x:c>
      <x:c r="D914" s="21" t="str">
        <x:v>7</x:v>
      </x:c>
    </x:row>
    <x:row r="915" ht="22" customHeight="1">
      <x:c r="A915" s="21" t="str">
        <x:v>data/units/race_units.json</x:v>
      </x:c>
      <x:c r="B915" s="21" t="str">
        <x:v>$/units/31/attack_speed</x:v>
      </x:c>
      <x:c r="C915" s="21" t="str">
        <x:v>float</x:v>
      </x:c>
      <x:c r="D915" s="21" t="str">
        <x:v>0.6</x:v>
      </x:c>
    </x:row>
    <x:row r="916" ht="22" customHeight="1">
      <x:c r="A916" s="21" t="str">
        <x:v>data/units/race_units.json</x:v>
      </x:c>
      <x:c r="B916" s="21" t="str">
        <x:v>$/units/31/range</x:v>
      </x:c>
      <x:c r="C916" s="21" t="str">
        <x:v>float</x:v>
      </x:c>
      <x:c r="D916" s="21" t="str">
        <x:v>1.5</x:v>
      </x:c>
    </x:row>
    <x:row r="917" ht="22" customHeight="1">
      <x:c r="A917" s="21" t="str">
        <x:v>data/units/race_units.json</x:v>
      </x:c>
      <x:c r="B917" s="21" t="str">
        <x:v>$/units/31/move_speed</x:v>
      </x:c>
      <x:c r="C917" s="21" t="str">
        <x:v>float</x:v>
      </x:c>
      <x:c r="D917" s="21" t="str">
        <x:v>1.2</x:v>
      </x:c>
    </x:row>
    <x:row r="918" ht="22" customHeight="1">
      <x:c r="A918" s="21" t="str">
        <x:v>data/units/race_units.json</x:v>
      </x:c>
      <x:c r="B918" s="21" t="str">
        <x:v>$/units/31/crit</x:v>
      </x:c>
      <x:c r="C918" s="21" t="str">
        <x:v>float</x:v>
      </x:c>
      <x:c r="D918" s="21" t="str">
        <x:v>0.07</x:v>
      </x:c>
    </x:row>
    <x:row r="919" ht="22" customHeight="1">
      <x:c r="A919" s="21" t="str">
        <x:v>data/units/race_units.json</x:v>
      </x:c>
      <x:c r="B919" s="21" t="str">
        <x:v>$/units/31/crit_dmg</x:v>
      </x:c>
      <x:c r="C919" s="21" t="str">
        <x:v>float</x:v>
      </x:c>
      <x:c r="D919" s="21" t="str">
        <x:v>1.8</x:v>
      </x:c>
    </x:row>
    <x:row r="920" ht="22" customHeight="1">
      <x:c r="A920" s="21" t="str">
        <x:v>data/units/race_units.json</x:v>
      </x:c>
      <x:c r="B920" s="21" t="str">
        <x:v>$/units/31/skill_id</x:v>
      </x:c>
      <x:c r="C920" s="21" t="str">
        <x:v>string</x:v>
      </x:c>
      <x:c r="D920" s="21" t="str">
        <x:v>"unique_king_growth"</x:v>
      </x:c>
    </x:row>
    <x:row r="921" ht="22" customHeight="1">
      <x:c r="A921" s="21" t="str">
        <x:v>data/units/race_units.json</x:v>
      </x:c>
      <x:c r="B921" s="21" t="str">
        <x:v>$/units/31/post_battle_all_stat_growth</x:v>
      </x:c>
      <x:c r="C921" s="21" t="str">
        <x:v>float</x:v>
      </x:c>
      <x:c r="D921" s="21" t="str">
        <x:v>0.2</x:v>
      </x:c>
    </x:row>
    <x:row r="922" ht="22" customHeight="1">
      <x:c r="A922" s="21" t="str">
        <x:v>data/units/race_units.json</x:v>
      </x:c>
      <x:c r="B922" s="21" t="str">
        <x:v>$/units/31/unique_on_board</x:v>
      </x:c>
      <x:c r="C922" s="21" t="str">
        <x:v>bool</x:v>
      </x:c>
      <x:c r="D922" s="21" t="str">
        <x:v>true</x:v>
      </x:c>
    </x:row>
    <x:row r="923" ht="22" customHeight="1">
      <x:c r="A923" s="21" t="str">
        <x:v>data/units/race_units.json</x:v>
      </x:c>
      <x:c r="B923" s="21" t="str">
        <x:v>$/units/31/remove_on_death</x:v>
      </x:c>
      <x:c r="C923" s="21" t="str">
        <x:v>bool</x:v>
      </x:c>
      <x:c r="D923" s="21" t="str">
        <x:v>true</x:v>
      </x:c>
    </x:row>
    <x:row r="924" ht="22" customHeight="1">
      <x:c r="A924" s="21" t="str">
        <x:v>data/units/race_units.json</x:v>
      </x:c>
      <x:c r="B924" s="21" t="str">
        <x:v>$/units/31/model</x:v>
      </x:c>
      <x:c r="C924" s="21" t="str">
        <x:v>string</x:v>
      </x:c>
      <x:c r="D924" s="21" t="str">
        <x:v>"res://assets/models/units/human_king_animated/human_king_animated.tscn"</x:v>
      </x:c>
    </x:row>
    <x:row r="925" ht="22" customHeight="1">
      <x:c r="A925" s="21" t="str">
        <x:v>data/units/race_units.json</x:v>
      </x:c>
      <x:c r="B925" s="21" t="str">
        <x:v>$/units/31/model_visual_scale</x:v>
      </x:c>
      <x:c r="C925" s="21" t="str">
        <x:v>int</x:v>
      </x:c>
      <x:c r="D925" s="21" t="str">
        <x:v>1</x:v>
      </x:c>
    </x:row>
    <x:row r="926" ht="22" customHeight="1">
      <x:c r="A926" s="21" t="str">
        <x:v>data/units/race_units.json</x:v>
      </x:c>
      <x:c r="B926" s="21" t="str">
        <x:v>$/units/31/model_base_yaw</x:v>
      </x:c>
      <x:c r="C926" s="21" t="str">
        <x:v>int</x:v>
      </x:c>
      <x:c r="D926" s="21" t="str">
        <x:v>180</x:v>
      </x:c>
    </x:row>
    <x:row r="927" ht="22" customHeight="1">
      <x:c r="A927" s="21" t="str">
        <x:v>data/units/race_units.json</x:v>
      </x:c>
      <x:c r="B927" s="21" t="str">
        <x:v>$/units/31/model_idle_animation_name</x:v>
      </x:c>
      <x:c r="C927" s="21" t="str">
        <x:v>string</x:v>
      </x:c>
      <x:c r="D927" s="21" t="str">
        <x:v>"idle"</x:v>
      </x:c>
    </x:row>
    <x:row r="928" ht="22" customHeight="1">
      <x:c r="A928" s="21" t="str">
        <x:v>data/units/race_units.json</x:v>
      </x:c>
      <x:c r="B928" s="21" t="str">
        <x:v>$/units/31/model_attack_animation_name</x:v>
      </x:c>
      <x:c r="C928" s="21" t="str">
        <x:v>string</x:v>
      </x:c>
      <x:c r="D928" s="21" t="str">
        <x:v>"attack"</x:v>
      </x:c>
    </x:row>
    <x:row r="929" ht="22" customHeight="1">
      <x:c r="A929" s="21" t="str">
        <x:v>data/units/race_units.json</x:v>
      </x:c>
      <x:c r="B929" s="21" t="str">
        <x:v>$/units/31/model_attack_sync_seek</x:v>
      </x:c>
      <x:c r="C929" s="21" t="str">
        <x:v>float</x:v>
      </x:c>
      <x:c r="D929" s="21" t="str">
        <x:v>0.18</x:v>
      </x:c>
    </x:row>
    <x:row r="930" ht="22" customHeight="1">
      <x:c r="A930" s="21" t="str">
        <x:v>data/units/race_units.json</x:v>
      </x:c>
      <x:c r="B930" s="21" t="str">
        <x:v>$/units/31/model_attack_lock_time</x:v>
      </x:c>
      <x:c r="C930" s="21" t="str">
        <x:v>float</x:v>
      </x:c>
      <x:c r="D930" s="21" t="str">
        <x:v>0.45</x:v>
      </x:c>
    </x:row>
    <x:row r="931" ht="22" customHeight="1">
      <x:c r="A931" s="21" t="str">
        <x:v>data/units/race_units.json</x:v>
      </x:c>
      <x:c r="B931" s="21" t="str">
        <x:v>$/units/31/model_run_animation_name</x:v>
      </x:c>
      <x:c r="C931" s="21" t="str">
        <x:v>string</x:v>
      </x:c>
      <x:c r="D931" s="21" t="str">
        <x:v>"run"</x:v>
      </x:c>
    </x:row>
    <x:row r="932" ht="22" customHeight="1">
      <x:c r="A932" s="21" t="str">
        <x:v>data/units/race_units.json</x:v>
      </x:c>
      <x:c r="B932" s="21" t="str">
        <x:v>$/units/31/name_en</x:v>
      </x:c>
      <x:c r="C932" s="21" t="str">
        <x:v>string</x:v>
      </x:c>
      <x:c r="D932" s="21" t="str">
        <x:v>"Human King"</x:v>
      </x:c>
    </x:row>
    <x:row r="933" ht="22" customHeight="1">
      <x:c r="A933" s="21" t="str">
        <x:v>data/units/race_units.json</x:v>
      </x:c>
      <x:c r="B933" s="21" t="str">
        <x:v>$/units/32</x:v>
      </x:c>
      <x:c r="C933" s="21" t="str">
        <x:v>object</x:v>
      </x:c>
      <x:c r="D933" s="21" t="str"/>
    </x:row>
    <x:row r="934" ht="22" customHeight="1">
      <x:c r="A934" s="21" t="str">
        <x:v>data/units/race_units.json</x:v>
      </x:c>
      <x:c r="B934" s="21" t="str">
        <x:v>$/units/32/id</x:v>
      </x:c>
      <x:c r="C934" s="21" t="str">
        <x:v>string</x:v>
      </x:c>
      <x:c r="D934" s="21" t="str">
        <x:v>"crimson"</x:v>
      </x:c>
    </x:row>
    <x:row r="935" ht="22" customHeight="1">
      <x:c r="A935" s="21" t="str">
        <x:v>data/units/race_units.json</x:v>
      </x:c>
      <x:c r="B935" s="21" t="str">
        <x:v>$/units/32/name</x:v>
      </x:c>
      <x:c r="C935" s="21" t="str">
        <x:v>string</x:v>
      </x:c>
      <x:c r="D935" s="21" t="str">
        <x:v>"赤卫"</x:v>
      </x:c>
    </x:row>
    <x:row r="936" ht="22" customHeight="1">
      <x:c r="A936" s="21" t="str">
        <x:v>data/units/race_units.json</x:v>
      </x:c>
      <x:c r="B936" s="21" t="str">
        <x:v>$/units/32/name_en</x:v>
      </x:c>
      <x:c r="C936" s="21" t="str">
        <x:v>string</x:v>
      </x:c>
      <x:c r="D936" s="21" t="str">
        <x:v>"Crimson Guard"</x:v>
      </x:c>
    </x:row>
    <x:row r="937" ht="22" customHeight="1">
      <x:c r="A937" s="21" t="str">
        <x:v>data/units/race_units.json</x:v>
      </x:c>
      <x:c r="B937" s="21" t="str">
        <x:v>$/units/32/race</x:v>
      </x:c>
      <x:c r="C937" s="21" t="str">
        <x:v>string</x:v>
      </x:c>
      <x:c r="D937" s="21" t="str">
        <x:v>"crimson"</x:v>
      </x:c>
    </x:row>
    <x:row r="938" ht="22" customHeight="1">
      <x:c r="A938" s="21" t="str">
        <x:v>data/units/race_units.json</x:v>
      </x:c>
      <x:c r="B938" s="21" t="str">
        <x:v>$/units/32/model</x:v>
      </x:c>
      <x:c r="C938" s="21" t="str">
        <x:v>string</x:v>
      </x:c>
      <x:c r="D938" s="21" t="str">
        <x:v>"res://assets/models/units/crimson_refined/crimson/crimson_refined.tscn"</x:v>
      </x:c>
    </x:row>
    <x:row r="939" ht="22" customHeight="1">
      <x:c r="A939" s="21" t="str">
        <x:v>data/units/race_units.json</x:v>
      </x:c>
      <x:c r="B939" s="21" t="str">
        <x:v>$/units/32/model_visual_scale</x:v>
      </x:c>
      <x:c r="C939" s="21" t="str">
        <x:v>float</x:v>
      </x:c>
      <x:c r="D939" s="21" t="str">
        <x:v>1.09</x:v>
      </x:c>
    </x:row>
    <x:row r="940" ht="22" customHeight="1">
      <x:c r="A940" s="21" t="str">
        <x:v>data/units/race_units.json</x:v>
      </x:c>
      <x:c r="B940" s="21" t="str">
        <x:v>$/units/32/model_idle_animation_name</x:v>
      </x:c>
      <x:c r="C940" s="21" t="str">
        <x:v>string</x:v>
      </x:c>
      <x:c r="D940" s="21" t="str">
        <x:v>"idle"</x:v>
      </x:c>
    </x:row>
    <x:row r="941" ht="22" customHeight="1">
      <x:c r="A941" s="21" t="str">
        <x:v>data/units/race_units.json</x:v>
      </x:c>
      <x:c r="B941" s="21" t="str">
        <x:v>$/units/32/model_attack_animation_name</x:v>
      </x:c>
      <x:c r="C941" s="21" t="str">
        <x:v>string</x:v>
      </x:c>
      <x:c r="D941" s="21" t="str">
        <x:v>"attack"</x:v>
      </x:c>
    </x:row>
    <x:row r="942" ht="22" customHeight="1">
      <x:c r="A942" s="21" t="str">
        <x:v>data/units/race_units.json</x:v>
      </x:c>
      <x:c r="B942" s="21" t="str">
        <x:v>$/units/32/model_run_animation_name</x:v>
      </x:c>
      <x:c r="C942" s="21" t="str">
        <x:v>string</x:v>
      </x:c>
      <x:c r="D942" s="21" t="str">
        <x:v>"run"</x:v>
      </x:c>
    </x:row>
    <x:row r="943" ht="22" customHeight="1">
      <x:c r="A943" s="21" t="str">
        <x:v>data/units/race_units.json</x:v>
      </x:c>
      <x:c r="B943" s="21" t="str">
        <x:v>$/units/32/element</x:v>
      </x:c>
      <x:c r="C943" s="21" t="str">
        <x:v>string</x:v>
      </x:c>
      <x:c r="D943" s="21" t="str">
        <x:v>"land"</x:v>
      </x:c>
    </x:row>
    <x:row r="944" ht="22" customHeight="1">
      <x:c r="A944" s="21" t="str">
        <x:v>data/units/race_units.json</x:v>
      </x:c>
      <x:c r="B944" s="21" t="str">
        <x:v>$/units/32/tier</x:v>
      </x:c>
      <x:c r="C944" s="21" t="str">
        <x:v>int</x:v>
      </x:c>
      <x:c r="D944" s="21" t="str">
        <x:v>1</x:v>
      </x:c>
    </x:row>
    <x:row r="945" ht="22" customHeight="1">
      <x:c r="A945" s="21" t="str">
        <x:v>data/units/race_units.json</x:v>
      </x:c>
      <x:c r="B945" s="21" t="str">
        <x:v>$/units/32/cost</x:v>
      </x:c>
      <x:c r="C945" s="21" t="str">
        <x:v>int</x:v>
      </x:c>
      <x:c r="D945" s="21" t="str">
        <x:v>20</x:v>
      </x:c>
    </x:row>
    <x:row r="946" ht="22" customHeight="1">
      <x:c r="A946" s="21" t="str">
        <x:v>data/units/race_units.json</x:v>
      </x:c>
      <x:c r="B946" s="21" t="str">
        <x:v>$/units/32/hp</x:v>
      </x:c>
      <x:c r="C946" s="21" t="str">
        <x:v>int</x:v>
      </x:c>
      <x:c r="D946" s="21" t="str">
        <x:v>650</x:v>
      </x:c>
    </x:row>
    <x:row r="947" ht="22" customHeight="1">
      <x:c r="A947" s="21" t="str">
        <x:v>data/units/race_units.json</x:v>
      </x:c>
      <x:c r="B947" s="21" t="str">
        <x:v>$/units/32/atk</x:v>
      </x:c>
      <x:c r="C947" s="21" t="str">
        <x:v>int</x:v>
      </x:c>
      <x:c r="D947" s="21" t="str">
        <x:v>31</x:v>
      </x:c>
    </x:row>
    <x:row r="948" ht="22" customHeight="1">
      <x:c r="A948" s="21" t="str">
        <x:v>data/units/race_units.json</x:v>
      </x:c>
      <x:c r="B948" s="21" t="str">
        <x:v>$/units/32/def</x:v>
      </x:c>
      <x:c r="C948" s="21" t="str">
        <x:v>int</x:v>
      </x:c>
      <x:c r="D948" s="21" t="str">
        <x:v>7</x:v>
      </x:c>
    </x:row>
    <x:row r="949" ht="22" customHeight="1">
      <x:c r="A949" s="21" t="str">
        <x:v>data/units/race_units.json</x:v>
      </x:c>
      <x:c r="B949" s="21" t="str">
        <x:v>$/units/32/attack_speed</x:v>
      </x:c>
      <x:c r="C949" s="21" t="str">
        <x:v>float</x:v>
      </x:c>
      <x:c r="D949" s="21" t="str">
        <x:v>0.9</x:v>
      </x:c>
    </x:row>
    <x:row r="950" ht="22" customHeight="1">
      <x:c r="A950" s="21" t="str">
        <x:v>data/units/race_units.json</x:v>
      </x:c>
      <x:c r="B950" s="21" t="str">
        <x:v>$/units/32/range</x:v>
      </x:c>
      <x:c r="C950" s="21" t="str">
        <x:v>int</x:v>
      </x:c>
      <x:c r="D950" s="21" t="str">
        <x:v>1</x:v>
      </x:c>
    </x:row>
    <x:row r="951" ht="22" customHeight="1">
      <x:c r="A951" s="21" t="str">
        <x:v>data/units/race_units.json</x:v>
      </x:c>
      <x:c r="B951" s="21" t="str">
        <x:v>$/units/32/move_speed</x:v>
      </x:c>
      <x:c r="C951" s="21" t="str">
        <x:v>float</x:v>
      </x:c>
      <x:c r="D951" s="21" t="str">
        <x:v>3.1</x:v>
      </x:c>
    </x:row>
    <x:row r="952" ht="22" customHeight="1">
      <x:c r="A952" s="21" t="str">
        <x:v>data/units/race_units.json</x:v>
      </x:c>
      <x:c r="B952" s="21" t="str">
        <x:v>$/units/32/crit</x:v>
      </x:c>
      <x:c r="C952" s="21" t="str">
        <x:v>float</x:v>
      </x:c>
      <x:c r="D952" s="21" t="str">
        <x:v>0.05</x:v>
      </x:c>
    </x:row>
    <x:row r="953" ht="22" customHeight="1">
      <x:c r="A953" s="21" t="str">
        <x:v>data/units/race_units.json</x:v>
      </x:c>
      <x:c r="B953" s="21" t="str">
        <x:v>$/units/32/crit_dmg</x:v>
      </x:c>
      <x:c r="C953" s="21" t="str">
        <x:v>float</x:v>
      </x:c>
      <x:c r="D953" s="21" t="str">
        <x:v>1.5</x:v>
      </x:c>
    </x:row>
    <x:row r="954" ht="22" customHeight="1">
      <x:c r="A954" s="21" t="str">
        <x:v>data/units/race_units.json</x:v>
      </x:c>
      <x:c r="B954" s="21" t="str">
        <x:v>$/units/32/skill_id</x:v>
      </x:c>
      <x:c r="C954" s="21" t="str">
        <x:v>string</x:v>
      </x:c>
      <x:c r="D954" s="21" t="str">
        <x:v>"block_guard"</x:v>
      </x:c>
    </x:row>
    <x:row r="955" ht="22" customHeight="1">
      <x:c r="A955" s="21" t="str">
        <x:v>data/units/race_units.json</x:v>
      </x:c>
      <x:c r="B955" s="21" t="str">
        <x:v>$/units/32/block_chance</x:v>
      </x:c>
      <x:c r="C955" s="21" t="str">
        <x:v>float</x:v>
      </x:c>
      <x:c r="D955" s="21" t="str">
        <x:v>0.2</x:v>
      </x:c>
    </x:row>
    <x:row r="956" ht="22" customHeight="1">
      <x:c r="A956" s="21" t="str">
        <x:v>data/units/race_units.json</x:v>
      </x:c>
      <x:c r="B956" s="21" t="str">
        <x:v>$/units/32/star4</x:v>
      </x:c>
      <x:c r="C956" s="21" t="str">
        <x:v>object</x:v>
      </x:c>
      <x:c r="D956" s="21" t="str"/>
    </x:row>
    <x:row r="957" ht="22" customHeight="1">
      <x:c r="A957" s="21" t="str">
        <x:v>data/units/race_units.json</x:v>
      </x:c>
      <x:c r="B957" s="21" t="str">
        <x:v>$/units/32/star4/block_chance</x:v>
      </x:c>
      <x:c r="C957" s="21" t="str">
        <x:v>float</x:v>
      </x:c>
      <x:c r="D957" s="21" t="str">
        <x:v>0.3</x:v>
      </x:c>
    </x:row>
    <x:row r="958" ht="22" customHeight="1">
      <x:c r="A958" s="21" t="str">
        <x:v>data/units/race_units.json</x:v>
      </x:c>
      <x:c r="B958" s="21" t="str">
        <x:v>$/units/33</x:v>
      </x:c>
      <x:c r="C958" s="21" t="str">
        <x:v>object</x:v>
      </x:c>
      <x:c r="D958" s="21" t="str"/>
    </x:row>
    <x:row r="959" ht="22" customHeight="1">
      <x:c r="A959" s="21" t="str">
        <x:v>data/units/race_units.json</x:v>
      </x:c>
      <x:c r="B959" s="21" t="str">
        <x:v>$/units/33/id</x:v>
      </x:c>
      <x:c r="C959" s="21" t="str">
        <x:v>string</x:v>
      </x:c>
      <x:c r="D959" s="21" t="str">
        <x:v>"dancer"</x:v>
      </x:c>
    </x:row>
    <x:row r="960" ht="22" customHeight="1">
      <x:c r="A960" s="21" t="str">
        <x:v>data/units/race_units.json</x:v>
      </x:c>
      <x:c r="B960" s="21" t="str">
        <x:v>$/units/33/name</x:v>
      </x:c>
      <x:c r="C960" s="21" t="str">
        <x:v>string</x:v>
      </x:c>
      <x:c r="D960" s="21" t="str">
        <x:v>"赤舞者"</x:v>
      </x:c>
    </x:row>
    <x:row r="961" ht="22" customHeight="1">
      <x:c r="A961" s="21" t="str">
        <x:v>data/units/race_units.json</x:v>
      </x:c>
      <x:c r="B961" s="21" t="str">
        <x:v>$/units/33/name_en</x:v>
      </x:c>
      <x:c r="C961" s="21" t="str">
        <x:v>string</x:v>
      </x:c>
      <x:c r="D961" s="21" t="str">
        <x:v>"Dancer"</x:v>
      </x:c>
    </x:row>
    <x:row r="962" ht="22" customHeight="1">
      <x:c r="A962" s="21" t="str">
        <x:v>data/units/race_units.json</x:v>
      </x:c>
      <x:c r="B962" s="21" t="str">
        <x:v>$/units/33/race</x:v>
      </x:c>
      <x:c r="C962" s="21" t="str">
        <x:v>string</x:v>
      </x:c>
      <x:c r="D962" s="21" t="str">
        <x:v>"crimson"</x:v>
      </x:c>
    </x:row>
    <x:row r="963" ht="22" customHeight="1">
      <x:c r="A963" s="21" t="str">
        <x:v>data/units/race_units.json</x:v>
      </x:c>
      <x:c r="B963" s="21" t="str">
        <x:v>$/units/33/model</x:v>
      </x:c>
      <x:c r="C963" s="21" t="str">
        <x:v>string</x:v>
      </x:c>
      <x:c r="D963" s="21" t="str">
        <x:v>"res://assets/models/units/crimson_refined/dancer/dancer_refined.tscn"</x:v>
      </x:c>
    </x:row>
    <x:row r="964" ht="22" customHeight="1">
      <x:c r="A964" s="21" t="str">
        <x:v>data/units/race_units.json</x:v>
      </x:c>
      <x:c r="B964" s="21" t="str">
        <x:v>$/units/33/model_visual_scale</x:v>
      </x:c>
      <x:c r="C964" s="21" t="str">
        <x:v>float</x:v>
      </x:c>
      <x:c r="D964" s="21" t="str">
        <x:v>1.17</x:v>
      </x:c>
    </x:row>
    <x:row r="965" ht="22" customHeight="1">
      <x:c r="A965" s="21" t="str">
        <x:v>data/units/race_units.json</x:v>
      </x:c>
      <x:c r="B965" s="21" t="str">
        <x:v>$/units/33/model_idle_animation_name</x:v>
      </x:c>
      <x:c r="C965" s="21" t="str">
        <x:v>string</x:v>
      </x:c>
      <x:c r="D965" s="21" t="str">
        <x:v>"idle"</x:v>
      </x:c>
    </x:row>
    <x:row r="966" ht="22" customHeight="1">
      <x:c r="A966" s="21" t="str">
        <x:v>data/units/race_units.json</x:v>
      </x:c>
      <x:c r="B966" s="21" t="str">
        <x:v>$/units/33/model_attack_animation_name</x:v>
      </x:c>
      <x:c r="C966" s="21" t="str">
        <x:v>string</x:v>
      </x:c>
      <x:c r="D966" s="21" t="str">
        <x:v>"attack"</x:v>
      </x:c>
    </x:row>
    <x:row r="967" ht="22" customHeight="1">
      <x:c r="A967" s="21" t="str">
        <x:v>data/units/race_units.json</x:v>
      </x:c>
      <x:c r="B967" s="21" t="str">
        <x:v>$/units/33/model_run_animation_name</x:v>
      </x:c>
      <x:c r="C967" s="21" t="str">
        <x:v>string</x:v>
      </x:c>
      <x:c r="D967" s="21" t="str">
        <x:v>"run"</x:v>
      </x:c>
    </x:row>
    <x:row r="968" ht="22" customHeight="1">
      <x:c r="A968" s="21" t="str">
        <x:v>data/units/race_units.json</x:v>
      </x:c>
      <x:c r="B968" s="21" t="str">
        <x:v>$/units/33/element</x:v>
      </x:c>
      <x:c r="C968" s="21" t="str">
        <x:v>string</x:v>
      </x:c>
      <x:c r="D968" s="21" t="str">
        <x:v>"ren"</x:v>
      </x:c>
    </x:row>
    <x:row r="969" ht="22" customHeight="1">
      <x:c r="A969" s="21" t="str">
        <x:v>data/units/race_units.json</x:v>
      </x:c>
      <x:c r="B969" s="21" t="str">
        <x:v>$/units/33/tier</x:v>
      </x:c>
      <x:c r="C969" s="21" t="str">
        <x:v>int</x:v>
      </x:c>
      <x:c r="D969" s="21" t="str">
        <x:v>1</x:v>
      </x:c>
    </x:row>
    <x:row r="970" ht="22" customHeight="1">
      <x:c r="A970" s="21" t="str">
        <x:v>data/units/race_units.json</x:v>
      </x:c>
      <x:c r="B970" s="21" t="str">
        <x:v>$/units/33/cost</x:v>
      </x:c>
      <x:c r="C970" s="21" t="str">
        <x:v>int</x:v>
      </x:c>
      <x:c r="D970" s="21" t="str">
        <x:v>20</x:v>
      </x:c>
    </x:row>
    <x:row r="971" ht="22" customHeight="1">
      <x:c r="A971" s="21" t="str">
        <x:v>data/units/race_units.json</x:v>
      </x:c>
      <x:c r="B971" s="21" t="str">
        <x:v>$/units/33/hp</x:v>
      </x:c>
      <x:c r="C971" s="21" t="str">
        <x:v>int</x:v>
      </x:c>
      <x:c r="D971" s="21" t="str">
        <x:v>540</x:v>
      </x:c>
    </x:row>
    <x:row r="972" ht="22" customHeight="1">
      <x:c r="A972" s="21" t="str">
        <x:v>data/units/race_units.json</x:v>
      </x:c>
      <x:c r="B972" s="21" t="str">
        <x:v>$/units/33/atk</x:v>
      </x:c>
      <x:c r="C972" s="21" t="str">
        <x:v>int</x:v>
      </x:c>
      <x:c r="D972" s="21" t="str">
        <x:v>28</x:v>
      </x:c>
    </x:row>
    <x:row r="973" ht="22" customHeight="1">
      <x:c r="A973" s="21" t="str">
        <x:v>data/units/race_units.json</x:v>
      </x:c>
      <x:c r="B973" s="21" t="str">
        <x:v>$/units/33/def</x:v>
      </x:c>
      <x:c r="C973" s="21" t="str">
        <x:v>int</x:v>
      </x:c>
      <x:c r="D973" s="21" t="str">
        <x:v>3</x:v>
      </x:c>
    </x:row>
    <x:row r="974" ht="22" customHeight="1">
      <x:c r="A974" s="21" t="str">
        <x:v>data/units/race_units.json</x:v>
      </x:c>
      <x:c r="B974" s="21" t="str">
        <x:v>$/units/33/attack_speed</x:v>
      </x:c>
      <x:c r="C974" s="21" t="str">
        <x:v>float</x:v>
      </x:c>
      <x:c r="D974" s="21" t="str">
        <x:v>0.95</x:v>
      </x:c>
    </x:row>
    <x:row r="975" ht="22" customHeight="1">
      <x:c r="A975" s="21" t="str">
        <x:v>data/units/race_units.json</x:v>
      </x:c>
      <x:c r="B975" s="21" t="str">
        <x:v>$/units/33/range</x:v>
      </x:c>
      <x:c r="C975" s="21" t="str">
        <x:v>int</x:v>
      </x:c>
      <x:c r="D975" s="21" t="str">
        <x:v>2</x:v>
      </x:c>
    </x:row>
    <x:row r="976" ht="22" customHeight="1">
      <x:c r="A976" s="21" t="str">
        <x:v>data/units/race_units.json</x:v>
      </x:c>
      <x:c r="B976" s="21" t="str">
        <x:v>$/units/33/move_speed</x:v>
      </x:c>
      <x:c r="C976" s="21" t="str">
        <x:v>float</x:v>
      </x:c>
      <x:c r="D976" s="21" t="str">
        <x:v>3.2</x:v>
      </x:c>
    </x:row>
    <x:row r="977" ht="22" customHeight="1">
      <x:c r="A977" s="21" t="str">
        <x:v>data/units/race_units.json</x:v>
      </x:c>
      <x:c r="B977" s="21" t="str">
        <x:v>$/units/33/crit</x:v>
      </x:c>
      <x:c r="C977" s="21" t="str">
        <x:v>float</x:v>
      </x:c>
      <x:c r="D977" s="21" t="str">
        <x:v>0.05</x:v>
      </x:c>
    </x:row>
    <x:row r="978" ht="22" customHeight="1">
      <x:c r="A978" s="21" t="str">
        <x:v>data/units/race_units.json</x:v>
      </x:c>
      <x:c r="B978" s="21" t="str">
        <x:v>$/units/33/crit_dmg</x:v>
      </x:c>
      <x:c r="C978" s="21" t="str">
        <x:v>float</x:v>
      </x:c>
      <x:c r="D978" s="21" t="str">
        <x:v>1.5</x:v>
      </x:c>
    </x:row>
    <x:row r="979" ht="22" customHeight="1">
      <x:c r="A979" s="21" t="str">
        <x:v>data/units/race_units.json</x:v>
      </x:c>
      <x:c r="B979" s="21" t="str">
        <x:v>$/units/33/skill_id</x:v>
      </x:c>
      <x:c r="C979" s="21" t="str">
        <x:v>string</x:v>
      </x:c>
      <x:c r="D979" s="21" t="str">
        <x:v>"random_ally_buff"</x:v>
      </x:c>
    </x:row>
    <x:row r="980" ht="22" customHeight="1">
      <x:c r="A980" s="21" t="str">
        <x:v>data/units/race_units.json</x:v>
      </x:c>
      <x:c r="B980" s="21" t="str">
        <x:v>$/units/33/skill_cd</x:v>
      </x:c>
      <x:c r="C980" s="21" t="str">
        <x:v>float</x:v>
      </x:c>
      <x:c r="D980" s="21" t="str">
        <x:v>5.0</x:v>
      </x:c>
    </x:row>
    <x:row r="981" ht="22" customHeight="1">
      <x:c r="A981" s="21" t="str">
        <x:v>data/units/race_units.json</x:v>
      </x:c>
      <x:c r="B981" s="21" t="str">
        <x:v>$/units/33/buff_duration</x:v>
      </x:c>
      <x:c r="C981" s="21" t="str">
        <x:v>float</x:v>
      </x:c>
      <x:c r="D981" s="21" t="str">
        <x:v>3.0</x:v>
      </x:c>
    </x:row>
    <x:row r="982" ht="22" customHeight="1">
      <x:c r="A982" s="21" t="str">
        <x:v>data/units/race_units.json</x:v>
      </x:c>
      <x:c r="B982" s="21" t="str">
        <x:v>$/units/33/buff_pct</x:v>
      </x:c>
      <x:c r="C982" s="21" t="str">
        <x:v>float</x:v>
      </x:c>
      <x:c r="D982" s="21" t="str">
        <x:v>0.2</x:v>
      </x:c>
    </x:row>
    <x:row r="983" ht="22" customHeight="1">
      <x:c r="A983" s="21" t="str">
        <x:v>data/units/race_units.json</x:v>
      </x:c>
      <x:c r="B983" s="21" t="str">
        <x:v>$/units/33/ally_count</x:v>
      </x:c>
      <x:c r="C983" s="21" t="str">
        <x:v>int</x:v>
      </x:c>
      <x:c r="D983" s="21" t="str">
        <x:v>1</x:v>
      </x:c>
    </x:row>
    <x:row r="984" ht="22" customHeight="1">
      <x:c r="A984" s="21" t="str">
        <x:v>data/units/race_units.json</x:v>
      </x:c>
      <x:c r="B984" s="21" t="str">
        <x:v>$/units/33/star4</x:v>
      </x:c>
      <x:c r="C984" s="21" t="str">
        <x:v>object</x:v>
      </x:c>
      <x:c r="D984" s="21" t="str"/>
    </x:row>
    <x:row r="985" ht="22" customHeight="1">
      <x:c r="A985" s="21" t="str">
        <x:v>data/units/race_units.json</x:v>
      </x:c>
      <x:c r="B985" s="21" t="str">
        <x:v>$/units/33/star4/ally_count</x:v>
      </x:c>
      <x:c r="C985" s="21" t="str">
        <x:v>int</x:v>
      </x:c>
      <x:c r="D985" s="21" t="str">
        <x:v>2</x:v>
      </x:c>
    </x:row>
    <x:row r="986" ht="22" customHeight="1">
      <x:c r="A986" s="21" t="str">
        <x:v>data/units/race_units.json</x:v>
      </x:c>
      <x:c r="B986" s="21" t="str">
        <x:v>$/units/34</x:v>
      </x:c>
      <x:c r="C986" s="21" t="str">
        <x:v>object</x:v>
      </x:c>
      <x:c r="D986" s="21" t="str"/>
    </x:row>
    <x:row r="987" ht="22" customHeight="1">
      <x:c r="A987" s="21" t="str">
        <x:v>data/units/race_units.json</x:v>
      </x:c>
      <x:c r="B987" s="21" t="str">
        <x:v>$/units/34/id</x:v>
      </x:c>
      <x:c r="C987" s="21" t="str">
        <x:v>string</x:v>
      </x:c>
      <x:c r="D987" s="21" t="str">
        <x:v>"drumer"</x:v>
      </x:c>
    </x:row>
    <x:row r="988" ht="22" customHeight="1">
      <x:c r="A988" s="21" t="str">
        <x:v>data/units/race_units.json</x:v>
      </x:c>
      <x:c r="B988" s="21" t="str">
        <x:v>$/units/34/name</x:v>
      </x:c>
      <x:c r="C988" s="21" t="str">
        <x:v>string</x:v>
      </x:c>
      <x:c r="D988" s="21" t="str">
        <x:v>"战鼓使"</x:v>
      </x:c>
    </x:row>
    <x:row r="989" ht="22" customHeight="1">
      <x:c r="A989" s="21" t="str">
        <x:v>data/units/race_units.json</x:v>
      </x:c>
      <x:c r="B989" s="21" t="str">
        <x:v>$/units/34/name_en</x:v>
      </x:c>
      <x:c r="C989" s="21" t="str">
        <x:v>string</x:v>
      </x:c>
      <x:c r="D989" s="21" t="str">
        <x:v>"Drummer"</x:v>
      </x:c>
    </x:row>
    <x:row r="990" ht="22" customHeight="1">
      <x:c r="A990" s="21" t="str">
        <x:v>data/units/race_units.json</x:v>
      </x:c>
      <x:c r="B990" s="21" t="str">
        <x:v>$/units/34/race</x:v>
      </x:c>
      <x:c r="C990" s="21" t="str">
        <x:v>string</x:v>
      </x:c>
      <x:c r="D990" s="21" t="str">
        <x:v>"crimson"</x:v>
      </x:c>
    </x:row>
    <x:row r="991" ht="22" customHeight="1">
      <x:c r="A991" s="21" t="str">
        <x:v>data/units/race_units.json</x:v>
      </x:c>
      <x:c r="B991" s="21" t="str">
        <x:v>$/units/34/model</x:v>
      </x:c>
      <x:c r="C991" s="21" t="str">
        <x:v>string</x:v>
      </x:c>
      <x:c r="D991" s="21" t="str">
        <x:v>"res://assets/models/units/crimson_refined/drumer/drumer_refined.tscn"</x:v>
      </x:c>
    </x:row>
    <x:row r="992" ht="22" customHeight="1">
      <x:c r="A992" s="21" t="str">
        <x:v>data/units/race_units.json</x:v>
      </x:c>
      <x:c r="B992" s="21" t="str">
        <x:v>$/units/34/model_visual_scale</x:v>
      </x:c>
      <x:c r="C992" s="21" t="str">
        <x:v>float</x:v>
      </x:c>
      <x:c r="D992" s="21" t="str">
        <x:v>1.19</x:v>
      </x:c>
    </x:row>
    <x:row r="993" ht="22" customHeight="1">
      <x:c r="A993" s="21" t="str">
        <x:v>data/units/race_units.json</x:v>
      </x:c>
      <x:c r="B993" s="21" t="str">
        <x:v>$/units/34/model_idle_animation_name</x:v>
      </x:c>
      <x:c r="C993" s="21" t="str">
        <x:v>string</x:v>
      </x:c>
      <x:c r="D993" s="21" t="str">
        <x:v>"idle"</x:v>
      </x:c>
    </x:row>
    <x:row r="994" ht="22" customHeight="1">
      <x:c r="A994" s="21" t="str">
        <x:v>data/units/race_units.json</x:v>
      </x:c>
      <x:c r="B994" s="21" t="str">
        <x:v>$/units/34/model_attack_animation_name</x:v>
      </x:c>
      <x:c r="C994" s="21" t="str">
        <x:v>string</x:v>
      </x:c>
      <x:c r="D994" s="21" t="str">
        <x:v>"attack"</x:v>
      </x:c>
    </x:row>
    <x:row r="995" ht="22" customHeight="1">
      <x:c r="A995" s="21" t="str">
        <x:v>data/units/race_units.json</x:v>
      </x:c>
      <x:c r="B995" s="21" t="str">
        <x:v>$/units/34/model_run_animation_name</x:v>
      </x:c>
      <x:c r="C995" s="21" t="str">
        <x:v>string</x:v>
      </x:c>
      <x:c r="D995" s="21" t="str">
        <x:v>"run"</x:v>
      </x:c>
    </x:row>
    <x:row r="996" ht="22" customHeight="1">
      <x:c r="A996" s="21" t="str">
        <x:v>data/units/race_units.json</x:v>
      </x:c>
      <x:c r="B996" s="21" t="str">
        <x:v>$/units/34/element</x:v>
      </x:c>
      <x:c r="C996" s="21" t="str">
        <x:v>string</x:v>
      </x:c>
      <x:c r="D996" s="21" t="str">
        <x:v>"ren"</x:v>
      </x:c>
    </x:row>
    <x:row r="997" ht="22" customHeight="1">
      <x:c r="A997" s="21" t="str">
        <x:v>data/units/race_units.json</x:v>
      </x:c>
      <x:c r="B997" s="21" t="str">
        <x:v>$/units/34/tier</x:v>
      </x:c>
      <x:c r="C997" s="21" t="str">
        <x:v>int</x:v>
      </x:c>
      <x:c r="D997" s="21" t="str">
        <x:v>2</x:v>
      </x:c>
    </x:row>
    <x:row r="998" ht="22" customHeight="1">
      <x:c r="A998" s="21" t="str">
        <x:v>data/units/race_units.json</x:v>
      </x:c>
      <x:c r="B998" s="21" t="str">
        <x:v>$/units/34/cost</x:v>
      </x:c>
      <x:c r="C998" s="21" t="str">
        <x:v>int</x:v>
      </x:c>
      <x:c r="D998" s="21" t="str">
        <x:v>30</x:v>
      </x:c>
    </x:row>
    <x:row r="999" ht="22" customHeight="1">
      <x:c r="A999" s="21" t="str">
        <x:v>data/units/race_units.json</x:v>
      </x:c>
      <x:c r="B999" s="21" t="str">
        <x:v>$/units/34/hp</x:v>
      </x:c>
      <x:c r="C999" s="21" t="str">
        <x:v>int</x:v>
      </x:c>
      <x:c r="D999" s="21" t="str">
        <x:v>980</x:v>
      </x:c>
    </x:row>
    <x:row r="1000" ht="22" customHeight="1">
      <x:c r="A1000" s="21" t="str">
        <x:v>data/units/race_units.json</x:v>
      </x:c>
      <x:c r="B1000" s="21" t="str">
        <x:v>$/units/34/atk</x:v>
      </x:c>
      <x:c r="C1000" s="21" t="str">
        <x:v>int</x:v>
      </x:c>
      <x:c r="D1000" s="21" t="str">
        <x:v>52</x:v>
      </x:c>
    </x:row>
    <x:row r="1001" ht="22" customHeight="1">
      <x:c r="A1001" s="21" t="str">
        <x:v>data/units/race_units.json</x:v>
      </x:c>
      <x:c r="B1001" s="21" t="str">
        <x:v>$/units/34/def</x:v>
      </x:c>
      <x:c r="C1001" s="21" t="str">
        <x:v>int</x:v>
      </x:c>
      <x:c r="D1001" s="21" t="str">
        <x:v>9</x:v>
      </x:c>
    </x:row>
    <x:row r="1002" ht="22" customHeight="1">
      <x:c r="A1002" s="21" t="str">
        <x:v>data/units/race_units.json</x:v>
      </x:c>
      <x:c r="B1002" s="21" t="str">
        <x:v>$/units/34/attack_speed</x:v>
      </x:c>
      <x:c r="C1002" s="21" t="str">
        <x:v>float</x:v>
      </x:c>
      <x:c r="D1002" s="21" t="str">
        <x:v>1.0</x:v>
      </x:c>
    </x:row>
    <x:row r="1003" ht="22" customHeight="1">
      <x:c r="A1003" s="21" t="str">
        <x:v>data/units/race_units.json</x:v>
      </x:c>
      <x:c r="B1003" s="21" t="str">
        <x:v>$/units/34/range</x:v>
      </x:c>
      <x:c r="C1003" s="21" t="str">
        <x:v>int</x:v>
      </x:c>
      <x:c r="D1003" s="21" t="str">
        <x:v>1</x:v>
      </x:c>
    </x:row>
    <x:row r="1004" ht="22" customHeight="1">
      <x:c r="A1004" s="21" t="str">
        <x:v>data/units/race_units.json</x:v>
      </x:c>
      <x:c r="B1004" s="21" t="str">
        <x:v>$/units/34/move_speed</x:v>
      </x:c>
      <x:c r="C1004" s="21" t="str">
        <x:v>float</x:v>
      </x:c>
      <x:c r="D1004" s="21" t="str">
        <x:v>3.15</x:v>
      </x:c>
    </x:row>
    <x:row r="1005" ht="22" customHeight="1">
      <x:c r="A1005" s="21" t="str">
        <x:v>data/units/race_units.json</x:v>
      </x:c>
      <x:c r="B1005" s="21" t="str">
        <x:v>$/units/34/crit</x:v>
      </x:c>
      <x:c r="C1005" s="21" t="str">
        <x:v>float</x:v>
      </x:c>
      <x:c r="D1005" s="21" t="str">
        <x:v>0.08</x:v>
      </x:c>
    </x:row>
    <x:row r="1006" ht="22" customHeight="1">
      <x:c r="A1006" s="21" t="str">
        <x:v>data/units/race_units.json</x:v>
      </x:c>
      <x:c r="B1006" s="21" t="str">
        <x:v>$/units/34/crit_dmg</x:v>
      </x:c>
      <x:c r="C1006" s="21" t="str">
        <x:v>float</x:v>
      </x:c>
      <x:c r="D1006" s="21" t="str">
        <x:v>1.6</x:v>
      </x:c>
    </x:row>
    <x:row r="1007" ht="22" customHeight="1">
      <x:c r="A1007" s="21" t="str">
        <x:v>data/units/race_units.json</x:v>
      </x:c>
      <x:c r="B1007" s="21" t="str">
        <x:v>$/units/34/skill_id</x:v>
      </x:c>
      <x:c r="C1007" s="21" t="str">
        <x:v>string</x:v>
      </x:c>
      <x:c r="D1007" s="21" t="str">
        <x:v>"team_random_stack"</x:v>
      </x:c>
    </x:row>
    <x:row r="1008" ht="22" customHeight="1">
      <x:c r="A1008" s="21" t="str">
        <x:v>data/units/race_units.json</x:v>
      </x:c>
      <x:c r="B1008" s="21" t="str">
        <x:v>$/units/34/stack_pct</x:v>
      </x:c>
      <x:c r="C1008" s="21" t="str">
        <x:v>float</x:v>
      </x:c>
      <x:c r="D1008" s="21" t="str">
        <x:v>0.05</x:v>
      </x:c>
    </x:row>
    <x:row r="1009" ht="22" customHeight="1">
      <x:c r="A1009" s="21" t="str">
        <x:v>data/units/race_units.json</x:v>
      </x:c>
      <x:c r="B1009" s="21" t="str">
        <x:v>$/units/34/stack_duration</x:v>
      </x:c>
      <x:c r="C1009" s="21" t="str">
        <x:v>float</x:v>
      </x:c>
      <x:c r="D1009" s="21" t="str">
        <x:v>3.0</x:v>
      </x:c>
    </x:row>
    <x:row r="1010" ht="22" customHeight="1">
      <x:c r="A1010" s="21" t="str">
        <x:v>data/units/race_units.json</x:v>
      </x:c>
      <x:c r="B1010" s="21" t="str">
        <x:v>$/units/34/max_stacks</x:v>
      </x:c>
      <x:c r="C1010" s="21" t="str">
        <x:v>int</x:v>
      </x:c>
      <x:c r="D1010" s="21" t="str">
        <x:v>15</x:v>
      </x:c>
    </x:row>
    <x:row r="1011" ht="22" customHeight="1">
      <x:c r="A1011" s="21" t="str">
        <x:v>data/units/race_units.json</x:v>
      </x:c>
      <x:c r="B1011" s="21" t="str">
        <x:v>$/units/34/heal_pct</x:v>
      </x:c>
      <x:c r="C1011" s="21" t="str">
        <x:v>float</x:v>
      </x:c>
      <x:c r="D1011" s="21" t="str">
        <x:v>0.05</x:v>
      </x:c>
    </x:row>
    <x:row r="1012" ht="22" customHeight="1">
      <x:c r="A1012" s="21" t="str">
        <x:v>data/units/race_units.json</x:v>
      </x:c>
      <x:c r="B1012" s="21" t="str">
        <x:v>$/units/34/star4</x:v>
      </x:c>
      <x:c r="C1012" s="21" t="str">
        <x:v>object</x:v>
      </x:c>
      <x:c r="D1012" s="21" t="str"/>
    </x:row>
    <x:row r="1013" ht="22" customHeight="1">
      <x:c r="A1013" s="21" t="str">
        <x:v>data/units/race_units.json</x:v>
      </x:c>
      <x:c r="B1013" s="21" t="str">
        <x:v>$/units/34/star4/stack_pct</x:v>
      </x:c>
      <x:c r="C1013" s="21" t="str">
        <x:v>float</x:v>
      </x:c>
      <x:c r="D1013" s="21" t="str">
        <x:v>0.08</x:v>
      </x:c>
    </x:row>
    <x:row r="1014" ht="22" customHeight="1">
      <x:c r="A1014" s="21" t="str">
        <x:v>data/units/race_units.json</x:v>
      </x:c>
      <x:c r="B1014" s="21" t="str">
        <x:v>$/units/35</x:v>
      </x:c>
      <x:c r="C1014" s="21" t="str">
        <x:v>object</x:v>
      </x:c>
      <x:c r="D1014" s="21" t="str"/>
    </x:row>
    <x:row r="1015" ht="22" customHeight="1">
      <x:c r="A1015" s="21" t="str">
        <x:v>data/units/race_units.json</x:v>
      </x:c>
      <x:c r="B1015" s="21" t="str">
        <x:v>$/units/35/id</x:v>
      </x:c>
      <x:c r="C1015" s="21" t="str">
        <x:v>string</x:v>
      </x:c>
      <x:c r="D1015" s="21" t="str">
        <x:v>"hunter"</x:v>
      </x:c>
    </x:row>
    <x:row r="1016" ht="22" customHeight="1">
      <x:c r="A1016" s="21" t="str">
        <x:v>data/units/race_units.json</x:v>
      </x:c>
      <x:c r="B1016" s="21" t="str">
        <x:v>$/units/35/name</x:v>
      </x:c>
      <x:c r="C1016" s="21" t="str">
        <x:v>string</x:v>
      </x:c>
      <x:c r="D1016" s="21" t="str">
        <x:v>"血猎者"</x:v>
      </x:c>
    </x:row>
    <x:row r="1017" ht="22" customHeight="1">
      <x:c r="A1017" s="21" t="str">
        <x:v>data/units/race_units.json</x:v>
      </x:c>
      <x:c r="B1017" s="21" t="str">
        <x:v>$/units/35/name_en</x:v>
      </x:c>
      <x:c r="C1017" s="21" t="str">
        <x:v>string</x:v>
      </x:c>
      <x:c r="D1017" s="21" t="str">
        <x:v>"Hunter"</x:v>
      </x:c>
    </x:row>
    <x:row r="1018" ht="22" customHeight="1">
      <x:c r="A1018" s="21" t="str">
        <x:v>data/units/race_units.json</x:v>
      </x:c>
      <x:c r="B1018" s="21" t="str">
        <x:v>$/units/35/race</x:v>
      </x:c>
      <x:c r="C1018" s="21" t="str">
        <x:v>string</x:v>
      </x:c>
      <x:c r="D1018" s="21" t="str">
        <x:v>"crimson"</x:v>
      </x:c>
    </x:row>
    <x:row r="1019" ht="22" customHeight="1">
      <x:c r="A1019" s="21" t="str">
        <x:v>data/units/race_units.json</x:v>
      </x:c>
      <x:c r="B1019" s="21" t="str">
        <x:v>$/units/35/model</x:v>
      </x:c>
      <x:c r="C1019" s="21" t="str">
        <x:v>string</x:v>
      </x:c>
      <x:c r="D1019" s="21" t="str">
        <x:v>"res://assets/models/units/crimson_refined/hunter/hunter_refined.tscn"</x:v>
      </x:c>
    </x:row>
    <x:row r="1020" ht="22" customHeight="1">
      <x:c r="A1020" s="21" t="str">
        <x:v>data/units/race_units.json</x:v>
      </x:c>
      <x:c r="B1020" s="21" t="str">
        <x:v>$/units/35/model_visual_scale</x:v>
      </x:c>
      <x:c r="C1020" s="21" t="str">
        <x:v>float</x:v>
      </x:c>
      <x:c r="D1020" s="21" t="str">
        <x:v>1.19</x:v>
      </x:c>
    </x:row>
    <x:row r="1021" ht="22" customHeight="1">
      <x:c r="A1021" s="21" t="str">
        <x:v>data/units/race_units.json</x:v>
      </x:c>
      <x:c r="B1021" s="21" t="str">
        <x:v>$/units/35/model_idle_animation_name</x:v>
      </x:c>
      <x:c r="C1021" s="21" t="str">
        <x:v>string</x:v>
      </x:c>
      <x:c r="D1021" s="21" t="str">
        <x:v>"idle"</x:v>
      </x:c>
    </x:row>
    <x:row r="1022" ht="22" customHeight="1">
      <x:c r="A1022" s="21" t="str">
        <x:v>data/units/race_units.json</x:v>
      </x:c>
      <x:c r="B1022" s="21" t="str">
        <x:v>$/units/35/model_attack_animation_name</x:v>
      </x:c>
      <x:c r="C1022" s="21" t="str">
        <x:v>string</x:v>
      </x:c>
      <x:c r="D1022" s="21" t="str">
        <x:v>"attack"</x:v>
      </x:c>
    </x:row>
    <x:row r="1023" ht="22" customHeight="1">
      <x:c r="A1023" s="21" t="str">
        <x:v>data/units/race_units.json</x:v>
      </x:c>
      <x:c r="B1023" s="21" t="str">
        <x:v>$/units/35/model_run_animation_name</x:v>
      </x:c>
      <x:c r="C1023" s="21" t="str">
        <x:v>string</x:v>
      </x:c>
      <x:c r="D1023" s="21" t="str">
        <x:v>"run"</x:v>
      </x:c>
    </x:row>
    <x:row r="1024" ht="22" customHeight="1">
      <x:c r="A1024" s="21" t="str">
        <x:v>data/units/race_units.json</x:v>
      </x:c>
      <x:c r="B1024" s="21" t="str">
        <x:v>$/units/35/element</x:v>
      </x:c>
      <x:c r="C1024" s="21" t="str">
        <x:v>string</x:v>
      </x:c>
      <x:c r="D1024" s="21" t="str">
        <x:v>"sky"</x:v>
      </x:c>
    </x:row>
    <x:row r="1025" ht="22" customHeight="1">
      <x:c r="A1025" s="21" t="str">
        <x:v>data/units/race_units.json</x:v>
      </x:c>
      <x:c r="B1025" s="21" t="str">
        <x:v>$/units/35/tier</x:v>
      </x:c>
      <x:c r="C1025" s="21" t="str">
        <x:v>int</x:v>
      </x:c>
      <x:c r="D1025" s="21" t="str">
        <x:v>2</x:v>
      </x:c>
    </x:row>
    <x:row r="1026" ht="22" customHeight="1">
      <x:c r="A1026" s="21" t="str">
        <x:v>data/units/race_units.json</x:v>
      </x:c>
      <x:c r="B1026" s="21" t="str">
        <x:v>$/units/35/cost</x:v>
      </x:c>
      <x:c r="C1026" s="21" t="str">
        <x:v>int</x:v>
      </x:c>
      <x:c r="D1026" s="21" t="str">
        <x:v>30</x:v>
      </x:c>
    </x:row>
    <x:row r="1027" ht="22" customHeight="1">
      <x:c r="A1027" s="21" t="str">
        <x:v>data/units/race_units.json</x:v>
      </x:c>
      <x:c r="B1027" s="21" t="str">
        <x:v>$/units/35/hp</x:v>
      </x:c>
      <x:c r="C1027" s="21" t="str">
        <x:v>int</x:v>
      </x:c>
      <x:c r="D1027" s="21" t="str">
        <x:v>760</x:v>
      </x:c>
    </x:row>
    <x:row r="1028" ht="22" customHeight="1">
      <x:c r="A1028" s="21" t="str">
        <x:v>data/units/race_units.json</x:v>
      </x:c>
      <x:c r="B1028" s="21" t="str">
        <x:v>$/units/35/atk</x:v>
      </x:c>
      <x:c r="C1028" s="21" t="str">
        <x:v>int</x:v>
      </x:c>
      <x:c r="D1028" s="21" t="str">
        <x:v>56</x:v>
      </x:c>
    </x:row>
    <x:row r="1029" ht="22" customHeight="1">
      <x:c r="A1029" s="21" t="str">
        <x:v>data/units/race_units.json</x:v>
      </x:c>
      <x:c r="B1029" s="21" t="str">
        <x:v>$/units/35/def</x:v>
      </x:c>
      <x:c r="C1029" s="21" t="str">
        <x:v>int</x:v>
      </x:c>
      <x:c r="D1029" s="21" t="str">
        <x:v>4</x:v>
      </x:c>
    </x:row>
    <x:row r="1030" ht="22" customHeight="1">
      <x:c r="A1030" s="21" t="str">
        <x:v>data/units/race_units.json</x:v>
      </x:c>
      <x:c r="B1030" s="21" t="str">
        <x:v>$/units/35/attack_speed</x:v>
      </x:c>
      <x:c r="C1030" s="21" t="str">
        <x:v>float</x:v>
      </x:c>
      <x:c r="D1030" s="21" t="str">
        <x:v>0.8</x:v>
      </x:c>
    </x:row>
    <x:row r="1031" ht="22" customHeight="1">
      <x:c r="A1031" s="21" t="str">
        <x:v>data/units/race_units.json</x:v>
      </x:c>
      <x:c r="B1031" s="21" t="str">
        <x:v>$/units/35/range</x:v>
      </x:c>
      <x:c r="C1031" s="21" t="str">
        <x:v>int</x:v>
      </x:c>
      <x:c r="D1031" s="21" t="str">
        <x:v>4</x:v>
      </x:c>
    </x:row>
    <x:row r="1032" ht="22" customHeight="1">
      <x:c r="A1032" s="21" t="str">
        <x:v>data/units/race_units.json</x:v>
      </x:c>
      <x:c r="B1032" s="21" t="str">
        <x:v>$/units/35/move_speed</x:v>
      </x:c>
      <x:c r="C1032" s="21" t="str">
        <x:v>float</x:v>
      </x:c>
      <x:c r="D1032" s="21" t="str">
        <x:v>3.25</x:v>
      </x:c>
    </x:row>
    <x:row r="1033" ht="22" customHeight="1">
      <x:c r="A1033" s="21" t="str">
        <x:v>data/units/race_units.json</x:v>
      </x:c>
      <x:c r="B1033" s="21" t="str">
        <x:v>$/units/35/crit</x:v>
      </x:c>
      <x:c r="C1033" s="21" t="str">
        <x:v>float</x:v>
      </x:c>
      <x:c r="D1033" s="21" t="str">
        <x:v>0.08</x:v>
      </x:c>
    </x:row>
    <x:row r="1034" ht="22" customHeight="1">
      <x:c r="A1034" s="21" t="str">
        <x:v>data/units/race_units.json</x:v>
      </x:c>
      <x:c r="B1034" s="21" t="str">
        <x:v>$/units/35/crit_dmg</x:v>
      </x:c>
      <x:c r="C1034" s="21" t="str">
        <x:v>float</x:v>
      </x:c>
      <x:c r="D1034" s="21" t="str">
        <x:v>1.6</x:v>
      </x:c>
    </x:row>
    <x:row r="1035" ht="22" customHeight="1">
      <x:c r="A1035" s="21" t="str">
        <x:v>data/units/race_units.json</x:v>
      </x:c>
      <x:c r="B1035" s="21" t="str">
        <x:v>$/units/35/skill_id</x:v>
      </x:c>
      <x:c r="C1035" s="21" t="str">
        <x:v>string</x:v>
      </x:c>
      <x:c r="D1035" s="21" t="str">
        <x:v>"current_hp_strike"</x:v>
      </x:c>
    </x:row>
    <x:row r="1036" ht="22" customHeight="1">
      <x:c r="A1036" s="21" t="str">
        <x:v>data/units/race_units.json</x:v>
      </x:c>
      <x:c r="B1036" s="21" t="str">
        <x:v>$/units/35/current_hp_pct</x:v>
      </x:c>
      <x:c r="C1036" s="21" t="str">
        <x:v>float</x:v>
      </x:c>
      <x:c r="D1036" s="21" t="str">
        <x:v>0.1</x:v>
      </x:c>
    </x:row>
    <x:row r="1037" ht="22" customHeight="1">
      <x:c r="A1037" s="21" t="str">
        <x:v>data/units/race_units.json</x:v>
      </x:c>
      <x:c r="B1037" s="21" t="str">
        <x:v>$/units/35/boss_hp_pct</x:v>
      </x:c>
      <x:c r="C1037" s="21" t="str">
        <x:v>float</x:v>
      </x:c>
      <x:c r="D1037" s="21" t="str">
        <x:v>0.05</x:v>
      </x:c>
    </x:row>
    <x:row r="1038" ht="22" customHeight="1">
      <x:c r="A1038" s="21" t="str">
        <x:v>data/units/race_units.json</x:v>
      </x:c>
      <x:c r="B1038" s="21" t="str">
        <x:v>$/units/35/star4</x:v>
      </x:c>
      <x:c r="C1038" s="21" t="str">
        <x:v>object</x:v>
      </x:c>
      <x:c r="D1038" s="21" t="str"/>
    </x:row>
    <x:row r="1039" ht="22" customHeight="1">
      <x:c r="A1039" s="21" t="str">
        <x:v>data/units/race_units.json</x:v>
      </x:c>
      <x:c r="B1039" s="21" t="str">
        <x:v>$/units/35/star4/execute_threshold</x:v>
      </x:c>
      <x:c r="C1039" s="21" t="str">
        <x:v>float</x:v>
      </x:c>
      <x:c r="D1039" s="21" t="str">
        <x:v>0.3</x:v>
      </x:c>
    </x:row>
    <x:row r="1040" ht="22" customHeight="1">
      <x:c r="A1040" s="21" t="str">
        <x:v>data/units/race_units.json</x:v>
      </x:c>
      <x:c r="B1040" s="21" t="str">
        <x:v>$/units/35/star4/execute_atk_pct</x:v>
      </x:c>
      <x:c r="C1040" s="21" t="str">
        <x:v>float</x:v>
      </x:c>
      <x:c r="D1040" s="21" t="str">
        <x:v>0.5</x:v>
      </x:c>
    </x:row>
    <x:row r="1041" ht="22" customHeight="1">
      <x:c r="A1041" s="21" t="str">
        <x:v>data/units/race_units.json</x:v>
      </x:c>
      <x:c r="B1041" s="21" t="str">
        <x:v>$/units/36</x:v>
      </x:c>
      <x:c r="C1041" s="21" t="str">
        <x:v>object</x:v>
      </x:c>
      <x:c r="D1041" s="21" t="str"/>
    </x:row>
    <x:row r="1042" ht="22" customHeight="1">
      <x:c r="A1042" s="21" t="str">
        <x:v>data/units/race_units.json</x:v>
      </x:c>
      <x:c r="B1042" s="21" t="str">
        <x:v>$/units/36/id</x:v>
      </x:c>
      <x:c r="C1042" s="21" t="str">
        <x:v>string</x:v>
      </x:c>
      <x:c r="D1042" s="21" t="str">
        <x:v>"armbreaker"</x:v>
      </x:c>
    </x:row>
    <x:row r="1043" ht="22" customHeight="1">
      <x:c r="A1043" s="21" t="str">
        <x:v>data/units/race_units.json</x:v>
      </x:c>
      <x:c r="B1043" s="21" t="str">
        <x:v>$/units/36/name</x:v>
      </x:c>
      <x:c r="C1043" s="21" t="str">
        <x:v>string</x:v>
      </x:c>
      <x:c r="D1043" s="21" t="str">
        <x:v>"破甲者"</x:v>
      </x:c>
    </x:row>
    <x:row r="1044" ht="22" customHeight="1">
      <x:c r="A1044" s="21" t="str">
        <x:v>data/units/race_units.json</x:v>
      </x:c>
      <x:c r="B1044" s="21" t="str">
        <x:v>$/units/36/name_en</x:v>
      </x:c>
      <x:c r="C1044" s="21" t="str">
        <x:v>string</x:v>
      </x:c>
      <x:c r="D1044" s="21" t="str">
        <x:v>"Armbreaker"</x:v>
      </x:c>
    </x:row>
    <x:row r="1045" ht="22" customHeight="1">
      <x:c r="A1045" s="21" t="str">
        <x:v>data/units/race_units.json</x:v>
      </x:c>
      <x:c r="B1045" s="21" t="str">
        <x:v>$/units/36/race</x:v>
      </x:c>
      <x:c r="C1045" s="21" t="str">
        <x:v>string</x:v>
      </x:c>
      <x:c r="D1045" s="21" t="str">
        <x:v>"crimson"</x:v>
      </x:c>
    </x:row>
    <x:row r="1046" ht="22" customHeight="1">
      <x:c r="A1046" s="21" t="str">
        <x:v>data/units/race_units.json</x:v>
      </x:c>
      <x:c r="B1046" s="21" t="str">
        <x:v>$/units/36/model</x:v>
      </x:c>
      <x:c r="C1046" s="21" t="str">
        <x:v>string</x:v>
      </x:c>
      <x:c r="D1046" s="21" t="str">
        <x:v>"res://assets/models/units/crimson_refined/armbreaker/armbreaker_refined.tscn"</x:v>
      </x:c>
    </x:row>
    <x:row r="1047" ht="22" customHeight="1">
      <x:c r="A1047" s="21" t="str">
        <x:v>data/units/race_units.json</x:v>
      </x:c>
      <x:c r="B1047" s="21" t="str">
        <x:v>$/units/36/model_visual_scale</x:v>
      </x:c>
      <x:c r="C1047" s="21" t="str">
        <x:v>float</x:v>
      </x:c>
      <x:c r="D1047" s="21" t="str">
        <x:v>1.14</x:v>
      </x:c>
    </x:row>
    <x:row r="1048" ht="22" customHeight="1">
      <x:c r="A1048" s="21" t="str">
        <x:v>data/units/race_units.json</x:v>
      </x:c>
      <x:c r="B1048" s="21" t="str">
        <x:v>$/units/36/model_idle_animation_name</x:v>
      </x:c>
      <x:c r="C1048" s="21" t="str">
        <x:v>string</x:v>
      </x:c>
      <x:c r="D1048" s="21" t="str">
        <x:v>"idle"</x:v>
      </x:c>
    </x:row>
    <x:row r="1049" ht="22" customHeight="1">
      <x:c r="A1049" s="21" t="str">
        <x:v>data/units/race_units.json</x:v>
      </x:c>
      <x:c r="B1049" s="21" t="str">
        <x:v>$/units/36/model_attack_animation_name</x:v>
      </x:c>
      <x:c r="C1049" s="21" t="str">
        <x:v>string</x:v>
      </x:c>
      <x:c r="D1049" s="21" t="str">
        <x:v>"attack"</x:v>
      </x:c>
    </x:row>
    <x:row r="1050" ht="22" customHeight="1">
      <x:c r="A1050" s="21" t="str">
        <x:v>data/units/race_units.json</x:v>
      </x:c>
      <x:c r="B1050" s="21" t="str">
        <x:v>$/units/36/model_run_animation_name</x:v>
      </x:c>
      <x:c r="C1050" s="21" t="str">
        <x:v>string</x:v>
      </x:c>
      <x:c r="D1050" s="21" t="str">
        <x:v>"run"</x:v>
      </x:c>
    </x:row>
    <x:row r="1051" ht="22" customHeight="1">
      <x:c r="A1051" s="21" t="str">
        <x:v>data/units/race_units.json</x:v>
      </x:c>
      <x:c r="B1051" s="21" t="str">
        <x:v>$/units/36/element</x:v>
      </x:c>
      <x:c r="C1051" s="21" t="str">
        <x:v>string</x:v>
      </x:c>
      <x:c r="D1051" s="21" t="str">
        <x:v>"land"</x:v>
      </x:c>
    </x:row>
    <x:row r="1052" ht="22" customHeight="1">
      <x:c r="A1052" s="21" t="str">
        <x:v>data/units/race_units.json</x:v>
      </x:c>
      <x:c r="B1052" s="21" t="str">
        <x:v>$/units/36/tier</x:v>
      </x:c>
      <x:c r="C1052" s="21" t="str">
        <x:v>int</x:v>
      </x:c>
      <x:c r="D1052" s="21" t="str">
        <x:v>2</x:v>
      </x:c>
    </x:row>
    <x:row r="1053" ht="22" customHeight="1">
      <x:c r="A1053" s="21" t="str">
        <x:v>data/units/race_units.json</x:v>
      </x:c>
      <x:c r="B1053" s="21" t="str">
        <x:v>$/units/36/cost</x:v>
      </x:c>
      <x:c r="C1053" s="21" t="str">
        <x:v>int</x:v>
      </x:c>
      <x:c r="D1053" s="21" t="str">
        <x:v>30</x:v>
      </x:c>
    </x:row>
    <x:row r="1054" ht="22" customHeight="1">
      <x:c r="A1054" s="21" t="str">
        <x:v>data/units/race_units.json</x:v>
      </x:c>
      <x:c r="B1054" s="21" t="str">
        <x:v>$/units/36/hp</x:v>
      </x:c>
      <x:c r="C1054" s="21" t="str">
        <x:v>int</x:v>
      </x:c>
      <x:c r="D1054" s="21" t="str">
        <x:v>1180</x:v>
      </x:c>
    </x:row>
    <x:row r="1055" ht="22" customHeight="1">
      <x:c r="A1055" s="21" t="str">
        <x:v>data/units/race_units.json</x:v>
      </x:c>
      <x:c r="B1055" s="21" t="str">
        <x:v>$/units/36/atk</x:v>
      </x:c>
      <x:c r="C1055" s="21" t="str">
        <x:v>int</x:v>
      </x:c>
      <x:c r="D1055" s="21" t="str">
        <x:v>54</x:v>
      </x:c>
    </x:row>
    <x:row r="1056" ht="22" customHeight="1">
      <x:c r="A1056" s="21" t="str">
        <x:v>data/units/race_units.json</x:v>
      </x:c>
      <x:c r="B1056" s="21" t="str">
        <x:v>$/units/36/def</x:v>
      </x:c>
      <x:c r="C1056" s="21" t="str">
        <x:v>int</x:v>
      </x:c>
      <x:c r="D1056" s="21" t="str">
        <x:v>12</x:v>
      </x:c>
    </x:row>
    <x:row r="1057" ht="22" customHeight="1">
      <x:c r="A1057" s="21" t="str">
        <x:v>data/units/race_units.json</x:v>
      </x:c>
      <x:c r="B1057" s="21" t="str">
        <x:v>$/units/36/attack_speed</x:v>
      </x:c>
      <x:c r="C1057" s="21" t="str">
        <x:v>float</x:v>
      </x:c>
      <x:c r="D1057" s="21" t="str">
        <x:v>0.9</x:v>
      </x:c>
    </x:row>
    <x:row r="1058" ht="22" customHeight="1">
      <x:c r="A1058" s="21" t="str">
        <x:v>data/units/race_units.json</x:v>
      </x:c>
      <x:c r="B1058" s="21" t="str">
        <x:v>$/units/36/range</x:v>
      </x:c>
      <x:c r="C1058" s="21" t="str">
        <x:v>int</x:v>
      </x:c>
      <x:c r="D1058" s="21" t="str">
        <x:v>1</x:v>
      </x:c>
    </x:row>
    <x:row r="1059" ht="22" customHeight="1">
      <x:c r="A1059" s="21" t="str">
        <x:v>data/units/race_units.json</x:v>
      </x:c>
      <x:c r="B1059" s="21" t="str">
        <x:v>$/units/36/move_speed</x:v>
      </x:c>
      <x:c r="C1059" s="21" t="str">
        <x:v>float</x:v>
      </x:c>
      <x:c r="D1059" s="21" t="str">
        <x:v>3.05</x:v>
      </x:c>
    </x:row>
    <x:row r="1060" ht="22" customHeight="1">
      <x:c r="A1060" s="21" t="str">
        <x:v>data/units/race_units.json</x:v>
      </x:c>
      <x:c r="B1060" s="21" t="str">
        <x:v>$/units/36/crit</x:v>
      </x:c>
      <x:c r="C1060" s="21" t="str">
        <x:v>float</x:v>
      </x:c>
      <x:c r="D1060" s="21" t="str">
        <x:v>0.08</x:v>
      </x:c>
    </x:row>
    <x:row r="1061" ht="22" customHeight="1">
      <x:c r="A1061" s="21" t="str">
        <x:v>data/units/race_units.json</x:v>
      </x:c>
      <x:c r="B1061" s="21" t="str">
        <x:v>$/units/36/crit_dmg</x:v>
      </x:c>
      <x:c r="C1061" s="21" t="str">
        <x:v>float</x:v>
      </x:c>
      <x:c r="D1061" s="21" t="str">
        <x:v>1.6</x:v>
      </x:c>
    </x:row>
    <x:row r="1062" ht="22" customHeight="1">
      <x:c r="A1062" s="21" t="str">
        <x:v>data/units/race_units.json</x:v>
      </x:c>
      <x:c r="B1062" s="21" t="str">
        <x:v>$/units/36/skill_id</x:v>
      </x:c>
      <x:c r="C1062" s="21" t="str">
        <x:v>string</x:v>
      </x:c>
      <x:c r="D1062" s="21" t="str">
        <x:v>"stacking_def_break"</x:v>
      </x:c>
    </x:row>
    <x:row r="1063" ht="22" customHeight="1">
      <x:c r="A1063" s="21" t="str">
        <x:v>data/units/race_units.json</x:v>
      </x:c>
      <x:c r="B1063" s="21" t="str">
        <x:v>$/units/36/break_chance</x:v>
      </x:c>
      <x:c r="C1063" s="21" t="str">
        <x:v>float</x:v>
      </x:c>
      <x:c r="D1063" s="21" t="str">
        <x:v>1.0</x:v>
      </x:c>
    </x:row>
    <x:row r="1064" ht="22" customHeight="1">
      <x:c r="A1064" s="21" t="str">
        <x:v>data/units/race_units.json</x:v>
      </x:c>
      <x:c r="B1064" s="21" t="str">
        <x:v>$/units/36/break_amount</x:v>
      </x:c>
      <x:c r="C1064" s="21" t="str">
        <x:v>int</x:v>
      </x:c>
      <x:c r="D1064" s="21" t="str">
        <x:v>2</x:v>
      </x:c>
    </x:row>
    <x:row r="1065" ht="22" customHeight="1">
      <x:c r="A1065" s="21" t="str">
        <x:v>data/units/race_units.json</x:v>
      </x:c>
      <x:c r="B1065" s="21" t="str">
        <x:v>$/units/36/star4</x:v>
      </x:c>
      <x:c r="C1065" s="21" t="str">
        <x:v>object</x:v>
      </x:c>
      <x:c r="D1065" s="21" t="str"/>
    </x:row>
    <x:row r="1066" ht="22" customHeight="1">
      <x:c r="A1066" s="21" t="str">
        <x:v>data/units/race_units.json</x:v>
      </x:c>
      <x:c r="B1066" s="21" t="str">
        <x:v>$/units/36/star4/break_amount</x:v>
      </x:c>
      <x:c r="C1066" s="21" t="str">
        <x:v>int</x:v>
      </x:c>
      <x:c r="D1066" s="21" t="str">
        <x:v>4</x:v>
      </x:c>
    </x:row>
    <x:row r="1067" ht="22" customHeight="1">
      <x:c r="A1067" s="21" t="str">
        <x:v>data/units/race_units.json</x:v>
      </x:c>
      <x:c r="B1067" s="21" t="str">
        <x:v>$/units/37</x:v>
      </x:c>
      <x:c r="C1067" s="21" t="str">
        <x:v>object</x:v>
      </x:c>
      <x:c r="D1067" s="21" t="str"/>
    </x:row>
    <x:row r="1068" ht="22" customHeight="1">
      <x:c r="A1068" s="21" t="str">
        <x:v>data/units/race_units.json</x:v>
      </x:c>
      <x:c r="B1068" s="21" t="str">
        <x:v>$/units/37/id</x:v>
      </x:c>
      <x:c r="C1068" s="21" t="str">
        <x:v>string</x:v>
      </x:c>
      <x:c r="D1068" s="21" t="str">
        <x:v>"Icey"</x:v>
      </x:c>
    </x:row>
    <x:row r="1069" ht="22" customHeight="1">
      <x:c r="A1069" s="21" t="str">
        <x:v>data/units/race_units.json</x:v>
      </x:c>
      <x:c r="B1069" s="21" t="str">
        <x:v>$/units/37/name</x:v>
      </x:c>
      <x:c r="C1069" s="21" t="str">
        <x:v>string</x:v>
      </x:c>
      <x:c r="D1069" s="21" t="str">
        <x:v>"霜印使"</x:v>
      </x:c>
    </x:row>
    <x:row r="1070" ht="22" customHeight="1">
      <x:c r="A1070" s="21" t="str">
        <x:v>data/units/race_units.json</x:v>
      </x:c>
      <x:c r="B1070" s="21" t="str">
        <x:v>$/units/37/name_en</x:v>
      </x:c>
      <x:c r="C1070" s="21" t="str">
        <x:v>string</x:v>
      </x:c>
      <x:c r="D1070" s="21" t="str">
        <x:v>"Icey"</x:v>
      </x:c>
    </x:row>
    <x:row r="1071" ht="22" customHeight="1">
      <x:c r="A1071" s="21" t="str">
        <x:v>data/units/race_units.json</x:v>
      </x:c>
      <x:c r="B1071" s="21" t="str">
        <x:v>$/units/37/race</x:v>
      </x:c>
      <x:c r="C1071" s="21" t="str">
        <x:v>string</x:v>
      </x:c>
      <x:c r="D1071" s="21" t="str">
        <x:v>"crimson"</x:v>
      </x:c>
    </x:row>
    <x:row r="1072" ht="22" customHeight="1">
      <x:c r="A1072" s="21" t="str">
        <x:v>data/units/race_units.json</x:v>
      </x:c>
      <x:c r="B1072" s="21" t="str">
        <x:v>$/units/37/model</x:v>
      </x:c>
      <x:c r="C1072" s="21" t="str">
        <x:v>string</x:v>
      </x:c>
      <x:c r="D1072" s="21" t="str">
        <x:v>"res://assets/models/units/crimson_refined/Icey/Icey_refined.tscn"</x:v>
      </x:c>
    </x:row>
    <x:row r="1073" ht="22" customHeight="1">
      <x:c r="A1073" s="21" t="str">
        <x:v>data/units/race_units.json</x:v>
      </x:c>
      <x:c r="B1073" s="21" t="str">
        <x:v>$/units/37/model_visual_scale</x:v>
      </x:c>
      <x:c r="C1073" s="21" t="str">
        <x:v>float</x:v>
      </x:c>
      <x:c r="D1073" s="21" t="str">
        <x:v>1.21</x:v>
      </x:c>
    </x:row>
    <x:row r="1074" ht="22" customHeight="1">
      <x:c r="A1074" s="21" t="str">
        <x:v>data/units/race_units.json</x:v>
      </x:c>
      <x:c r="B1074" s="21" t="str">
        <x:v>$/units/37/model_idle_animation_name</x:v>
      </x:c>
      <x:c r="C1074" s="21" t="str">
        <x:v>string</x:v>
      </x:c>
      <x:c r="D1074" s="21" t="str">
        <x:v>"idle"</x:v>
      </x:c>
    </x:row>
    <x:row r="1075" ht="22" customHeight="1">
      <x:c r="A1075" s="21" t="str">
        <x:v>data/units/race_units.json</x:v>
      </x:c>
      <x:c r="B1075" s="21" t="str">
        <x:v>$/units/37/model_attack_animation_name</x:v>
      </x:c>
      <x:c r="C1075" s="21" t="str">
        <x:v>string</x:v>
      </x:c>
      <x:c r="D1075" s="21" t="str">
        <x:v>"attack"</x:v>
      </x:c>
    </x:row>
    <x:row r="1076" ht="22" customHeight="1">
      <x:c r="A1076" s="21" t="str">
        <x:v>data/units/race_units.json</x:v>
      </x:c>
      <x:c r="B1076" s="21" t="str">
        <x:v>$/units/37/model_run_animation_name</x:v>
      </x:c>
      <x:c r="C1076" s="21" t="str">
        <x:v>string</x:v>
      </x:c>
      <x:c r="D1076" s="21" t="str">
        <x:v>"run"</x:v>
      </x:c>
    </x:row>
    <x:row r="1077" ht="22" customHeight="1">
      <x:c r="A1077" s="21" t="str">
        <x:v>data/units/race_units.json</x:v>
      </x:c>
      <x:c r="B1077" s="21" t="str">
        <x:v>$/units/37/element</x:v>
      </x:c>
      <x:c r="C1077" s="21" t="str">
        <x:v>string</x:v>
      </x:c>
      <x:c r="D1077" s="21" t="str">
        <x:v>"sky"</x:v>
      </x:c>
    </x:row>
    <x:row r="1078" ht="22" customHeight="1">
      <x:c r="A1078" s="21" t="str">
        <x:v>data/units/race_units.json</x:v>
      </x:c>
      <x:c r="B1078" s="21" t="str">
        <x:v>$/units/37/tier</x:v>
      </x:c>
      <x:c r="C1078" s="21" t="str">
        <x:v>int</x:v>
      </x:c>
      <x:c r="D1078" s="21" t="str">
        <x:v>2</x:v>
      </x:c>
    </x:row>
    <x:row r="1079" ht="22" customHeight="1">
      <x:c r="A1079" s="21" t="str">
        <x:v>data/units/race_units.json</x:v>
      </x:c>
      <x:c r="B1079" s="21" t="str">
        <x:v>$/units/37/cost</x:v>
      </x:c>
      <x:c r="C1079" s="21" t="str">
        <x:v>int</x:v>
      </x:c>
      <x:c r="D1079" s="21" t="str">
        <x:v>30</x:v>
      </x:c>
    </x:row>
    <x:row r="1080" ht="22" customHeight="1">
      <x:c r="A1080" s="21" t="str">
        <x:v>data/units/race_units.json</x:v>
      </x:c>
      <x:c r="B1080" s="21" t="str">
        <x:v>$/units/37/hp</x:v>
      </x:c>
      <x:c r="C1080" s="21" t="str">
        <x:v>int</x:v>
      </x:c>
      <x:c r="D1080" s="21" t="str">
        <x:v>780</x:v>
      </x:c>
    </x:row>
    <x:row r="1081" ht="22" customHeight="1">
      <x:c r="A1081" s="21" t="str">
        <x:v>data/units/race_units.json</x:v>
      </x:c>
      <x:c r="B1081" s="21" t="str">
        <x:v>$/units/37/atk</x:v>
      </x:c>
      <x:c r="C1081" s="21" t="str">
        <x:v>int</x:v>
      </x:c>
      <x:c r="D1081" s="21" t="str">
        <x:v>68</x:v>
      </x:c>
    </x:row>
    <x:row r="1082" ht="22" customHeight="1">
      <x:c r="A1082" s="21" t="str">
        <x:v>data/units/race_units.json</x:v>
      </x:c>
      <x:c r="B1082" s="21" t="str">
        <x:v>$/units/37/def</x:v>
      </x:c>
      <x:c r="C1082" s="21" t="str">
        <x:v>int</x:v>
      </x:c>
      <x:c r="D1082" s="21" t="str">
        <x:v>4</x:v>
      </x:c>
    </x:row>
    <x:row r="1083" ht="22" customHeight="1">
      <x:c r="A1083" s="21" t="str">
        <x:v>data/units/race_units.json</x:v>
      </x:c>
      <x:c r="B1083" s="21" t="str">
        <x:v>$/units/37/attack_speed</x:v>
      </x:c>
      <x:c r="C1083" s="21" t="str">
        <x:v>float</x:v>
      </x:c>
      <x:c r="D1083" s="21" t="str">
        <x:v>0.85</x:v>
      </x:c>
    </x:row>
    <x:row r="1084" ht="22" customHeight="1">
      <x:c r="A1084" s="21" t="str">
        <x:v>data/units/race_units.json</x:v>
      </x:c>
      <x:c r="B1084" s="21" t="str">
        <x:v>$/units/37/range</x:v>
      </x:c>
      <x:c r="C1084" s="21" t="str">
        <x:v>int</x:v>
      </x:c>
      <x:c r="D1084" s="21" t="str">
        <x:v>4</x:v>
      </x:c>
    </x:row>
    <x:row r="1085" ht="22" customHeight="1">
      <x:c r="A1085" s="21" t="str">
        <x:v>data/units/race_units.json</x:v>
      </x:c>
      <x:c r="B1085" s="21" t="str">
        <x:v>$/units/37/move_speed</x:v>
      </x:c>
      <x:c r="C1085" s="21" t="str">
        <x:v>float</x:v>
      </x:c>
      <x:c r="D1085" s="21" t="str">
        <x:v>3.2</x:v>
      </x:c>
    </x:row>
    <x:row r="1086" ht="22" customHeight="1">
      <x:c r="A1086" s="21" t="str">
        <x:v>data/units/race_units.json</x:v>
      </x:c>
      <x:c r="B1086" s="21" t="str">
        <x:v>$/units/37/crit</x:v>
      </x:c>
      <x:c r="C1086" s="21" t="str">
        <x:v>float</x:v>
      </x:c>
      <x:c r="D1086" s="21" t="str">
        <x:v>0.08</x:v>
      </x:c>
    </x:row>
    <x:row r="1087" ht="22" customHeight="1">
      <x:c r="A1087" s="21" t="str">
        <x:v>data/units/race_units.json</x:v>
      </x:c>
      <x:c r="B1087" s="21" t="str">
        <x:v>$/units/37/crit_dmg</x:v>
      </x:c>
      <x:c r="C1087" s="21" t="str">
        <x:v>float</x:v>
      </x:c>
      <x:c r="D1087" s="21" t="str">
        <x:v>1.6</x:v>
      </x:c>
    </x:row>
    <x:row r="1088" ht="22" customHeight="1">
      <x:c r="A1088" s="21" t="str">
        <x:v>data/units/race_units.json</x:v>
      </x:c>
      <x:c r="B1088" s="21" t="str">
        <x:v>$/units/37/skill_id</x:v>
      </x:c>
      <x:c r="C1088" s="21" t="str">
        <x:v>string</x:v>
      </x:c>
      <x:c r="D1088" s="21" t="str">
        <x:v>"frost_status"</x:v>
      </x:c>
    </x:row>
    <x:row r="1089" ht="22" customHeight="1">
      <x:c r="A1089" s="21" t="str">
        <x:v>data/units/race_units.json</x:v>
      </x:c>
      <x:c r="B1089" s="21" t="str">
        <x:v>$/units/37/skill_cd</x:v>
      </x:c>
      <x:c r="C1089" s="21" t="str">
        <x:v>float</x:v>
      </x:c>
      <x:c r="D1089" s="21" t="str">
        <x:v>6.0</x:v>
      </x:c>
    </x:row>
    <x:row r="1090" ht="22" customHeight="1">
      <x:c r="A1090" s="21" t="str">
        <x:v>data/units/race_units.json</x:v>
      </x:c>
      <x:c r="B1090" s="21" t="str">
        <x:v>$/units/37/damage_atk_pct</x:v>
      </x:c>
      <x:c r="C1090" s="21" t="str">
        <x:v>float</x:v>
      </x:c>
      <x:c r="D1090" s="21" t="str">
        <x:v>1.1</x:v>
      </x:c>
    </x:row>
    <x:row r="1091" ht="22" customHeight="1">
      <x:c r="A1091" s="21" t="str">
        <x:v>data/units/race_units.json</x:v>
      </x:c>
      <x:c r="B1091" s="21" t="str">
        <x:v>$/units/37/ice_duration</x:v>
      </x:c>
      <x:c r="C1091" s="21" t="str">
        <x:v>float</x:v>
      </x:c>
      <x:c r="D1091" s="21" t="str">
        <x:v>3.0</x:v>
      </x:c>
    </x:row>
    <x:row r="1092" ht="22" customHeight="1">
      <x:c r="A1092" s="21" t="str">
        <x:v>data/units/race_units.json</x:v>
      </x:c>
      <x:c r="B1092" s="21" t="str">
        <x:v>$/units/37/ice_vulnerable_pct</x:v>
      </x:c>
      <x:c r="C1092" s="21" t="str">
        <x:v>float</x:v>
      </x:c>
      <x:c r="D1092" s="21" t="str">
        <x:v>0.25</x:v>
      </x:c>
    </x:row>
    <x:row r="1093" ht="22" customHeight="1">
      <x:c r="A1093" s="21" t="str">
        <x:v>data/units/race_units.json</x:v>
      </x:c>
      <x:c r="B1093" s="21" t="str">
        <x:v>$/units/37/aoe_radius</x:v>
      </x:c>
      <x:c r="C1093" s="21" t="str">
        <x:v>float</x:v>
      </x:c>
      <x:c r="D1093" s="21" t="str">
        <x:v>144.0</x:v>
      </x:c>
    </x:row>
    <x:row r="1094" ht="22" customHeight="1">
      <x:c r="A1094" s="21" t="str">
        <x:v>data/units/race_units.json</x:v>
      </x:c>
      <x:c r="B1094" s="21" t="str">
        <x:v>$/units/37/star4</x:v>
      </x:c>
      <x:c r="C1094" s="21" t="str">
        <x:v>object</x:v>
      </x:c>
      <x:c r="D1094" s="21" t="str"/>
    </x:row>
    <x:row r="1095" ht="22" customHeight="1">
      <x:c r="A1095" s="21" t="str">
        <x:v>data/units/race_units.json</x:v>
      </x:c>
      <x:c r="B1095" s="21" t="str">
        <x:v>$/units/37/star4/damage_atk_pct</x:v>
      </x:c>
      <x:c r="C1095" s="21" t="str">
        <x:v>float</x:v>
      </x:c>
      <x:c r="D1095" s="21" t="str">
        <x:v>1.5</x:v>
      </x:c>
    </x:row>
    <x:row r="1096" ht="22" customHeight="1">
      <x:c r="A1096" s="21" t="str">
        <x:v>data/units/race_units.json</x:v>
      </x:c>
      <x:c r="B1096" s="21" t="str">
        <x:v>$/units/37/star4/ice_duration</x:v>
      </x:c>
      <x:c r="C1096" s="21" t="str">
        <x:v>float</x:v>
      </x:c>
      <x:c r="D1096" s="21" t="str">
        <x:v>5.0</x:v>
      </x:c>
    </x:row>
    <x:row r="1097" ht="22" customHeight="1">
      <x:c r="A1097" s="21" t="str">
        <x:v>data/units/race_units.json</x:v>
      </x:c>
      <x:c r="B1097" s="21" t="str">
        <x:v>$/units/38</x:v>
      </x:c>
      <x:c r="C1097" s="21" t="str">
        <x:v>object</x:v>
      </x:c>
      <x:c r="D1097" s="21" t="str"/>
    </x:row>
    <x:row r="1098" ht="22" customHeight="1">
      <x:c r="A1098" s="21" t="str">
        <x:v>data/units/race_units.json</x:v>
      </x:c>
      <x:c r="B1098" s="21" t="str">
        <x:v>$/units/38/id</x:v>
      </x:c>
      <x:c r="C1098" s="21" t="str">
        <x:v>string</x:v>
      </x:c>
      <x:c r="D1098" s="21" t="str">
        <x:v>"skypierce"</x:v>
      </x:c>
    </x:row>
    <x:row r="1099" ht="22" customHeight="1">
      <x:c r="A1099" s="21" t="str">
        <x:v>data/units/race_units.json</x:v>
      </x:c>
      <x:c r="B1099" s="21" t="str">
        <x:v>$/units/38/name</x:v>
      </x:c>
      <x:c r="C1099" s="21" t="str">
        <x:v>string</x:v>
      </x:c>
      <x:c r="D1099" s="21" t="str">
        <x:v>"穿云弩手"</x:v>
      </x:c>
    </x:row>
    <x:row r="1100" ht="22" customHeight="1">
      <x:c r="A1100" s="21" t="str">
        <x:v>data/units/race_units.json</x:v>
      </x:c>
      <x:c r="B1100" s="21" t="str">
        <x:v>$/units/38/name_en</x:v>
      </x:c>
      <x:c r="C1100" s="21" t="str">
        <x:v>string</x:v>
      </x:c>
      <x:c r="D1100" s="21" t="str">
        <x:v>"Skypierce"</x:v>
      </x:c>
    </x:row>
    <x:row r="1101" ht="22" customHeight="1">
      <x:c r="A1101" s="21" t="str">
        <x:v>data/units/race_units.json</x:v>
      </x:c>
      <x:c r="B1101" s="21" t="str">
        <x:v>$/units/38/race</x:v>
      </x:c>
      <x:c r="C1101" s="21" t="str">
        <x:v>string</x:v>
      </x:c>
      <x:c r="D1101" s="21" t="str">
        <x:v>"crimson"</x:v>
      </x:c>
    </x:row>
    <x:row r="1102" ht="22" customHeight="1">
      <x:c r="A1102" s="21" t="str">
        <x:v>data/units/race_units.json</x:v>
      </x:c>
      <x:c r="B1102" s="21" t="str">
        <x:v>$/units/38/model</x:v>
      </x:c>
      <x:c r="C1102" s="21" t="str">
        <x:v>string</x:v>
      </x:c>
      <x:c r="D1102" s="21" t="str">
        <x:v>"res://assets/models/units/crimson_refined/skypierce/skypierce_refined.tscn"</x:v>
      </x:c>
    </x:row>
    <x:row r="1103" ht="22" customHeight="1">
      <x:c r="A1103" s="21" t="str">
        <x:v>data/units/race_units.json</x:v>
      </x:c>
      <x:c r="B1103" s="21" t="str">
        <x:v>$/units/38/model_visual_scale</x:v>
      </x:c>
      <x:c r="C1103" s="21" t="str">
        <x:v>float</x:v>
      </x:c>
      <x:c r="D1103" s="21" t="str">
        <x:v>1.2</x:v>
      </x:c>
    </x:row>
    <x:row r="1104" ht="22" customHeight="1">
      <x:c r="A1104" s="21" t="str">
        <x:v>data/units/race_units.json</x:v>
      </x:c>
      <x:c r="B1104" s="21" t="str">
        <x:v>$/units/38/model_idle_animation_name</x:v>
      </x:c>
      <x:c r="C1104" s="21" t="str">
        <x:v>string</x:v>
      </x:c>
      <x:c r="D1104" s="21" t="str">
        <x:v>"idle"</x:v>
      </x:c>
    </x:row>
    <x:row r="1105" ht="22" customHeight="1">
      <x:c r="A1105" s="21" t="str">
        <x:v>data/units/race_units.json</x:v>
      </x:c>
      <x:c r="B1105" s="21" t="str">
        <x:v>$/units/38/model_attack_animation_name</x:v>
      </x:c>
      <x:c r="C1105" s="21" t="str">
        <x:v>string</x:v>
      </x:c>
      <x:c r="D1105" s="21" t="str">
        <x:v>"attack"</x:v>
      </x:c>
    </x:row>
    <x:row r="1106" ht="22" customHeight="1">
      <x:c r="A1106" s="21" t="str">
        <x:v>data/units/race_units.json</x:v>
      </x:c>
      <x:c r="B1106" s="21" t="str">
        <x:v>$/units/38/model_run_animation_name</x:v>
      </x:c>
      <x:c r="C1106" s="21" t="str">
        <x:v>string</x:v>
      </x:c>
      <x:c r="D1106" s="21" t="str">
        <x:v>"run"</x:v>
      </x:c>
    </x:row>
    <x:row r="1107" ht="22" customHeight="1">
      <x:c r="A1107" s="21" t="str">
        <x:v>data/units/race_units.json</x:v>
      </x:c>
      <x:c r="B1107" s="21" t="str">
        <x:v>$/units/38/element</x:v>
      </x:c>
      <x:c r="C1107" s="21" t="str">
        <x:v>string</x:v>
      </x:c>
      <x:c r="D1107" s="21" t="str">
        <x:v>"sky"</x:v>
      </x:c>
    </x:row>
    <x:row r="1108" ht="22" customHeight="1">
      <x:c r="A1108" s="21" t="str">
        <x:v>data/units/race_units.json</x:v>
      </x:c>
      <x:c r="B1108" s="21" t="str">
        <x:v>$/units/38/tier</x:v>
      </x:c>
      <x:c r="C1108" s="21" t="str">
        <x:v>int</x:v>
      </x:c>
      <x:c r="D1108" s="21" t="str">
        <x:v>3</x:v>
      </x:c>
    </x:row>
    <x:row r="1109" ht="22" customHeight="1">
      <x:c r="A1109" s="21" t="str">
        <x:v>data/units/race_units.json</x:v>
      </x:c>
      <x:c r="B1109" s="21" t="str">
        <x:v>$/units/38/cost</x:v>
      </x:c>
      <x:c r="C1109" s="21" t="str">
        <x:v>int</x:v>
      </x:c>
      <x:c r="D1109" s="21" t="str">
        <x:v>50</x:v>
      </x:c>
    </x:row>
    <x:row r="1110" ht="22" customHeight="1">
      <x:c r="A1110" s="21" t="str">
        <x:v>data/units/race_units.json</x:v>
      </x:c>
      <x:c r="B1110" s="21" t="str">
        <x:v>$/units/38/hp</x:v>
      </x:c>
      <x:c r="C1110" s="21" t="str">
        <x:v>int</x:v>
      </x:c>
      <x:c r="D1110" s="21" t="str">
        <x:v>1500</x:v>
      </x:c>
    </x:row>
    <x:row r="1111" ht="22" customHeight="1">
      <x:c r="A1111" s="21" t="str">
        <x:v>data/units/race_units.json</x:v>
      </x:c>
      <x:c r="B1111" s="21" t="str">
        <x:v>$/units/38/atk</x:v>
      </x:c>
      <x:c r="C1111" s="21" t="str">
        <x:v>int</x:v>
      </x:c>
      <x:c r="D1111" s="21" t="str">
        <x:v>104</x:v>
      </x:c>
    </x:row>
    <x:row r="1112" ht="22" customHeight="1">
      <x:c r="A1112" s="21" t="str">
        <x:v>data/units/race_units.json</x:v>
      </x:c>
      <x:c r="B1112" s="21" t="str">
        <x:v>$/units/38/def</x:v>
      </x:c>
      <x:c r="C1112" s="21" t="str">
        <x:v>int</x:v>
      </x:c>
      <x:c r="D1112" s="21" t="str">
        <x:v>10</x:v>
      </x:c>
    </x:row>
    <x:row r="1113" ht="22" customHeight="1">
      <x:c r="A1113" s="21" t="str">
        <x:v>data/units/race_units.json</x:v>
      </x:c>
      <x:c r="B1113" s="21" t="str">
        <x:v>$/units/38/attack_speed</x:v>
      </x:c>
      <x:c r="C1113" s="21" t="str">
        <x:v>float</x:v>
      </x:c>
      <x:c r="D1113" s="21" t="str">
        <x:v>0.86</x:v>
      </x:c>
    </x:row>
    <x:row r="1114" ht="22" customHeight="1">
      <x:c r="A1114" s="21" t="str">
        <x:v>data/units/race_units.json</x:v>
      </x:c>
      <x:c r="B1114" s="21" t="str">
        <x:v>$/units/38/range</x:v>
      </x:c>
      <x:c r="C1114" s="21" t="str">
        <x:v>int</x:v>
      </x:c>
      <x:c r="D1114" s="21" t="str">
        <x:v>2</x:v>
      </x:c>
    </x:row>
    <x:row r="1115" ht="22" customHeight="1">
      <x:c r="A1115" s="21" t="str">
        <x:v>data/units/race_units.json</x:v>
      </x:c>
      <x:c r="B1115" s="21" t="str">
        <x:v>$/units/38/move_speed</x:v>
      </x:c>
      <x:c r="C1115" s="21" t="str">
        <x:v>float</x:v>
      </x:c>
      <x:c r="D1115" s="21" t="str">
        <x:v>3.1</x:v>
      </x:c>
    </x:row>
    <x:row r="1116" ht="22" customHeight="1">
      <x:c r="A1116" s="21" t="str">
        <x:v>data/units/race_units.json</x:v>
      </x:c>
      <x:c r="B1116" s="21" t="str">
        <x:v>$/units/38/crit</x:v>
      </x:c>
      <x:c r="C1116" s="21" t="str">
        <x:v>float</x:v>
      </x:c>
      <x:c r="D1116" s="21" t="str">
        <x:v>0.1</x:v>
      </x:c>
    </x:row>
    <x:row r="1117" ht="22" customHeight="1">
      <x:c r="A1117" s="21" t="str">
        <x:v>data/units/race_units.json</x:v>
      </x:c>
      <x:c r="B1117" s="21" t="str">
        <x:v>$/units/38/crit_dmg</x:v>
      </x:c>
      <x:c r="C1117" s="21" t="str">
        <x:v>float</x:v>
      </x:c>
      <x:c r="D1117" s="21" t="str">
        <x:v>1.75</x:v>
      </x:c>
    </x:row>
    <x:row r="1118" ht="22" customHeight="1">
      <x:c r="A1118" s="21" t="str">
        <x:v>data/units/race_units.json</x:v>
      </x:c>
      <x:c r="B1118" s="21" t="str">
        <x:v>$/units/38/skill_id</x:v>
      </x:c>
      <x:c r="C1118" s="21" t="str">
        <x:v>string</x:v>
      </x:c>
      <x:c r="D1118" s="21" t="str">
        <x:v>"line_pierce"</x:v>
      </x:c>
    </x:row>
    <x:row r="1119" ht="22" customHeight="1">
      <x:c r="A1119" s="21" t="str">
        <x:v>data/units/race_units.json</x:v>
      </x:c>
      <x:c r="B1119" s="21" t="str">
        <x:v>$/units/38/pierce_falloff</x:v>
      </x:c>
      <x:c r="C1119" s="21" t="str">
        <x:v>float</x:v>
      </x:c>
      <x:c r="D1119" s="21" t="str">
        <x:v>0.2</x:v>
      </x:c>
    </x:row>
    <x:row r="1120" ht="22" customHeight="1">
      <x:c r="A1120" s="21" t="str">
        <x:v>data/units/race_units.json</x:v>
      </x:c>
      <x:c r="B1120" s="21" t="str">
        <x:v>$/units/38/pierce_targets</x:v>
      </x:c>
      <x:c r="C1120" s="21" t="str">
        <x:v>int</x:v>
      </x:c>
      <x:c r="D1120" s="21" t="str">
        <x:v>4</x:v>
      </x:c>
    </x:row>
    <x:row r="1121" ht="22" customHeight="1">
      <x:c r="A1121" s="21" t="str">
        <x:v>data/units/race_units.json</x:v>
      </x:c>
      <x:c r="B1121" s="21" t="str">
        <x:v>$/units/38/star4</x:v>
      </x:c>
      <x:c r="C1121" s="21" t="str">
        <x:v>object</x:v>
      </x:c>
      <x:c r="D1121" s="21" t="str"/>
    </x:row>
    <x:row r="1122" ht="22" customHeight="1">
      <x:c r="A1122" s="21" t="str">
        <x:v>data/units/race_units.json</x:v>
      </x:c>
      <x:c r="B1122" s="21" t="str">
        <x:v>$/units/38/star4/pierce_falloff</x:v>
      </x:c>
      <x:c r="C1122" s="21" t="str">
        <x:v>float</x:v>
      </x:c>
      <x:c r="D1122" s="21" t="str">
        <x:v>0.1</x:v>
      </x:c>
    </x:row>
    <x:row r="1123" ht="22" customHeight="1">
      <x:c r="A1123" s="21" t="str">
        <x:v>data/units/race_units.json</x:v>
      </x:c>
      <x:c r="B1123" s="21" t="str">
        <x:v>$/units/39</x:v>
      </x:c>
      <x:c r="C1123" s="21" t="str">
        <x:v>object</x:v>
      </x:c>
      <x:c r="D1123" s="21" t="str"/>
    </x:row>
    <x:row r="1124" ht="22" customHeight="1">
      <x:c r="A1124" s="21" t="str">
        <x:v>data/units/race_units.json</x:v>
      </x:c>
      <x:c r="B1124" s="21" t="str">
        <x:v>$/units/39/id</x:v>
      </x:c>
      <x:c r="C1124" s="21" t="str">
        <x:v>string</x:v>
      </x:c>
      <x:c r="D1124" s="21" t="str">
        <x:v>"lattern"</x:v>
      </x:c>
    </x:row>
    <x:row r="1125" ht="22" customHeight="1">
      <x:c r="A1125" s="21" t="str">
        <x:v>data/units/race_units.json</x:v>
      </x:c>
      <x:c r="B1125" s="21" t="str">
        <x:v>$/units/39/name</x:v>
      </x:c>
      <x:c r="C1125" s="21" t="str">
        <x:v>string</x:v>
      </x:c>
      <x:c r="D1125" s="21" t="str">
        <x:v>"赤灯使"</x:v>
      </x:c>
    </x:row>
    <x:row r="1126" ht="22" customHeight="1">
      <x:c r="A1126" s="21" t="str">
        <x:v>data/units/race_units.json</x:v>
      </x:c>
      <x:c r="B1126" s="21" t="str">
        <x:v>$/units/39/name_en</x:v>
      </x:c>
      <x:c r="C1126" s="21" t="str">
        <x:v>string</x:v>
      </x:c>
      <x:c r="D1126" s="21" t="str">
        <x:v>"Lantern"</x:v>
      </x:c>
    </x:row>
    <x:row r="1127" ht="22" customHeight="1">
      <x:c r="A1127" s="21" t="str">
        <x:v>data/units/race_units.json</x:v>
      </x:c>
      <x:c r="B1127" s="21" t="str">
        <x:v>$/units/39/race</x:v>
      </x:c>
      <x:c r="C1127" s="21" t="str">
        <x:v>string</x:v>
      </x:c>
      <x:c r="D1127" s="21" t="str">
        <x:v>"crimson"</x:v>
      </x:c>
    </x:row>
    <x:row r="1128" ht="22" customHeight="1">
      <x:c r="A1128" s="21" t="str">
        <x:v>data/units/race_units.json</x:v>
      </x:c>
      <x:c r="B1128" s="21" t="str">
        <x:v>$/units/39/model</x:v>
      </x:c>
      <x:c r="C1128" s="21" t="str">
        <x:v>string</x:v>
      </x:c>
      <x:c r="D1128" s="21" t="str">
        <x:v>"res://assets/models/units/crimson_refined/lattern/lattern_refined.tscn"</x:v>
      </x:c>
    </x:row>
    <x:row r="1129" ht="22" customHeight="1">
      <x:c r="A1129" s="21" t="str">
        <x:v>data/units/race_units.json</x:v>
      </x:c>
      <x:c r="B1129" s="21" t="str">
        <x:v>$/units/39/model_visual_scale</x:v>
      </x:c>
      <x:c r="C1129" s="21" t="str">
        <x:v>float</x:v>
      </x:c>
      <x:c r="D1129" s="21" t="str">
        <x:v>1.18</x:v>
      </x:c>
    </x:row>
    <x:row r="1130" ht="22" customHeight="1">
      <x:c r="A1130" s="21" t="str">
        <x:v>data/units/race_units.json</x:v>
      </x:c>
      <x:c r="B1130" s="21" t="str">
        <x:v>$/units/39/model_idle_animation_name</x:v>
      </x:c>
      <x:c r="C1130" s="21" t="str">
        <x:v>string</x:v>
      </x:c>
      <x:c r="D1130" s="21" t="str">
        <x:v>"idle"</x:v>
      </x:c>
    </x:row>
    <x:row r="1131" ht="22" customHeight="1">
      <x:c r="A1131" s="21" t="str">
        <x:v>data/units/race_units.json</x:v>
      </x:c>
      <x:c r="B1131" s="21" t="str">
        <x:v>$/units/39/model_attack_animation_name</x:v>
      </x:c>
      <x:c r="C1131" s="21" t="str">
        <x:v>string</x:v>
      </x:c>
      <x:c r="D1131" s="21" t="str">
        <x:v>"attack"</x:v>
      </x:c>
    </x:row>
    <x:row r="1132" ht="22" customHeight="1">
      <x:c r="A1132" s="21" t="str">
        <x:v>data/units/race_units.json</x:v>
      </x:c>
      <x:c r="B1132" s="21" t="str">
        <x:v>$/units/39/model_run_animation_name</x:v>
      </x:c>
      <x:c r="C1132" s="21" t="str">
        <x:v>string</x:v>
      </x:c>
      <x:c r="D1132" s="21" t="str">
        <x:v>"run"</x:v>
      </x:c>
    </x:row>
    <x:row r="1133" ht="22" customHeight="1">
      <x:c r="A1133" s="21" t="str">
        <x:v>data/units/race_units.json</x:v>
      </x:c>
      <x:c r="B1133" s="21" t="str">
        <x:v>$/units/39/element</x:v>
      </x:c>
      <x:c r="C1133" s="21" t="str">
        <x:v>string</x:v>
      </x:c>
      <x:c r="D1133" s="21" t="str">
        <x:v>"land"</x:v>
      </x:c>
    </x:row>
    <x:row r="1134" ht="22" customHeight="1">
      <x:c r="A1134" s="21" t="str">
        <x:v>data/units/race_units.json</x:v>
      </x:c>
      <x:c r="B1134" s="21" t="str">
        <x:v>$/units/39/tier</x:v>
      </x:c>
      <x:c r="C1134" s="21" t="str">
        <x:v>int</x:v>
      </x:c>
      <x:c r="D1134" s="21" t="str">
        <x:v>3</x:v>
      </x:c>
    </x:row>
    <x:row r="1135" ht="22" customHeight="1">
      <x:c r="A1135" s="21" t="str">
        <x:v>data/units/race_units.json</x:v>
      </x:c>
      <x:c r="B1135" s="21" t="str">
        <x:v>$/units/39/cost</x:v>
      </x:c>
      <x:c r="C1135" s="21" t="str">
        <x:v>int</x:v>
      </x:c>
      <x:c r="D1135" s="21" t="str">
        <x:v>50</x:v>
      </x:c>
    </x:row>
    <x:row r="1136" ht="22" customHeight="1">
      <x:c r="A1136" s="21" t="str">
        <x:v>data/units/race_units.json</x:v>
      </x:c>
      <x:c r="B1136" s="21" t="str">
        <x:v>$/units/39/hp</x:v>
      </x:c>
      <x:c r="C1136" s="21" t="str">
        <x:v>int</x:v>
      </x:c>
      <x:c r="D1136" s="21" t="str">
        <x:v>1720</x:v>
      </x:c>
    </x:row>
    <x:row r="1137" ht="22" customHeight="1">
      <x:c r="A1137" s="21" t="str">
        <x:v>data/units/race_units.json</x:v>
      </x:c>
      <x:c r="B1137" s="21" t="str">
        <x:v>$/units/39/atk</x:v>
      </x:c>
      <x:c r="C1137" s="21" t="str">
        <x:v>int</x:v>
      </x:c>
      <x:c r="D1137" s="21" t="str">
        <x:v>82</x:v>
      </x:c>
    </x:row>
    <x:row r="1138" ht="22" customHeight="1">
      <x:c r="A1138" s="21" t="str">
        <x:v>data/units/race_units.json</x:v>
      </x:c>
      <x:c r="B1138" s="21" t="str">
        <x:v>$/units/39/def</x:v>
      </x:c>
      <x:c r="C1138" s="21" t="str">
        <x:v>int</x:v>
      </x:c>
      <x:c r="D1138" s="21" t="str">
        <x:v>16</x:v>
      </x:c>
    </x:row>
    <x:row r="1139" ht="22" customHeight="1">
      <x:c r="A1139" s="21" t="str">
        <x:v>data/units/race_units.json</x:v>
      </x:c>
      <x:c r="B1139" s="21" t="str">
        <x:v>$/units/39/attack_speed</x:v>
      </x:c>
      <x:c r="C1139" s="21" t="str">
        <x:v>float</x:v>
      </x:c>
      <x:c r="D1139" s="21" t="str">
        <x:v>0.78</x:v>
      </x:c>
    </x:row>
    <x:row r="1140" ht="22" customHeight="1">
      <x:c r="A1140" s="21" t="str">
        <x:v>data/units/race_units.json</x:v>
      </x:c>
      <x:c r="B1140" s="21" t="str">
        <x:v>$/units/39/range</x:v>
      </x:c>
      <x:c r="C1140" s="21" t="str">
        <x:v>int</x:v>
      </x:c>
      <x:c r="D1140" s="21" t="str">
        <x:v>2</x:v>
      </x:c>
    </x:row>
    <x:row r="1141" ht="22" customHeight="1">
      <x:c r="A1141" s="21" t="str">
        <x:v>data/units/race_units.json</x:v>
      </x:c>
      <x:c r="B1141" s="21" t="str">
        <x:v>$/units/39/move_speed</x:v>
      </x:c>
      <x:c r="C1141" s="21" t="str">
        <x:v>float</x:v>
      </x:c>
      <x:c r="D1141" s="21" t="str">
        <x:v>3.0</x:v>
      </x:c>
    </x:row>
    <x:row r="1142" ht="22" customHeight="1">
      <x:c r="A1142" s="21" t="str">
        <x:v>data/units/race_units.json</x:v>
      </x:c>
      <x:c r="B1142" s="21" t="str">
        <x:v>$/units/39/crit</x:v>
      </x:c>
      <x:c r="C1142" s="21" t="str">
        <x:v>float</x:v>
      </x:c>
      <x:c r="D1142" s="21" t="str">
        <x:v>0.1</x:v>
      </x:c>
    </x:row>
    <x:row r="1143" ht="22" customHeight="1">
      <x:c r="A1143" s="21" t="str">
        <x:v>data/units/race_units.json</x:v>
      </x:c>
      <x:c r="B1143" s="21" t="str">
        <x:v>$/units/39/crit_dmg</x:v>
      </x:c>
      <x:c r="C1143" s="21" t="str">
        <x:v>float</x:v>
      </x:c>
      <x:c r="D1143" s="21" t="str">
        <x:v>1.75</x:v>
      </x:c>
    </x:row>
    <x:row r="1144" ht="22" customHeight="1">
      <x:c r="A1144" s="21" t="str">
        <x:v>data/units/race_units.json</x:v>
      </x:c>
      <x:c r="B1144" s="21" t="str">
        <x:v>$/units/39/skill_id</x:v>
      </x:c>
      <x:c r="C1144" s="21" t="str">
        <x:v>string</x:v>
      </x:c>
      <x:c r="D1144" s="21" t="str">
        <x:v>"aoe_silence"</x:v>
      </x:c>
    </x:row>
    <x:row r="1145" ht="22" customHeight="1">
      <x:c r="A1145" s="21" t="str">
        <x:v>data/units/race_units.json</x:v>
      </x:c>
      <x:c r="B1145" s="21" t="str">
        <x:v>$/units/39/skill_global</x:v>
      </x:c>
      <x:c r="C1145" s="21" t="str">
        <x:v>bool</x:v>
      </x:c>
      <x:c r="D1145" s="21" t="str">
        <x:v>true</x:v>
      </x:c>
    </x:row>
    <x:row r="1146" ht="22" customHeight="1">
      <x:c r="A1146" s="21" t="str">
        <x:v>data/units/race_units.json</x:v>
      </x:c>
      <x:c r="B1146" s="21" t="str">
        <x:v>$/units/39/skill_cd</x:v>
      </x:c>
      <x:c r="C1146" s="21" t="str">
        <x:v>float</x:v>
      </x:c>
      <x:c r="D1146" s="21" t="str">
        <x:v>10.0</x:v>
      </x:c>
    </x:row>
    <x:row r="1147" ht="22" customHeight="1">
      <x:c r="A1147" s="21" t="str">
        <x:v>data/units/race_units.json</x:v>
      </x:c>
      <x:c r="B1147" s="21" t="str">
        <x:v>$/units/39/silence_duration</x:v>
      </x:c>
      <x:c r="C1147" s="21" t="str">
        <x:v>float</x:v>
      </x:c>
      <x:c r="D1147" s="21" t="str">
        <x:v>3.0</x:v>
      </x:c>
    </x:row>
    <x:row r="1148" ht="22" customHeight="1">
      <x:c r="A1148" s="21" t="str">
        <x:v>data/units/race_units.json</x:v>
      </x:c>
      <x:c r="B1148" s="21" t="str">
        <x:v>$/units/39/unique_on_board</x:v>
      </x:c>
      <x:c r="C1148" s="21" t="str">
        <x:v>bool</x:v>
      </x:c>
      <x:c r="D1148" s="21" t="str">
        <x:v>true</x:v>
      </x:c>
    </x:row>
    <x:row r="1149" ht="22" customHeight="1">
      <x:c r="A1149" s="21" t="str">
        <x:v>data/units/race_units.json</x:v>
      </x:c>
      <x:c r="B1149" s="21" t="str">
        <x:v>$/units/39/star4</x:v>
      </x:c>
      <x:c r="C1149" s="21" t="str">
        <x:v>object</x:v>
      </x:c>
      <x:c r="D1149" s="21" t="str"/>
    </x:row>
    <x:row r="1150" ht="22" customHeight="1">
      <x:c r="A1150" s="21" t="str">
        <x:v>data/units/race_units.json</x:v>
      </x:c>
      <x:c r="B1150" s="21" t="str">
        <x:v>$/units/39/star4/skill_cd</x:v>
      </x:c>
      <x:c r="C1150" s="21" t="str">
        <x:v>float</x:v>
      </x:c>
      <x:c r="D1150" s="21" t="str">
        <x:v>9.0</x:v>
      </x:c>
    </x:row>
    <x:row r="1151" ht="22" customHeight="1">
      <x:c r="A1151" s="21" t="str">
        <x:v>data/units/race_units.json</x:v>
      </x:c>
      <x:c r="B1151" s="21" t="str">
        <x:v>$/units/39/star4/silence_duration</x:v>
      </x:c>
      <x:c r="C1151" s="21" t="str">
        <x:v>float</x:v>
      </x:c>
      <x:c r="D1151" s="21" t="str">
        <x:v>4.0</x:v>
      </x:c>
    </x:row>
    <x:row r="1152" ht="22" customHeight="1">
      <x:c r="A1152" s="21" t="str">
        <x:v>data/pve/pve_monsters.json</x:v>
      </x:c>
      <x:c r="B1152" s="21" t="str">
        <x:v>$</x:v>
      </x:c>
      <x:c r="C1152" s="21" t="str">
        <x:v>object</x:v>
      </x:c>
      <x:c r="D1152" s="21" t="str"/>
    </x:row>
    <x:row r="1153" ht="22" customHeight="1">
      <x:c r="A1153" s="21" t="str">
        <x:v>data/pve/pve_monsters.json</x:v>
      </x:c>
      <x:c r="B1153" s="21" t="str">
        <x:v>$/pve_rounds</x:v>
      </x:c>
      <x:c r="C1153" s="21" t="str">
        <x:v>array</x:v>
      </x:c>
      <x:c r="D1153" s="21" t="str"/>
    </x:row>
    <x:row r="1154" ht="22" customHeight="1">
      <x:c r="A1154" s="21" t="str">
        <x:v>data/pve/pve_monsters.json</x:v>
      </x:c>
      <x:c r="B1154" s="21" t="str">
        <x:v>$/pve_rounds/0</x:v>
      </x:c>
      <x:c r="C1154" s="21" t="str">
        <x:v>int</x:v>
      </x:c>
      <x:c r="D1154" s="21" t="str">
        <x:v>1</x:v>
      </x:c>
    </x:row>
    <x:row r="1155" ht="22" customHeight="1">
      <x:c r="A1155" s="21" t="str">
        <x:v>data/pve/pve_monsters.json</x:v>
      </x:c>
      <x:c r="B1155" s="21" t="str">
        <x:v>$/pve_rounds/1</x:v>
      </x:c>
      <x:c r="C1155" s="21" t="str">
        <x:v>int</x:v>
      </x:c>
      <x:c r="D1155" s="21" t="str">
        <x:v>2</x:v>
      </x:c>
    </x:row>
    <x:row r="1156" ht="22" customHeight="1">
      <x:c r="A1156" s="21" t="str">
        <x:v>data/pve/pve_monsters.json</x:v>
      </x:c>
      <x:c r="B1156" s="21" t="str">
        <x:v>$/pve_rounds/2</x:v>
      </x:c>
      <x:c r="C1156" s="21" t="str">
        <x:v>int</x:v>
      </x:c>
      <x:c r="D1156" s="21" t="str">
        <x:v>4</x:v>
      </x:c>
    </x:row>
    <x:row r="1157" ht="22" customHeight="1">
      <x:c r="A1157" s="21" t="str">
        <x:v>data/pve/pve_monsters.json</x:v>
      </x:c>
      <x:c r="B1157" s="21" t="str">
        <x:v>$/pve_rounds/3</x:v>
      </x:c>
      <x:c r="C1157" s="21" t="str">
        <x:v>int</x:v>
      </x:c>
      <x:c r="D1157" s="21" t="str">
        <x:v>7</x:v>
      </x:c>
    </x:row>
    <x:row r="1158" ht="22" customHeight="1">
      <x:c r="A1158" s="21" t="str">
        <x:v>data/pve/pve_monsters.json</x:v>
      </x:c>
      <x:c r="B1158" s="21" t="str">
        <x:v>$/pve_rounds/4</x:v>
      </x:c>
      <x:c r="C1158" s="21" t="str">
        <x:v>int</x:v>
      </x:c>
      <x:c r="D1158" s="21" t="str">
        <x:v>8</x:v>
      </x:c>
    </x:row>
    <x:row r="1159" ht="22" customHeight="1">
      <x:c r="A1159" s="21" t="str">
        <x:v>data/pve/pve_monsters.json</x:v>
      </x:c>
      <x:c r="B1159" s="21" t="str">
        <x:v>$/pve_rounds/5</x:v>
      </x:c>
      <x:c r="C1159" s="21" t="str">
        <x:v>int</x:v>
      </x:c>
      <x:c r="D1159" s="21" t="str">
        <x:v>11</x:v>
      </x:c>
    </x:row>
    <x:row r="1160" ht="22" customHeight="1">
      <x:c r="A1160" s="21" t="str">
        <x:v>data/pve/pve_monsters.json</x:v>
      </x:c>
      <x:c r="B1160" s="21" t="str">
        <x:v>$/pve_rounds/6</x:v>
      </x:c>
      <x:c r="C1160" s="21" t="str">
        <x:v>int</x:v>
      </x:c>
      <x:c r="D1160" s="21" t="str">
        <x:v>13</x:v>
      </x:c>
    </x:row>
    <x:row r="1161" ht="22" customHeight="1">
      <x:c r="A1161" s="21" t="str">
        <x:v>data/pve/pve_monsters.json</x:v>
      </x:c>
      <x:c r="B1161" s="21" t="str">
        <x:v>$/pve_rounds/7</x:v>
      </x:c>
      <x:c r="C1161" s="21" t="str">
        <x:v>int</x:v>
      </x:c>
      <x:c r="D1161" s="21" t="str">
        <x:v>14</x:v>
      </x:c>
    </x:row>
    <x:row r="1162" ht="22" customHeight="1">
      <x:c r="A1162" s="21" t="str">
        <x:v>data/pve/pve_monsters.json</x:v>
      </x:c>
      <x:c r="B1162" s="21" t="str">
        <x:v>$/pve_rounds/8</x:v>
      </x:c>
      <x:c r="C1162" s="21" t="str">
        <x:v>int</x:v>
      </x:c>
      <x:c r="D1162" s="21" t="str">
        <x:v>16</x:v>
      </x:c>
    </x:row>
    <x:row r="1163" ht="22" customHeight="1">
      <x:c r="A1163" s="21" t="str">
        <x:v>data/pve/pve_monsters.json</x:v>
      </x:c>
      <x:c r="B1163" s="21" t="str">
        <x:v>$/pve_rounds/9</x:v>
      </x:c>
      <x:c r="C1163" s="21" t="str">
        <x:v>int</x:v>
      </x:c>
      <x:c r="D1163" s="21" t="str">
        <x:v>17</x:v>
      </x:c>
    </x:row>
    <x:row r="1164" ht="22" customHeight="1">
      <x:c r="A1164" s="21" t="str">
        <x:v>data/pve/pve_monsters.json</x:v>
      </x:c>
      <x:c r="B1164" s="21" t="str">
        <x:v>$/pve_rounds/10</x:v>
      </x:c>
      <x:c r="C1164" s="21" t="str">
        <x:v>int</x:v>
      </x:c>
      <x:c r="D1164" s="21" t="str">
        <x:v>19</x:v>
      </x:c>
    </x:row>
    <x:row r="1165" ht="22" customHeight="1">
      <x:c r="A1165" s="21" t="str">
        <x:v>data/pve/pve_monsters.json</x:v>
      </x:c>
      <x:c r="B1165" s="21" t="str">
        <x:v>$/enemy_count_by_round</x:v>
      </x:c>
      <x:c r="C1165" s="21" t="str">
        <x:v>object</x:v>
      </x:c>
      <x:c r="D1165" s="21" t="str"/>
    </x:row>
    <x:row r="1166" ht="22" customHeight="1">
      <x:c r="A1166" s="21" t="str">
        <x:v>data/pve/pve_monsters.json</x:v>
      </x:c>
      <x:c r="B1166" s="21" t="str">
        <x:v>$/enemy_count_by_round/1</x:v>
      </x:c>
      <x:c r="C1166" s="21" t="str">
        <x:v>int</x:v>
      </x:c>
      <x:c r="D1166" s="21" t="str">
        <x:v>3</x:v>
      </x:c>
    </x:row>
    <x:row r="1167" ht="22" customHeight="1">
      <x:c r="A1167" s="21" t="str">
        <x:v>data/pve/pve_monsters.json</x:v>
      </x:c>
      <x:c r="B1167" s="21" t="str">
        <x:v>$/enemy_count_by_round/2</x:v>
      </x:c>
      <x:c r="C1167" s="21" t="str">
        <x:v>int</x:v>
      </x:c>
      <x:c r="D1167" s="21" t="str">
        <x:v>4</x:v>
      </x:c>
    </x:row>
    <x:row r="1168" ht="22" customHeight="1">
      <x:c r="A1168" s="21" t="str">
        <x:v>data/pve/pve_monsters.json</x:v>
      </x:c>
      <x:c r="B1168" s="21" t="str">
        <x:v>$/enemy_count_by_round/3</x:v>
      </x:c>
      <x:c r="C1168" s="21" t="str">
        <x:v>int</x:v>
      </x:c>
      <x:c r="D1168" s="21" t="str">
        <x:v>5</x:v>
      </x:c>
    </x:row>
    <x:row r="1169" ht="22" customHeight="1">
      <x:c r="A1169" s="21" t="str">
        <x:v>data/pve/pve_monsters.json</x:v>
      </x:c>
      <x:c r="B1169" s="21" t="str">
        <x:v>$/enemy_count_by_round/4</x:v>
      </x:c>
      <x:c r="C1169" s="21" t="str">
        <x:v>int</x:v>
      </x:c>
      <x:c r="D1169" s="21" t="str">
        <x:v>5</x:v>
      </x:c>
    </x:row>
    <x:row r="1170" ht="22" customHeight="1">
      <x:c r="A1170" s="21" t="str">
        <x:v>data/pve/pve_monsters.json</x:v>
      </x:c>
      <x:c r="B1170" s="21" t="str">
        <x:v>$/enemy_count_by_round/6</x:v>
      </x:c>
      <x:c r="C1170" s="21" t="str">
        <x:v>int</x:v>
      </x:c>
      <x:c r="D1170" s="21" t="str">
        <x:v>6</x:v>
      </x:c>
    </x:row>
    <x:row r="1171" ht="22" customHeight="1">
      <x:c r="A1171" s="21" t="str">
        <x:v>data/pve/pve_monsters.json</x:v>
      </x:c>
      <x:c r="B1171" s="21" t="str">
        <x:v>$/enemy_count_by_round/7</x:v>
      </x:c>
      <x:c r="C1171" s="21" t="str">
        <x:v>int</x:v>
      </x:c>
      <x:c r="D1171" s="21" t="str">
        <x:v>6</x:v>
      </x:c>
    </x:row>
    <x:row r="1172" ht="22" customHeight="1">
      <x:c r="A1172" s="21" t="str">
        <x:v>data/pve/pve_monsters.json</x:v>
      </x:c>
      <x:c r="B1172" s="21" t="str">
        <x:v>$/enemy_count_by_round/8</x:v>
      </x:c>
      <x:c r="C1172" s="21" t="str">
        <x:v>int</x:v>
      </x:c>
      <x:c r="D1172" s="21" t="str">
        <x:v>6</x:v>
      </x:c>
    </x:row>
    <x:row r="1173" ht="22" customHeight="1">
      <x:c r="A1173" s="21" t="str">
        <x:v>data/pve/pve_monsters.json</x:v>
      </x:c>
      <x:c r="B1173" s="21" t="str">
        <x:v>$/enemy_count_by_round/9</x:v>
      </x:c>
      <x:c r="C1173" s="21" t="str">
        <x:v>int</x:v>
      </x:c>
      <x:c r="D1173" s="21" t="str">
        <x:v>6</x:v>
      </x:c>
    </x:row>
    <x:row r="1174" ht="22" customHeight="1">
      <x:c r="A1174" s="21" t="str">
        <x:v>data/pve/pve_monsters.json</x:v>
      </x:c>
      <x:c r="B1174" s="21" t="str">
        <x:v>$/enemy_count_by_round/11</x:v>
      </x:c>
      <x:c r="C1174" s="21" t="str">
        <x:v>int</x:v>
      </x:c>
      <x:c r="D1174" s="21" t="str">
        <x:v>8</x:v>
      </x:c>
    </x:row>
    <x:row r="1175" ht="22" customHeight="1">
      <x:c r="A1175" s="21" t="str">
        <x:v>data/pve/pve_monsters.json</x:v>
      </x:c>
      <x:c r="B1175" s="21" t="str">
        <x:v>$/enemy_count_by_round/12</x:v>
      </x:c>
      <x:c r="C1175" s="21" t="str">
        <x:v>int</x:v>
      </x:c>
      <x:c r="D1175" s="21" t="str">
        <x:v>8</x:v>
      </x:c>
    </x:row>
    <x:row r="1176" ht="22" customHeight="1">
      <x:c r="A1176" s="21" t="str">
        <x:v>data/pve/pve_monsters.json</x:v>
      </x:c>
      <x:c r="B1176" s="21" t="str">
        <x:v>$/enemy_count_by_round/13</x:v>
      </x:c>
      <x:c r="C1176" s="21" t="str">
        <x:v>int</x:v>
      </x:c>
      <x:c r="D1176" s="21" t="str">
        <x:v>8</x:v>
      </x:c>
    </x:row>
    <x:row r="1177" ht="22" customHeight="1">
      <x:c r="A1177" s="21" t="str">
        <x:v>data/pve/pve_monsters.json</x:v>
      </x:c>
      <x:c r="B1177" s="21" t="str">
        <x:v>$/enemy_count_by_round/14</x:v>
      </x:c>
      <x:c r="C1177" s="21" t="str">
        <x:v>int</x:v>
      </x:c>
      <x:c r="D1177" s="21" t="str">
        <x:v>12</x:v>
      </x:c>
    </x:row>
    <x:row r="1178" ht="22" customHeight="1">
      <x:c r="A1178" s="21" t="str">
        <x:v>data/pve/pve_monsters.json</x:v>
      </x:c>
      <x:c r="B1178" s="21" t="str">
        <x:v>$/enemy_count_by_round/16</x:v>
      </x:c>
      <x:c r="C1178" s="21" t="str">
        <x:v>int</x:v>
      </x:c>
      <x:c r="D1178" s="21" t="str">
        <x:v>12</x:v>
      </x:c>
    </x:row>
    <x:row r="1179" ht="22" customHeight="1">
      <x:c r="A1179" s="21" t="str">
        <x:v>data/pve/pve_monsters.json</x:v>
      </x:c>
      <x:c r="B1179" s="21" t="str">
        <x:v>$/enemy_count_by_round/17</x:v>
      </x:c>
      <x:c r="C1179" s="21" t="str">
        <x:v>int</x:v>
      </x:c>
      <x:c r="D1179" s="21" t="str">
        <x:v>12</x:v>
      </x:c>
    </x:row>
    <x:row r="1180" ht="22" customHeight="1">
      <x:c r="A1180" s="21" t="str">
        <x:v>data/pve/pve_monsters.json</x:v>
      </x:c>
      <x:c r="B1180" s="21" t="str">
        <x:v>$/enemy_count_by_round/18</x:v>
      </x:c>
      <x:c r="C1180" s="21" t="str">
        <x:v>int</x:v>
      </x:c>
      <x:c r="D1180" s="21" t="str">
        <x:v>15</x:v>
      </x:c>
    </x:row>
    <x:row r="1181" ht="22" customHeight="1">
      <x:c r="A1181" s="21" t="str">
        <x:v>data/pve/pve_monsters.json</x:v>
      </x:c>
      <x:c r="B1181" s="21" t="str">
        <x:v>$/enemy_count_by_round/19</x:v>
      </x:c>
      <x:c r="C1181" s="21" t="str">
        <x:v>int</x:v>
      </x:c>
      <x:c r="D1181" s="21" t="str">
        <x:v>15</x:v>
      </x:c>
    </x:row>
    <x:row r="1182" ht="22" customHeight="1">
      <x:c r="A1182" s="21" t="str">
        <x:v>data/pve/pve_monsters.json</x:v>
      </x:c>
      <x:c r="B1182" s="21" t="str">
        <x:v>$/enemy_count_by_round/20</x:v>
      </x:c>
      <x:c r="C1182" s="21" t="str">
        <x:v>int</x:v>
      </x:c>
      <x:c r="D1182" s="21" t="str">
        <x:v>18</x:v>
      </x:c>
    </x:row>
    <x:row r="1183" ht="22" customHeight="1">
      <x:c r="A1183" s="21" t="str">
        <x:v>data/pve/pve_monsters.json</x:v>
      </x:c>
      <x:c r="B1183" s="21" t="str">
        <x:v>$/growth_per_completed_pve</x:v>
      </x:c>
      <x:c r="C1183" s="21" t="str">
        <x:v>object</x:v>
      </x:c>
      <x:c r="D1183" s="21" t="str"/>
    </x:row>
    <x:row r="1184" ht="22" customHeight="1">
      <x:c r="A1184" s="21" t="str">
        <x:v>data/pve/pve_monsters.json</x:v>
      </x:c>
      <x:c r="B1184" s="21" t="str">
        <x:v>$/growth_per_completed_pve/hp</x:v>
      </x:c>
      <x:c r="C1184" s="21" t="str">
        <x:v>float</x:v>
      </x:c>
      <x:c r="D1184" s="21" t="str">
        <x:v>1.1</x:v>
      </x:c>
    </x:row>
    <x:row r="1185" ht="22" customHeight="1">
      <x:c r="A1185" s="21" t="str">
        <x:v>data/pve/pve_monsters.json</x:v>
      </x:c>
      <x:c r="B1185" s="21" t="str">
        <x:v>$/growth_per_completed_pve/atk</x:v>
      </x:c>
      <x:c r="C1185" s="21" t="str">
        <x:v>float</x:v>
      </x:c>
      <x:c r="D1185" s="21" t="str">
        <x:v>1.08</x:v>
      </x:c>
    </x:row>
    <x:row r="1186" ht="22" customHeight="1">
      <x:c r="A1186" s="21" t="str">
        <x:v>data/pve/pve_monsters.json</x:v>
      </x:c>
      <x:c r="B1186" s="21" t="str">
        <x:v>$/growth_per_completed_pve/def</x:v>
      </x:c>
      <x:c r="C1186" s="21" t="str">
        <x:v>float</x:v>
      </x:c>
      <x:c r="D1186" s="21" t="str">
        <x:v>1.05</x:v>
      </x:c>
    </x:row>
    <x:row r="1187" ht="22" customHeight="1">
      <x:c r="A1187" s="21" t="str">
        <x:v>data/pve/pve_monsters.json</x:v>
      </x:c>
      <x:c r="B1187" s="21" t="str">
        <x:v>$/growth_per_completed_pve/skill_damage</x:v>
      </x:c>
      <x:c r="C1187" s="21" t="str">
        <x:v>float</x:v>
      </x:c>
      <x:c r="D1187" s="21" t="str">
        <x:v>1.08</x:v>
      </x:c>
    </x:row>
    <x:row r="1188" ht="22" customHeight="1">
      <x:c r="A1188" s="21" t="str">
        <x:v>data/pve/pve_monsters.json</x:v>
      </x:c>
      <x:c r="B1188" s="21" t="str">
        <x:v>$/default_skill_cd</x:v>
      </x:c>
      <x:c r="C1188" s="21" t="str">
        <x:v>float</x:v>
      </x:c>
      <x:c r="D1188" s="21" t="str">
        <x:v>8.0</x:v>
      </x:c>
    </x:row>
    <x:row r="1189" ht="22" customHeight="1">
      <x:c r="A1189" s="21" t="str">
        <x:v>data/pve/pve_monsters.json</x:v>
      </x:c>
      <x:c r="B1189" s="21" t="str">
        <x:v>$/monsters</x:v>
      </x:c>
      <x:c r="C1189" s="21" t="str">
        <x:v>array</x:v>
      </x:c>
      <x:c r="D1189" s="21" t="str"/>
    </x:row>
    <x:row r="1190" ht="22" customHeight="1">
      <x:c r="A1190" s="21" t="str">
        <x:v>data/pve/pve_monsters.json</x:v>
      </x:c>
      <x:c r="B1190" s="21" t="str">
        <x:v>$/monsters/0</x:v>
      </x:c>
      <x:c r="C1190" s="21" t="str">
        <x:v>object</x:v>
      </x:c>
      <x:c r="D1190" s="21" t="str"/>
    </x:row>
    <x:row r="1191" ht="22" customHeight="1">
      <x:c r="A1191" s="21" t="str">
        <x:v>data/pve/pve_monsters.json</x:v>
      </x:c>
      <x:c r="B1191" s="21" t="str">
        <x:v>$/monsters/0/id</x:v>
      </x:c>
      <x:c r="C1191" s="21" t="str">
        <x:v>string</x:v>
      </x:c>
      <x:c r="D1191" s="21" t="str">
        <x:v>"pve_sky_cloud_eagle"</x:v>
      </x:c>
    </x:row>
    <x:row r="1192" ht="22" customHeight="1">
      <x:c r="A1192" s="21" t="str">
        <x:v>data/pve/pve_monsters.json</x:v>
      </x:c>
      <x:c r="B1192" s="21" t="str">
        <x:v>$/monsters/0/model_in_place_actions</x:v>
      </x:c>
      <x:c r="C1192" s="21" t="str">
        <x:v>array</x:v>
      </x:c>
      <x:c r="D1192" s="21" t="str"/>
    </x:row>
    <x:row r="1193" ht="22" customHeight="1">
      <x:c r="A1193" s="21" t="str">
        <x:v>data/pve/pve_monsters.json</x:v>
      </x:c>
      <x:c r="B1193" s="21" t="str">
        <x:v>$/monsters/0/model_in_place_actions/0</x:v>
      </x:c>
      <x:c r="C1193" s="21" t="str">
        <x:v>string</x:v>
      </x:c>
      <x:c r="D1193" s="21" t="str">
        <x:v>"run"</x:v>
      </x:c>
    </x:row>
    <x:row r="1194" ht="22" customHeight="1">
      <x:c r="A1194" s="21" t="str">
        <x:v>data/pve/pve_monsters.json</x:v>
      </x:c>
      <x:c r="B1194" s="21" t="str">
        <x:v>$/monsters/0/name</x:v>
      </x:c>
      <x:c r="C1194" s="21" t="str">
        <x:v>string</x:v>
      </x:c>
      <x:c r="D1194" s="21" t="str">
        <x:v>"云羽鹰"</x:v>
      </x:c>
    </x:row>
    <x:row r="1195" ht="22" customHeight="1">
      <x:c r="A1195" s="21" t="str">
        <x:v>data/pve/pve_monsters.json</x:v>
      </x:c>
      <x:c r="B1195" s="21" t="str">
        <x:v>$/monsters/0/name_en</x:v>
      </x:c>
      <x:c r="C1195" s="21" t="str">
        <x:v>string</x:v>
      </x:c>
      <x:c r="D1195" s="21" t="str">
        <x:v>"Cloudfeather Eagle"</x:v>
      </x:c>
    </x:row>
    <x:row r="1196" ht="22" customHeight="1">
      <x:c r="A1196" s="21" t="str">
        <x:v>data/pve/pve_monsters.json</x:v>
      </x:c>
      <x:c r="B1196" s="21" t="str">
        <x:v>$/monsters/0/series</x:v>
      </x:c>
      <x:c r="C1196" s="21" t="str">
        <x:v>string</x:v>
      </x:c>
      <x:c r="D1196" s="21" t="str">
        <x:v>"sky"</x:v>
      </x:c>
    </x:row>
    <x:row r="1197" ht="22" customHeight="1">
      <x:c r="A1197" s="21" t="str">
        <x:v>data/pve/pve_monsters.json</x:v>
      </x:c>
      <x:c r="B1197" s="21" t="str">
        <x:v>$/monsters/0/element</x:v>
      </x:c>
      <x:c r="C1197" s="21" t="str">
        <x:v>string</x:v>
      </x:c>
      <x:c r="D1197" s="21" t="str">
        <x:v>"sky"</x:v>
      </x:c>
    </x:row>
    <x:row r="1198" ht="22" customHeight="1">
      <x:c r="A1198" s="21" t="str">
        <x:v>data/pve/pve_monsters.json</x:v>
      </x:c>
      <x:c r="B1198" s="21" t="str">
        <x:v>$/monsters/0/hp</x:v>
      </x:c>
      <x:c r="C1198" s="21" t="str">
        <x:v>int</x:v>
      </x:c>
      <x:c r="D1198" s="21" t="str">
        <x:v>660</x:v>
      </x:c>
    </x:row>
    <x:row r="1199" ht="22" customHeight="1">
      <x:c r="A1199" s="21" t="str">
        <x:v>data/pve/pve_monsters.json</x:v>
      </x:c>
      <x:c r="B1199" s="21" t="str">
        <x:v>$/monsters/0/atk</x:v>
      </x:c>
      <x:c r="C1199" s="21" t="str">
        <x:v>int</x:v>
      </x:c>
      <x:c r="D1199" s="21" t="str">
        <x:v>35</x:v>
      </x:c>
    </x:row>
    <x:row r="1200" ht="22" customHeight="1">
      <x:c r="A1200" s="21" t="str">
        <x:v>data/pve/pve_monsters.json</x:v>
      </x:c>
      <x:c r="B1200" s="21" t="str">
        <x:v>$/monsters/0/def</x:v>
      </x:c>
      <x:c r="C1200" s="21" t="str">
        <x:v>int</x:v>
      </x:c>
      <x:c r="D1200" s="21" t="str">
        <x:v>3</x:v>
      </x:c>
    </x:row>
    <x:row r="1201" ht="22" customHeight="1">
      <x:c r="A1201" s="21" t="str">
        <x:v>data/pve/pve_monsters.json</x:v>
      </x:c>
      <x:c r="B1201" s="21" t="str">
        <x:v>$/monsters/0/attack_speed</x:v>
      </x:c>
      <x:c r="C1201" s="21" t="str">
        <x:v>float</x:v>
      </x:c>
      <x:c r="D1201" s="21" t="str">
        <x:v>1.15</x:v>
      </x:c>
    </x:row>
    <x:row r="1202" ht="22" customHeight="1">
      <x:c r="A1202" s="21" t="str">
        <x:v>data/pve/pve_monsters.json</x:v>
      </x:c>
      <x:c r="B1202" s="21" t="str">
        <x:v>$/monsters/0/range</x:v>
      </x:c>
      <x:c r="C1202" s="21" t="str">
        <x:v>int</x:v>
      </x:c>
      <x:c r="D1202" s="21" t="str">
        <x:v>1</x:v>
      </x:c>
    </x:row>
    <x:row r="1203" ht="22" customHeight="1">
      <x:c r="A1203" s="21" t="str">
        <x:v>data/pve/pve_monsters.json</x:v>
      </x:c>
      <x:c r="B1203" s="21" t="str">
        <x:v>$/monsters/0/move_speed</x:v>
      </x:c>
      <x:c r="C1203" s="21" t="str">
        <x:v>float</x:v>
      </x:c>
      <x:c r="D1203" s="21" t="str">
        <x:v>3.5</x:v>
      </x:c>
    </x:row>
    <x:row r="1204" ht="22" customHeight="1">
      <x:c r="A1204" s="21" t="str">
        <x:v>data/pve/pve_monsters.json</x:v>
      </x:c>
      <x:c r="B1204" s="21" t="str">
        <x:v>$/monsters/0/skill_id</x:v>
      </x:c>
      <x:c r="C1204" s="21" t="str">
        <x:v>string</x:v>
      </x:c>
      <x:c r="D1204" s="21" t="str">
        <x:v>"dive_backline"</x:v>
      </x:c>
    </x:row>
    <x:row r="1205" ht="22" customHeight="1">
      <x:c r="A1205" s="21" t="str">
        <x:v>data/pve/pve_monsters.json</x:v>
      </x:c>
      <x:c r="B1205" s="21" t="str">
        <x:v>$/monsters/0/skill_cd</x:v>
      </x:c>
      <x:c r="C1205" s="21" t="str">
        <x:v>float</x:v>
      </x:c>
      <x:c r="D1205" s="21" t="str">
        <x:v>8.0</x:v>
      </x:c>
    </x:row>
    <x:row r="1206" ht="22" customHeight="1">
      <x:c r="A1206" s="21" t="str">
        <x:v>data/pve/pve_monsters.json</x:v>
      </x:c>
      <x:c r="B1206" s="21" t="str">
        <x:v>$/monsters/0/skill_atk_pct</x:v>
      </x:c>
      <x:c r="C1206" s="21" t="str">
        <x:v>float</x:v>
      </x:c>
      <x:c r="D1206" s="21" t="str">
        <x:v>1.8</x:v>
      </x:c>
    </x:row>
    <x:row r="1207" ht="22" customHeight="1">
      <x:c r="A1207" s="21" t="str">
        <x:v>data/pve/pve_monsters.json</x:v>
      </x:c>
      <x:c r="B1207" s="21" t="str">
        <x:v>$/monsters/0/model</x:v>
      </x:c>
      <x:c r="C1207" s="21" t="str">
        <x:v>string</x:v>
      </x:c>
      <x:c r="D1207" s="21" t="str">
        <x:v>"res://assets/models/monsters/sky/pve_sky_cloud_eagle_animated/pve_sky_cloud_eagle_animated.tscn"</x:v>
      </x:c>
    </x:row>
    <x:row r="1208" ht="22" customHeight="1">
      <x:c r="A1208" s="21" t="str">
        <x:v>data/pve/pve_monsters.json</x:v>
      </x:c>
      <x:c r="B1208" s="21" t="str">
        <x:v>$/monsters/0/model_visual_scale</x:v>
      </x:c>
      <x:c r="C1208" s="21" t="str">
        <x:v>float</x:v>
      </x:c>
      <x:c r="D1208" s="21" t="str">
        <x:v>1.0</x:v>
      </x:c>
    </x:row>
    <x:row r="1209" ht="22" customHeight="1">
      <x:c r="A1209" s="21" t="str">
        <x:v>data/pve/pve_monsters.json</x:v>
      </x:c>
      <x:c r="B1209" s="21" t="str">
        <x:v>$/monsters/0/model_base_yaw</x:v>
      </x:c>
      <x:c r="C1209" s="21" t="str">
        <x:v>float</x:v>
      </x:c>
      <x:c r="D1209" s="21" t="str">
        <x:v>180.0</x:v>
      </x:c>
    </x:row>
    <x:row r="1210" ht="22" customHeight="1">
      <x:c r="A1210" s="21" t="str">
        <x:v>data/pve/pve_monsters.json</x:v>
      </x:c>
      <x:c r="B1210" s="21" t="str">
        <x:v>$/monsters/0/model_idle_animation_name</x:v>
      </x:c>
      <x:c r="C1210" s="21" t="str">
        <x:v>string</x:v>
      </x:c>
      <x:c r="D1210" s="21" t="str">
        <x:v>"idle"</x:v>
      </x:c>
    </x:row>
    <x:row r="1211" ht="22" customHeight="1">
      <x:c r="A1211" s="21" t="str">
        <x:v>data/pve/pve_monsters.json</x:v>
      </x:c>
      <x:c r="B1211" s="21" t="str">
        <x:v>$/monsters/0/model_attack_animation_name</x:v>
      </x:c>
      <x:c r="C1211" s="21" t="str">
        <x:v>string</x:v>
      </x:c>
      <x:c r="D1211" s="21" t="str">
        <x:v>"attack"</x:v>
      </x:c>
    </x:row>
    <x:row r="1212" ht="22" customHeight="1">
      <x:c r="A1212" s="21" t="str">
        <x:v>data/pve/pve_monsters.json</x:v>
      </x:c>
      <x:c r="B1212" s="21" t="str">
        <x:v>$/monsters/0/model_attack_sync_seek</x:v>
      </x:c>
      <x:c r="C1212" s="21" t="str">
        <x:v>float</x:v>
      </x:c>
      <x:c r="D1212" s="21" t="str">
        <x:v>0.18</x:v>
      </x:c>
    </x:row>
    <x:row r="1213" ht="22" customHeight="1">
      <x:c r="A1213" s="21" t="str">
        <x:v>data/pve/pve_monsters.json</x:v>
      </x:c>
      <x:c r="B1213" s="21" t="str">
        <x:v>$/monsters/0/model_attack_lock_time</x:v>
      </x:c>
      <x:c r="C1213" s="21" t="str">
        <x:v>float</x:v>
      </x:c>
      <x:c r="D1213" s="21" t="str">
        <x:v>0.42</x:v>
      </x:c>
    </x:row>
    <x:row r="1214" ht="22" customHeight="1">
      <x:c r="A1214" s="21" t="str">
        <x:v>data/pve/pve_monsters.json</x:v>
      </x:c>
      <x:c r="B1214" s="21" t="str">
        <x:v>$/monsters/0/model_run_animation_name</x:v>
      </x:c>
      <x:c r="C1214" s="21" t="str">
        <x:v>string</x:v>
      </x:c>
      <x:c r="D1214" s="21" t="str">
        <x:v>"run"</x:v>
      </x:c>
    </x:row>
    <x:row r="1215" ht="22" customHeight="1">
      <x:c r="A1215" s="21" t="str">
        <x:v>data/pve/pve_monsters.json</x:v>
      </x:c>
      <x:c r="B1215" s="21" t="str">
        <x:v>$/monsters/1</x:v>
      </x:c>
      <x:c r="C1215" s="21" t="str">
        <x:v>object</x:v>
      </x:c>
      <x:c r="D1215" s="21" t="str"/>
    </x:row>
    <x:row r="1216" ht="22" customHeight="1">
      <x:c r="A1216" s="21" t="str">
        <x:v>data/pve/pve_monsters.json</x:v>
      </x:c>
      <x:c r="B1216" s="21" t="str">
        <x:v>$/monsters/1/id</x:v>
      </x:c>
      <x:c r="C1216" s="21" t="str">
        <x:v>string</x:v>
      </x:c>
      <x:c r="D1216" s="21" t="str">
        <x:v>"pve_sky_thunder_spirit"</x:v>
      </x:c>
    </x:row>
    <x:row r="1217" ht="22" customHeight="1">
      <x:c r="A1217" s="21" t="str">
        <x:v>data/pve/pve_monsters.json</x:v>
      </x:c>
      <x:c r="B1217" s="21" t="str">
        <x:v>$/monsters/1/model_in_place_actions</x:v>
      </x:c>
      <x:c r="C1217" s="21" t="str">
        <x:v>array</x:v>
      </x:c>
      <x:c r="D1217" s="21" t="str"/>
    </x:row>
    <x:row r="1218" ht="22" customHeight="1">
      <x:c r="A1218" s="21" t="str">
        <x:v>data/pve/pve_monsters.json</x:v>
      </x:c>
      <x:c r="B1218" s="21" t="str">
        <x:v>$/monsters/1/model_in_place_actions/0</x:v>
      </x:c>
      <x:c r="C1218" s="21" t="str">
        <x:v>string</x:v>
      </x:c>
      <x:c r="D1218" s="21" t="str">
        <x:v>"run"</x:v>
      </x:c>
    </x:row>
    <x:row r="1219" ht="22" customHeight="1">
      <x:c r="A1219" s="21" t="str">
        <x:v>data/pve/pve_monsters.json</x:v>
      </x:c>
      <x:c r="B1219" s="21" t="str">
        <x:v>$/monsters/1/name</x:v>
      </x:c>
      <x:c r="C1219" s="21" t="str">
        <x:v>string</x:v>
      </x:c>
      <x:c r="D1219" s="21" t="str">
        <x:v>"雷鸣灵"</x:v>
      </x:c>
    </x:row>
    <x:row r="1220" ht="22" customHeight="1">
      <x:c r="A1220" s="21" t="str">
        <x:v>data/pve/pve_monsters.json</x:v>
      </x:c>
      <x:c r="B1220" s="21" t="str">
        <x:v>$/monsters/1/name_en</x:v>
      </x:c>
      <x:c r="C1220" s="21" t="str">
        <x:v>string</x:v>
      </x:c>
      <x:c r="D1220" s="21" t="str">
        <x:v>"Thunder Wisp"</x:v>
      </x:c>
    </x:row>
    <x:row r="1221" ht="22" customHeight="1">
      <x:c r="A1221" s="21" t="str">
        <x:v>data/pve/pve_monsters.json</x:v>
      </x:c>
      <x:c r="B1221" s="21" t="str">
        <x:v>$/monsters/1/series</x:v>
      </x:c>
      <x:c r="C1221" s="21" t="str">
        <x:v>string</x:v>
      </x:c>
      <x:c r="D1221" s="21" t="str">
        <x:v>"sky"</x:v>
      </x:c>
    </x:row>
    <x:row r="1222" ht="22" customHeight="1">
      <x:c r="A1222" s="21" t="str">
        <x:v>data/pve/pve_monsters.json</x:v>
      </x:c>
      <x:c r="B1222" s="21" t="str">
        <x:v>$/monsters/1/element</x:v>
      </x:c>
      <x:c r="C1222" s="21" t="str">
        <x:v>string</x:v>
      </x:c>
      <x:c r="D1222" s="21" t="str">
        <x:v>"sky"</x:v>
      </x:c>
    </x:row>
    <x:row r="1223" ht="22" customHeight="1">
      <x:c r="A1223" s="21" t="str">
        <x:v>data/pve/pve_monsters.json</x:v>
      </x:c>
      <x:c r="B1223" s="21" t="str">
        <x:v>$/monsters/1/hp</x:v>
      </x:c>
      <x:c r="C1223" s="21" t="str">
        <x:v>int</x:v>
      </x:c>
      <x:c r="D1223" s="21" t="str">
        <x:v>600</x:v>
      </x:c>
    </x:row>
    <x:row r="1224" ht="22" customHeight="1">
      <x:c r="A1224" s="21" t="str">
        <x:v>data/pve/pve_monsters.json</x:v>
      </x:c>
      <x:c r="B1224" s="21" t="str">
        <x:v>$/monsters/1/atk</x:v>
      </x:c>
      <x:c r="C1224" s="21" t="str">
        <x:v>int</x:v>
      </x:c>
      <x:c r="D1224" s="21" t="str">
        <x:v>26</x:v>
      </x:c>
    </x:row>
    <x:row r="1225" ht="22" customHeight="1">
      <x:c r="A1225" s="21" t="str">
        <x:v>data/pve/pve_monsters.json</x:v>
      </x:c>
      <x:c r="B1225" s="21" t="str">
        <x:v>$/monsters/1/def</x:v>
      </x:c>
      <x:c r="C1225" s="21" t="str">
        <x:v>int</x:v>
      </x:c>
      <x:c r="D1225" s="21" t="str">
        <x:v>4</x:v>
      </x:c>
    </x:row>
    <x:row r="1226" ht="22" customHeight="1">
      <x:c r="A1226" s="21" t="str">
        <x:v>data/pve/pve_monsters.json</x:v>
      </x:c>
      <x:c r="B1226" s="21" t="str">
        <x:v>$/monsters/1/attack_speed</x:v>
      </x:c>
      <x:c r="C1226" s="21" t="str">
        <x:v>float</x:v>
      </x:c>
      <x:c r="D1226" s="21" t="str">
        <x:v>1.05</x:v>
      </x:c>
    </x:row>
    <x:row r="1227" ht="22" customHeight="1">
      <x:c r="A1227" s="21" t="str">
        <x:v>data/pve/pve_monsters.json</x:v>
      </x:c>
      <x:c r="B1227" s="21" t="str">
        <x:v>$/monsters/1/range</x:v>
      </x:c>
      <x:c r="C1227" s="21" t="str">
        <x:v>int</x:v>
      </x:c>
      <x:c r="D1227" s="21" t="str">
        <x:v>4</x:v>
      </x:c>
    </x:row>
    <x:row r="1228" ht="22" customHeight="1">
      <x:c r="A1228" s="21" t="str">
        <x:v>data/pve/pve_monsters.json</x:v>
      </x:c>
      <x:c r="B1228" s="21" t="str">
        <x:v>$/monsters/1/move_speed</x:v>
      </x:c>
      <x:c r="C1228" s="21" t="str">
        <x:v>float</x:v>
      </x:c>
      <x:c r="D1228" s="21" t="str">
        <x:v>3.2</x:v>
      </x:c>
    </x:row>
    <x:row r="1229" ht="22" customHeight="1">
      <x:c r="A1229" s="21" t="str">
        <x:v>data/pve/pve_monsters.json</x:v>
      </x:c>
      <x:c r="B1229" s="21" t="str">
        <x:v>$/monsters/1/skill_id</x:v>
      </x:c>
      <x:c r="C1229" s="21" t="str">
        <x:v>string</x:v>
      </x:c>
      <x:c r="D1229" s="21" t="str">
        <x:v>"chain_lightning"</x:v>
      </x:c>
    </x:row>
    <x:row r="1230" ht="22" customHeight="1">
      <x:c r="A1230" s="21" t="str">
        <x:v>data/pve/pve_monsters.json</x:v>
      </x:c>
      <x:c r="B1230" s="21" t="str">
        <x:v>$/monsters/1/skill_cd</x:v>
      </x:c>
      <x:c r="C1230" s="21" t="str">
        <x:v>float</x:v>
      </x:c>
      <x:c r="D1230" s="21" t="str">
        <x:v>8.0</x:v>
      </x:c>
    </x:row>
    <x:row r="1231" ht="22" customHeight="1">
      <x:c r="A1231" s="21" t="str">
        <x:v>data/pve/pve_monsters.json</x:v>
      </x:c>
      <x:c r="B1231" s="21" t="str">
        <x:v>$/monsters/1/skill_damage</x:v>
      </x:c>
      <x:c r="C1231" s="21" t="str">
        <x:v>int</x:v>
      </x:c>
      <x:c r="D1231" s="21" t="str">
        <x:v>85</x:v>
      </x:c>
    </x:row>
    <x:row r="1232" ht="22" customHeight="1">
      <x:c r="A1232" s="21" t="str">
        <x:v>data/pve/pve_monsters.json</x:v>
      </x:c>
      <x:c r="B1232" s="21" t="str">
        <x:v>$/monsters/1/skill_bounces</x:v>
      </x:c>
      <x:c r="C1232" s="21" t="str">
        <x:v>int</x:v>
      </x:c>
      <x:c r="D1232" s="21" t="str">
        <x:v>3</x:v>
      </x:c>
    </x:row>
    <x:row r="1233" ht="22" customHeight="1">
      <x:c r="A1233" s="21" t="str">
        <x:v>data/pve/pve_monsters.json</x:v>
      </x:c>
      <x:c r="B1233" s="21" t="str">
        <x:v>$/monsters/1/model</x:v>
      </x:c>
      <x:c r="C1233" s="21" t="str">
        <x:v>string</x:v>
      </x:c>
      <x:c r="D1233" s="21" t="str">
        <x:v>"res://assets/models/monsters/sky/pve_sky_thunder_spirit_animated/pve_sky_thunder_spirit_animated.tscn"</x:v>
      </x:c>
    </x:row>
    <x:row r="1234" ht="22" customHeight="1">
      <x:c r="A1234" s="21" t="str">
        <x:v>data/pve/pve_monsters.json</x:v>
      </x:c>
      <x:c r="B1234" s="21" t="str">
        <x:v>$/monsters/1/model_visual_scale</x:v>
      </x:c>
      <x:c r="C1234" s="21" t="str">
        <x:v>float</x:v>
      </x:c>
      <x:c r="D1234" s="21" t="str">
        <x:v>1.0</x:v>
      </x:c>
    </x:row>
    <x:row r="1235" ht="22" customHeight="1">
      <x:c r="A1235" s="21" t="str">
        <x:v>data/pve/pve_monsters.json</x:v>
      </x:c>
      <x:c r="B1235" s="21" t="str">
        <x:v>$/monsters/1/model_base_yaw</x:v>
      </x:c>
      <x:c r="C1235" s="21" t="str">
        <x:v>float</x:v>
      </x:c>
      <x:c r="D1235" s="21" t="str">
        <x:v>180.0</x:v>
      </x:c>
    </x:row>
    <x:row r="1236" ht="22" customHeight="1">
      <x:c r="A1236" s="21" t="str">
        <x:v>data/pve/pve_monsters.json</x:v>
      </x:c>
      <x:c r="B1236" s="21" t="str">
        <x:v>$/monsters/2</x:v>
      </x:c>
      <x:c r="C1236" s="21" t="str">
        <x:v>object</x:v>
      </x:c>
      <x:c r="D1236" s="21" t="str"/>
    </x:row>
    <x:row r="1237" ht="22" customHeight="1">
      <x:c r="A1237" s="21" t="str">
        <x:v>data/pve/pve_monsters.json</x:v>
      </x:c>
      <x:c r="B1237" s="21" t="str">
        <x:v>$/monsters/2/id</x:v>
      </x:c>
      <x:c r="C1237" s="21" t="str">
        <x:v>string</x:v>
      </x:c>
      <x:c r="D1237" s="21" t="str">
        <x:v>"pve_sky_star_butterfly"</x:v>
      </x:c>
    </x:row>
    <x:row r="1238" ht="22" customHeight="1">
      <x:c r="A1238" s="21" t="str">
        <x:v>data/pve/pve_monsters.json</x:v>
      </x:c>
      <x:c r="B1238" s="21" t="str">
        <x:v>$/monsters/2/model_in_place_actions</x:v>
      </x:c>
      <x:c r="C1238" s="21" t="str">
        <x:v>array</x:v>
      </x:c>
      <x:c r="D1238" s="21" t="str"/>
    </x:row>
    <x:row r="1239" ht="22" customHeight="1">
      <x:c r="A1239" s="21" t="str">
        <x:v>data/pve/pve_monsters.json</x:v>
      </x:c>
      <x:c r="B1239" s="21" t="str">
        <x:v>$/monsters/2/model_in_place_actions/0</x:v>
      </x:c>
      <x:c r="C1239" s="21" t="str">
        <x:v>string</x:v>
      </x:c>
      <x:c r="D1239" s="21" t="str">
        <x:v>"run"</x:v>
      </x:c>
    </x:row>
    <x:row r="1240" ht="22" customHeight="1">
      <x:c r="A1240" s="21" t="str">
        <x:v>data/pve/pve_monsters.json</x:v>
      </x:c>
      <x:c r="B1240" s="21" t="str">
        <x:v>$/monsters/2/name</x:v>
      </x:c>
      <x:c r="C1240" s="21" t="str">
        <x:v>string</x:v>
      </x:c>
      <x:c r="D1240" s="21" t="str">
        <x:v>"星辉蝶"</x:v>
      </x:c>
    </x:row>
    <x:row r="1241" ht="22" customHeight="1">
      <x:c r="A1241" s="21" t="str">
        <x:v>data/pve/pve_monsters.json</x:v>
      </x:c>
      <x:c r="B1241" s="21" t="str">
        <x:v>$/monsters/2/name_en</x:v>
      </x:c>
      <x:c r="C1241" s="21" t="str">
        <x:v>string</x:v>
      </x:c>
      <x:c r="D1241" s="21" t="str">
        <x:v>"Starlight Butterfly"</x:v>
      </x:c>
    </x:row>
    <x:row r="1242" ht="22" customHeight="1">
      <x:c r="A1242" s="21" t="str">
        <x:v>data/pve/pve_monsters.json</x:v>
      </x:c>
      <x:c r="B1242" s="21" t="str">
        <x:v>$/monsters/2/series</x:v>
      </x:c>
      <x:c r="C1242" s="21" t="str">
        <x:v>string</x:v>
      </x:c>
      <x:c r="D1242" s="21" t="str">
        <x:v>"sky"</x:v>
      </x:c>
    </x:row>
    <x:row r="1243" ht="22" customHeight="1">
      <x:c r="A1243" s="21" t="str">
        <x:v>data/pve/pve_monsters.json</x:v>
      </x:c>
      <x:c r="B1243" s="21" t="str">
        <x:v>$/monsters/2/element</x:v>
      </x:c>
      <x:c r="C1243" s="21" t="str">
        <x:v>string</x:v>
      </x:c>
      <x:c r="D1243" s="21" t="str">
        <x:v>"sky"</x:v>
      </x:c>
    </x:row>
    <x:row r="1244" ht="22" customHeight="1">
      <x:c r="A1244" s="21" t="str">
        <x:v>data/pve/pve_monsters.json</x:v>
      </x:c>
      <x:c r="B1244" s="21" t="str">
        <x:v>$/monsters/2/hp</x:v>
      </x:c>
      <x:c r="C1244" s="21" t="str">
        <x:v>int</x:v>
      </x:c>
      <x:c r="D1244" s="21" t="str">
        <x:v>520</x:v>
      </x:c>
    </x:row>
    <x:row r="1245" ht="22" customHeight="1">
      <x:c r="A1245" s="21" t="str">
        <x:v>data/pve/pve_monsters.json</x:v>
      </x:c>
      <x:c r="B1245" s="21" t="str">
        <x:v>$/monsters/2/atk</x:v>
      </x:c>
      <x:c r="C1245" s="21" t="str">
        <x:v>int</x:v>
      </x:c>
      <x:c r="D1245" s="21" t="str">
        <x:v>20</x:v>
      </x:c>
    </x:row>
    <x:row r="1246" ht="22" customHeight="1">
      <x:c r="A1246" s="21" t="str">
        <x:v>data/pve/pve_monsters.json</x:v>
      </x:c>
      <x:c r="B1246" s="21" t="str">
        <x:v>$/monsters/2/def</x:v>
      </x:c>
      <x:c r="C1246" s="21" t="str">
        <x:v>int</x:v>
      </x:c>
      <x:c r="D1246" s="21" t="str">
        <x:v>6</x:v>
      </x:c>
    </x:row>
    <x:row r="1247" ht="22" customHeight="1">
      <x:c r="A1247" s="21" t="str">
        <x:v>data/pve/pve_monsters.json</x:v>
      </x:c>
      <x:c r="B1247" s="21" t="str">
        <x:v>$/monsters/2/attack_speed</x:v>
      </x:c>
      <x:c r="C1247" s="21" t="str">
        <x:v>float</x:v>
      </x:c>
      <x:c r="D1247" s="21" t="str">
        <x:v>1.0</x:v>
      </x:c>
    </x:row>
    <x:row r="1248" ht="22" customHeight="1">
      <x:c r="A1248" s="21" t="str">
        <x:v>data/pve/pve_monsters.json</x:v>
      </x:c>
      <x:c r="B1248" s="21" t="str">
        <x:v>$/monsters/2/range</x:v>
      </x:c>
      <x:c r="C1248" s="21" t="str">
        <x:v>int</x:v>
      </x:c>
      <x:c r="D1248" s="21" t="str">
        <x:v>4</x:v>
      </x:c>
    </x:row>
    <x:row r="1249" ht="22" customHeight="1">
      <x:c r="A1249" s="21" t="str">
        <x:v>data/pve/pve_monsters.json</x:v>
      </x:c>
      <x:c r="B1249" s="21" t="str">
        <x:v>$/monsters/2/move_speed</x:v>
      </x:c>
      <x:c r="C1249" s="21" t="str">
        <x:v>float</x:v>
      </x:c>
      <x:c r="D1249" s="21" t="str">
        <x:v>3.2</x:v>
      </x:c>
    </x:row>
    <x:row r="1250" ht="22" customHeight="1">
      <x:c r="A1250" s="21" t="str">
        <x:v>data/pve/pve_monsters.json</x:v>
      </x:c>
      <x:c r="B1250" s="21" t="str">
        <x:v>$/monsters/2/skill_id</x:v>
      </x:c>
      <x:c r="C1250" s="21" t="str">
        <x:v>string</x:v>
      </x:c>
      <x:c r="D1250" s="21" t="str">
        <x:v>"heal_allies"</x:v>
      </x:c>
    </x:row>
    <x:row r="1251" ht="22" customHeight="1">
      <x:c r="A1251" s="21" t="str">
        <x:v>data/pve/pve_monsters.json</x:v>
      </x:c>
      <x:c r="B1251" s="21" t="str">
        <x:v>$/monsters/2/skill_cd</x:v>
      </x:c>
      <x:c r="C1251" s="21" t="str">
        <x:v>float</x:v>
      </x:c>
      <x:c r="D1251" s="21" t="str">
        <x:v>8.0</x:v>
      </x:c>
    </x:row>
    <x:row r="1252" ht="22" customHeight="1">
      <x:c r="A1252" s="21" t="str">
        <x:v>data/pve/pve_monsters.json</x:v>
      </x:c>
      <x:c r="B1252" s="21" t="str">
        <x:v>$/monsters/2/skill_heal_pct</x:v>
      </x:c>
      <x:c r="C1252" s="21" t="str">
        <x:v>float</x:v>
      </x:c>
      <x:c r="D1252" s="21" t="str">
        <x:v>0.1</x:v>
      </x:c>
    </x:row>
    <x:row r="1253" ht="22" customHeight="1">
      <x:c r="A1253" s="21" t="str">
        <x:v>data/pve/pve_monsters.json</x:v>
      </x:c>
      <x:c r="B1253" s="21" t="str">
        <x:v>$/monsters/2/skill_heal_min</x:v>
      </x:c>
      <x:c r="C1253" s="21" t="str">
        <x:v>int</x:v>
      </x:c>
      <x:c r="D1253" s="21" t="str">
        <x:v>80</x:v>
      </x:c>
    </x:row>
    <x:row r="1254" ht="22" customHeight="1">
      <x:c r="A1254" s="21" t="str">
        <x:v>data/pve/pve_monsters.json</x:v>
      </x:c>
      <x:c r="B1254" s="21" t="str">
        <x:v>$/monsters/2/model</x:v>
      </x:c>
      <x:c r="C1254" s="21" t="str">
        <x:v>string</x:v>
      </x:c>
      <x:c r="D1254" s="21" t="str">
        <x:v>"res://assets/models/monsters/sky/pve_sky_star_butterfly_animated/pve_sky_star_butterfly_animated.tscn"</x:v>
      </x:c>
    </x:row>
    <x:row r="1255" ht="22" customHeight="1">
      <x:c r="A1255" s="21" t="str">
        <x:v>data/pve/pve_monsters.json</x:v>
      </x:c>
      <x:c r="B1255" s="21" t="str">
        <x:v>$/monsters/2/model_visual_scale</x:v>
      </x:c>
      <x:c r="C1255" s="21" t="str">
        <x:v>float</x:v>
      </x:c>
      <x:c r="D1255" s="21" t="str">
        <x:v>1.0</x:v>
      </x:c>
    </x:row>
    <x:row r="1256" ht="22" customHeight="1">
      <x:c r="A1256" s="21" t="str">
        <x:v>data/pve/pve_monsters.json</x:v>
      </x:c>
      <x:c r="B1256" s="21" t="str">
        <x:v>$/monsters/2/model_base_yaw</x:v>
      </x:c>
      <x:c r="C1256" s="21" t="str">
        <x:v>float</x:v>
      </x:c>
      <x:c r="D1256" s="21" t="str">
        <x:v>180.0</x:v>
      </x:c>
    </x:row>
    <x:row r="1257" ht="22" customHeight="1">
      <x:c r="A1257" s="21" t="str">
        <x:v>data/pve/pve_monsters.json</x:v>
      </x:c>
      <x:c r="B1257" s="21" t="str">
        <x:v>$/monsters/3</x:v>
      </x:c>
      <x:c r="C1257" s="21" t="str">
        <x:v>object</x:v>
      </x:c>
      <x:c r="D1257" s="21" t="str"/>
    </x:row>
    <x:row r="1258" ht="22" customHeight="1">
      <x:c r="A1258" s="21" t="str">
        <x:v>data/pve/pve_monsters.json</x:v>
      </x:c>
      <x:c r="B1258" s="21" t="str">
        <x:v>$/monsters/3/id</x:v>
      </x:c>
      <x:c r="C1258" s="21" t="str">
        <x:v>string</x:v>
      </x:c>
      <x:c r="D1258" s="21" t="str">
        <x:v>"pve_sky_dome_guard"</x:v>
      </x:c>
    </x:row>
    <x:row r="1259" ht="22" customHeight="1">
      <x:c r="A1259" s="21" t="str">
        <x:v>data/pve/pve_monsters.json</x:v>
      </x:c>
      <x:c r="B1259" s="21" t="str">
        <x:v>$/monsters/3/model_in_place_actions</x:v>
      </x:c>
      <x:c r="C1259" s="21" t="str">
        <x:v>array</x:v>
      </x:c>
      <x:c r="D1259" s="21" t="str"/>
    </x:row>
    <x:row r="1260" ht="22" customHeight="1">
      <x:c r="A1260" s="21" t="str">
        <x:v>data/pve/pve_monsters.json</x:v>
      </x:c>
      <x:c r="B1260" s="21" t="str">
        <x:v>$/monsters/3/model_in_place_actions/0</x:v>
      </x:c>
      <x:c r="C1260" s="21" t="str">
        <x:v>string</x:v>
      </x:c>
      <x:c r="D1260" s="21" t="str">
        <x:v>"run"</x:v>
      </x:c>
    </x:row>
    <x:row r="1261" ht="22" customHeight="1">
      <x:c r="A1261" s="21" t="str">
        <x:v>data/pve/pve_monsters.json</x:v>
      </x:c>
      <x:c r="B1261" s="21" t="str">
        <x:v>$/monsters/3/name</x:v>
      </x:c>
      <x:c r="C1261" s="21" t="str">
        <x:v>string</x:v>
      </x:c>
      <x:c r="D1261" s="21" t="str">
        <x:v>"天穹守卫"</x:v>
      </x:c>
    </x:row>
    <x:row r="1262" ht="22" customHeight="1">
      <x:c r="A1262" s="21" t="str">
        <x:v>data/pve/pve_monsters.json</x:v>
      </x:c>
      <x:c r="B1262" s="21" t="str">
        <x:v>$/monsters/3/name_en</x:v>
      </x:c>
      <x:c r="C1262" s="21" t="str">
        <x:v>string</x:v>
      </x:c>
      <x:c r="D1262" s="21" t="str">
        <x:v>"Firmament Guard"</x:v>
      </x:c>
    </x:row>
    <x:row r="1263" ht="22" customHeight="1">
      <x:c r="A1263" s="21" t="str">
        <x:v>data/pve/pve_monsters.json</x:v>
      </x:c>
      <x:c r="B1263" s="21" t="str">
        <x:v>$/monsters/3/series</x:v>
      </x:c>
      <x:c r="C1263" s="21" t="str">
        <x:v>string</x:v>
      </x:c>
      <x:c r="D1263" s="21" t="str">
        <x:v>"sky"</x:v>
      </x:c>
    </x:row>
    <x:row r="1264" ht="22" customHeight="1">
      <x:c r="A1264" s="21" t="str">
        <x:v>data/pve/pve_monsters.json</x:v>
      </x:c>
      <x:c r="B1264" s="21" t="str">
        <x:v>$/monsters/3/element</x:v>
      </x:c>
      <x:c r="C1264" s="21" t="str">
        <x:v>string</x:v>
      </x:c>
      <x:c r="D1264" s="21" t="str">
        <x:v>"sky"</x:v>
      </x:c>
    </x:row>
    <x:row r="1265" ht="22" customHeight="1">
      <x:c r="A1265" s="21" t="str">
        <x:v>data/pve/pve_monsters.json</x:v>
      </x:c>
      <x:c r="B1265" s="21" t="str">
        <x:v>$/monsters/3/hp</x:v>
      </x:c>
      <x:c r="C1265" s="21" t="str">
        <x:v>int</x:v>
      </x:c>
      <x:c r="D1265" s="21" t="str">
        <x:v>1040</x:v>
      </x:c>
    </x:row>
    <x:row r="1266" ht="22" customHeight="1">
      <x:c r="A1266" s="21" t="str">
        <x:v>data/pve/pve_monsters.json</x:v>
      </x:c>
      <x:c r="B1266" s="21" t="str">
        <x:v>$/monsters/3/atk</x:v>
      </x:c>
      <x:c r="C1266" s="21" t="str">
        <x:v>int</x:v>
      </x:c>
      <x:c r="D1266" s="21" t="str">
        <x:v>44</x:v>
      </x:c>
    </x:row>
    <x:row r="1267" ht="22" customHeight="1">
      <x:c r="A1267" s="21" t="str">
        <x:v>data/pve/pve_monsters.json</x:v>
      </x:c>
      <x:c r="B1267" s="21" t="str">
        <x:v>$/monsters/3/def</x:v>
      </x:c>
      <x:c r="C1267" s="21" t="str">
        <x:v>int</x:v>
      </x:c>
      <x:c r="D1267" s="21" t="str">
        <x:v>10</x:v>
      </x:c>
    </x:row>
    <x:row r="1268" ht="22" customHeight="1">
      <x:c r="A1268" s="21" t="str">
        <x:v>data/pve/pve_monsters.json</x:v>
      </x:c>
      <x:c r="B1268" s="21" t="str">
        <x:v>$/monsters/3/attack_speed</x:v>
      </x:c>
      <x:c r="C1268" s="21" t="str">
        <x:v>float</x:v>
      </x:c>
      <x:c r="D1268" s="21" t="str">
        <x:v>0.85</x:v>
      </x:c>
    </x:row>
    <x:row r="1269" ht="22" customHeight="1">
      <x:c r="A1269" s="21" t="str">
        <x:v>data/pve/pve_monsters.json</x:v>
      </x:c>
      <x:c r="B1269" s="21" t="str">
        <x:v>$/monsters/3/range</x:v>
      </x:c>
      <x:c r="C1269" s="21" t="str">
        <x:v>int</x:v>
      </x:c>
      <x:c r="D1269" s="21" t="str">
        <x:v>1</x:v>
      </x:c>
    </x:row>
    <x:row r="1270" ht="22" customHeight="1">
      <x:c r="A1270" s="21" t="str">
        <x:v>data/pve/pve_monsters.json</x:v>
      </x:c>
      <x:c r="B1270" s="21" t="str">
        <x:v>$/monsters/3/move_speed</x:v>
      </x:c>
      <x:c r="C1270" s="21" t="str">
        <x:v>float</x:v>
      </x:c>
      <x:c r="D1270" s="21" t="str">
        <x:v>3.0</x:v>
      </x:c>
    </x:row>
    <x:row r="1271" ht="22" customHeight="1">
      <x:c r="A1271" s="21" t="str">
        <x:v>data/pve/pve_monsters.json</x:v>
      </x:c>
      <x:c r="B1271" s="21" t="str">
        <x:v>$/monsters/3/skill_id</x:v>
      </x:c>
      <x:c r="C1271" s="21" t="str">
        <x:v>string</x:v>
      </x:c>
      <x:c r="D1271" s="21" t="str">
        <x:v>"holy_shield_burst"</x:v>
      </x:c>
    </x:row>
    <x:row r="1272" ht="22" customHeight="1">
      <x:c r="A1272" s="21" t="str">
        <x:v>data/pve/pve_monsters.json</x:v>
      </x:c>
      <x:c r="B1272" s="21" t="str">
        <x:v>$/monsters/3/skill_shield_pct</x:v>
      </x:c>
      <x:c r="C1272" s="21" t="str">
        <x:v>float</x:v>
      </x:c>
      <x:c r="D1272" s="21" t="str">
        <x:v>0.15</x:v>
      </x:c>
    </x:row>
    <x:row r="1273" ht="22" customHeight="1">
      <x:c r="A1273" s="21" t="str">
        <x:v>data/pve/pve_monsters.json</x:v>
      </x:c>
      <x:c r="B1273" s="21" t="str">
        <x:v>$/monsters/3/death_aoe_damage</x:v>
      </x:c>
      <x:c r="C1273" s="21" t="str">
        <x:v>int</x:v>
      </x:c>
      <x:c r="D1273" s="21" t="str">
        <x:v>110</x:v>
      </x:c>
    </x:row>
    <x:row r="1274" ht="22" customHeight="1">
      <x:c r="A1274" s="21" t="str">
        <x:v>data/pve/pve_monsters.json</x:v>
      </x:c>
      <x:c r="B1274" s="21" t="str">
        <x:v>$/monsters/3/model</x:v>
      </x:c>
      <x:c r="C1274" s="21" t="str">
        <x:v>string</x:v>
      </x:c>
      <x:c r="D1274" s="21" t="str">
        <x:v>"res://assets/models/monsters/sky/pve_sky_dome_guard_animated/pve_sky_dome_guard_animated.tscn"</x:v>
      </x:c>
    </x:row>
    <x:row r="1275" ht="22" customHeight="1">
      <x:c r="A1275" s="21" t="str">
        <x:v>data/pve/pve_monsters.json</x:v>
      </x:c>
      <x:c r="B1275" s="21" t="str">
        <x:v>$/monsters/3/model_visual_scale</x:v>
      </x:c>
      <x:c r="C1275" s="21" t="str">
        <x:v>float</x:v>
      </x:c>
      <x:c r="D1275" s="21" t="str">
        <x:v>1.0</x:v>
      </x:c>
    </x:row>
    <x:row r="1276" ht="22" customHeight="1">
      <x:c r="A1276" s="21" t="str">
        <x:v>data/pve/pve_monsters.json</x:v>
      </x:c>
      <x:c r="B1276" s="21" t="str">
        <x:v>$/monsters/3/model_base_yaw</x:v>
      </x:c>
      <x:c r="C1276" s="21" t="str">
        <x:v>float</x:v>
      </x:c>
      <x:c r="D1276" s="21" t="str">
        <x:v>180.0</x:v>
      </x:c>
    </x:row>
    <x:row r="1277" ht="22" customHeight="1">
      <x:c r="A1277" s="21" t="str">
        <x:v>data/pve/pve_monsters.json</x:v>
      </x:c>
      <x:c r="B1277" s="21" t="str">
        <x:v>$/monsters/4</x:v>
      </x:c>
      <x:c r="C1277" s="21" t="str">
        <x:v>object</x:v>
      </x:c>
      <x:c r="D1277" s="21" t="str"/>
    </x:row>
    <x:row r="1278" ht="22" customHeight="1">
      <x:c r="A1278" s="21" t="str">
        <x:v>data/pve/pve_monsters.json</x:v>
      </x:c>
      <x:c r="B1278" s="21" t="str">
        <x:v>$/monsters/4/id</x:v>
      </x:c>
      <x:c r="C1278" s="21" t="str">
        <x:v>string</x:v>
      </x:c>
      <x:c r="D1278" s="21" t="str">
        <x:v>"pve_sky_wind_falcon"</x:v>
      </x:c>
    </x:row>
    <x:row r="1279" ht="22" customHeight="1">
      <x:c r="A1279" s="21" t="str">
        <x:v>data/pve/pve_monsters.json</x:v>
      </x:c>
      <x:c r="B1279" s="21" t="str">
        <x:v>$/monsters/4/model_in_place_actions</x:v>
      </x:c>
      <x:c r="C1279" s="21" t="str">
        <x:v>array</x:v>
      </x:c>
      <x:c r="D1279" s="21" t="str"/>
    </x:row>
    <x:row r="1280" ht="22" customHeight="1">
      <x:c r="A1280" s="21" t="str">
        <x:v>data/pve/pve_monsters.json</x:v>
      </x:c>
      <x:c r="B1280" s="21" t="str">
        <x:v>$/monsters/4/model_in_place_actions/0</x:v>
      </x:c>
      <x:c r="C1280" s="21" t="str">
        <x:v>string</x:v>
      </x:c>
      <x:c r="D1280" s="21" t="str">
        <x:v>"run"</x:v>
      </x:c>
    </x:row>
    <x:row r="1281" ht="22" customHeight="1">
      <x:c r="A1281" s="21" t="str">
        <x:v>data/pve/pve_monsters.json</x:v>
      </x:c>
      <x:c r="B1281" s="21" t="str">
        <x:v>$/monsters/4/name</x:v>
      </x:c>
      <x:c r="C1281" s="21" t="str">
        <x:v>string</x:v>
      </x:c>
      <x:c r="D1281" s="21" t="str">
        <x:v>"风刃隼"</x:v>
      </x:c>
    </x:row>
    <x:row r="1282" ht="22" customHeight="1">
      <x:c r="A1282" s="21" t="str">
        <x:v>data/pve/pve_monsters.json</x:v>
      </x:c>
      <x:c r="B1282" s="21" t="str">
        <x:v>$/monsters/4/name_en</x:v>
      </x:c>
      <x:c r="C1282" s="21" t="str">
        <x:v>string</x:v>
      </x:c>
      <x:c r="D1282" s="21" t="str">
        <x:v>"Windblade Falcon"</x:v>
      </x:c>
    </x:row>
    <x:row r="1283" ht="22" customHeight="1">
      <x:c r="A1283" s="21" t="str">
        <x:v>data/pve/pve_monsters.json</x:v>
      </x:c>
      <x:c r="B1283" s="21" t="str">
        <x:v>$/monsters/4/series</x:v>
      </x:c>
      <x:c r="C1283" s="21" t="str">
        <x:v>string</x:v>
      </x:c>
      <x:c r="D1283" s="21" t="str">
        <x:v>"sky"</x:v>
      </x:c>
    </x:row>
    <x:row r="1284" ht="22" customHeight="1">
      <x:c r="A1284" s="21" t="str">
        <x:v>data/pve/pve_monsters.json</x:v>
      </x:c>
      <x:c r="B1284" s="21" t="str">
        <x:v>$/monsters/4/element</x:v>
      </x:c>
      <x:c r="C1284" s="21" t="str">
        <x:v>string</x:v>
      </x:c>
      <x:c r="D1284" s="21" t="str">
        <x:v>"sky"</x:v>
      </x:c>
    </x:row>
    <x:row r="1285" ht="22" customHeight="1">
      <x:c r="A1285" s="21" t="str">
        <x:v>data/pve/pve_monsters.json</x:v>
      </x:c>
      <x:c r="B1285" s="21" t="str">
        <x:v>$/monsters/4/hp</x:v>
      </x:c>
      <x:c r="C1285" s="21" t="str">
        <x:v>int</x:v>
      </x:c>
      <x:c r="D1285" s="21" t="str">
        <x:v>660</x:v>
      </x:c>
    </x:row>
    <x:row r="1286" ht="22" customHeight="1">
      <x:c r="A1286" s="21" t="str">
        <x:v>data/pve/pve_monsters.json</x:v>
      </x:c>
      <x:c r="B1286" s="21" t="str">
        <x:v>$/monsters/4/atk</x:v>
      </x:c>
      <x:c r="C1286" s="21" t="str">
        <x:v>int</x:v>
      </x:c>
      <x:c r="D1286" s="21" t="str">
        <x:v>73</x:v>
      </x:c>
    </x:row>
    <x:row r="1287" ht="22" customHeight="1">
      <x:c r="A1287" s="21" t="str">
        <x:v>data/pve/pve_monsters.json</x:v>
      </x:c>
      <x:c r="B1287" s="21" t="str">
        <x:v>$/monsters/4/def</x:v>
      </x:c>
      <x:c r="C1287" s="21" t="str">
        <x:v>int</x:v>
      </x:c>
      <x:c r="D1287" s="21" t="str">
        <x:v>4</x:v>
      </x:c>
    </x:row>
    <x:row r="1288" ht="22" customHeight="1">
      <x:c r="A1288" s="21" t="str">
        <x:v>data/pve/pve_monsters.json</x:v>
      </x:c>
      <x:c r="B1288" s="21" t="str">
        <x:v>$/monsters/4/attack_speed</x:v>
      </x:c>
      <x:c r="C1288" s="21" t="str">
        <x:v>float</x:v>
      </x:c>
      <x:c r="D1288" s="21" t="str">
        <x:v>1.2</x:v>
      </x:c>
    </x:row>
    <x:row r="1289" ht="22" customHeight="1">
      <x:c r="A1289" s="21" t="str">
        <x:v>data/pve/pve_monsters.json</x:v>
      </x:c>
      <x:c r="B1289" s="21" t="str">
        <x:v>$/monsters/4/range</x:v>
      </x:c>
      <x:c r="C1289" s="21" t="str">
        <x:v>int</x:v>
      </x:c>
      <x:c r="D1289" s="21" t="str">
        <x:v>4</x:v>
      </x:c>
    </x:row>
    <x:row r="1290" ht="22" customHeight="1">
      <x:c r="A1290" s="21" t="str">
        <x:v>data/pve/pve_monsters.json</x:v>
      </x:c>
      <x:c r="B1290" s="21" t="str">
        <x:v>$/monsters/4/move_speed</x:v>
      </x:c>
      <x:c r="C1290" s="21" t="str">
        <x:v>float</x:v>
      </x:c>
      <x:c r="D1290" s="21" t="str">
        <x:v>3.3</x:v>
      </x:c>
    </x:row>
    <x:row r="1291" ht="22" customHeight="1">
      <x:c r="A1291" s="21" t="str">
        <x:v>data/pve/pve_monsters.json</x:v>
      </x:c>
      <x:c r="B1291" s="21" t="str">
        <x:v>$/monsters/4/skill_id</x:v>
      </x:c>
      <x:c r="C1291" s="21" t="str">
        <x:v>string</x:v>
      </x:c>
      <x:c r="D1291" s="21" t="str">
        <x:v>"wind_bleed"</x:v>
      </x:c>
    </x:row>
    <x:row r="1292" ht="22" customHeight="1">
      <x:c r="A1292" s="21" t="str">
        <x:v>data/pve/pve_monsters.json</x:v>
      </x:c>
      <x:c r="B1292" s="21" t="str">
        <x:v>$/monsters/4/skill_cd</x:v>
      </x:c>
      <x:c r="C1292" s="21" t="str">
        <x:v>float</x:v>
      </x:c>
      <x:c r="D1292" s="21" t="str">
        <x:v>8.0</x:v>
      </x:c>
    </x:row>
    <x:row r="1293" ht="22" customHeight="1">
      <x:c r="A1293" s="21" t="str">
        <x:v>data/pve/pve_monsters.json</x:v>
      </x:c>
      <x:c r="B1293" s="21" t="str">
        <x:v>$/monsters/4/skill_damage</x:v>
      </x:c>
      <x:c r="C1293" s="21" t="str">
        <x:v>int</x:v>
      </x:c>
      <x:c r="D1293" s="21" t="str">
        <x:v>90</x:v>
      </x:c>
    </x:row>
    <x:row r="1294" ht="22" customHeight="1">
      <x:c r="A1294" s="21" t="str">
        <x:v>data/pve/pve_monsters.json</x:v>
      </x:c>
      <x:c r="B1294" s="21" t="str">
        <x:v>$/monsters/4/bleed_dps</x:v>
      </x:c>
      <x:c r="C1294" s="21" t="str">
        <x:v>int</x:v>
      </x:c>
      <x:c r="D1294" s="21" t="str">
        <x:v>20</x:v>
      </x:c>
    </x:row>
    <x:row r="1295" ht="22" customHeight="1">
      <x:c r="A1295" s="21" t="str">
        <x:v>data/pve/pve_monsters.json</x:v>
      </x:c>
      <x:c r="B1295" s="21" t="str">
        <x:v>$/monsters/4/bleed_duration</x:v>
      </x:c>
      <x:c r="C1295" s="21" t="str">
        <x:v>float</x:v>
      </x:c>
      <x:c r="D1295" s="21" t="str">
        <x:v>3.0</x:v>
      </x:c>
    </x:row>
    <x:row r="1296" ht="22" customHeight="1">
      <x:c r="A1296" s="21" t="str">
        <x:v>data/pve/pve_monsters.json</x:v>
      </x:c>
      <x:c r="B1296" s="21" t="str">
        <x:v>$/monsters/4/model</x:v>
      </x:c>
      <x:c r="C1296" s="21" t="str">
        <x:v>string</x:v>
      </x:c>
      <x:c r="D1296" s="21" t="str">
        <x:v>"res://assets/models/monsters/sky/pve_sky_wind_falcon_animated/pve_sky_wind_falcon_animated.tscn"</x:v>
      </x:c>
    </x:row>
    <x:row r="1297" ht="22" customHeight="1">
      <x:c r="A1297" s="21" t="str">
        <x:v>data/pve/pve_monsters.json</x:v>
      </x:c>
      <x:c r="B1297" s="21" t="str">
        <x:v>$/monsters/4/model_visual_scale</x:v>
      </x:c>
      <x:c r="C1297" s="21" t="str">
        <x:v>float</x:v>
      </x:c>
      <x:c r="D1297" s="21" t="str">
        <x:v>1.0</x:v>
      </x:c>
    </x:row>
    <x:row r="1298" ht="22" customHeight="1">
      <x:c r="A1298" s="21" t="str">
        <x:v>data/pve/pve_monsters.json</x:v>
      </x:c>
      <x:c r="B1298" s="21" t="str">
        <x:v>$/monsters/4/model_base_yaw</x:v>
      </x:c>
      <x:c r="C1298" s="21" t="str">
        <x:v>float</x:v>
      </x:c>
      <x:c r="D1298" s="21" t="str">
        <x:v>180.0</x:v>
      </x:c>
    </x:row>
    <x:row r="1299" ht="22" customHeight="1">
      <x:c r="A1299" s="21" t="str">
        <x:v>data/pve/pve_monsters.json</x:v>
      </x:c>
      <x:c r="B1299" s="21" t="str">
        <x:v>$/monsters/5</x:v>
      </x:c>
      <x:c r="C1299" s="21" t="str">
        <x:v>object</x:v>
      </x:c>
      <x:c r="D1299" s="21" t="str"/>
    </x:row>
    <x:row r="1300" ht="22" customHeight="1">
      <x:c r="A1300" s="21" t="str">
        <x:v>data/pve/pve_monsters.json</x:v>
      </x:c>
      <x:c r="B1300" s="21" t="str">
        <x:v>$/monsters/5/id</x:v>
      </x:c>
      <x:c r="C1300" s="21" t="str">
        <x:v>string</x:v>
      </x:c>
      <x:c r="D1300" s="21" t="str">
        <x:v>"pve_sky_hymn_spirit"</x:v>
      </x:c>
    </x:row>
    <x:row r="1301" ht="22" customHeight="1">
      <x:c r="A1301" s="21" t="str">
        <x:v>data/pve/pve_monsters.json</x:v>
      </x:c>
      <x:c r="B1301" s="21" t="str">
        <x:v>$/monsters/5/model_in_place_actions</x:v>
      </x:c>
      <x:c r="C1301" s="21" t="str">
        <x:v>array</x:v>
      </x:c>
      <x:c r="D1301" s="21" t="str"/>
    </x:row>
    <x:row r="1302" ht="22" customHeight="1">
      <x:c r="A1302" s="21" t="str">
        <x:v>data/pve/pve_monsters.json</x:v>
      </x:c>
      <x:c r="B1302" s="21" t="str">
        <x:v>$/monsters/5/model_in_place_actions/0</x:v>
      </x:c>
      <x:c r="C1302" s="21" t="str">
        <x:v>string</x:v>
      </x:c>
      <x:c r="D1302" s="21" t="str">
        <x:v>"run"</x:v>
      </x:c>
    </x:row>
    <x:row r="1303" ht="22" customHeight="1">
      <x:c r="A1303" s="21" t="str">
        <x:v>data/pve/pve_monsters.json</x:v>
      </x:c>
      <x:c r="B1303" s="21" t="str">
        <x:v>$/monsters/5/model_in_place_actions/1</x:v>
      </x:c>
      <x:c r="C1303" s="21" t="str">
        <x:v>string</x:v>
      </x:c>
      <x:c r="D1303" s="21" t="str">
        <x:v>"attack"</x:v>
      </x:c>
    </x:row>
    <x:row r="1304" ht="22" customHeight="1">
      <x:c r="A1304" s="21" t="str">
        <x:v>data/pve/pve_monsters.json</x:v>
      </x:c>
      <x:c r="B1304" s="21" t="str">
        <x:v>$/monsters/5/name</x:v>
      </x:c>
      <x:c r="C1304" s="21" t="str">
        <x:v>string</x:v>
      </x:c>
      <x:c r="D1304" s="21" t="str">
        <x:v>"圣歌灵"</x:v>
      </x:c>
    </x:row>
    <x:row r="1305" ht="22" customHeight="1">
      <x:c r="A1305" s="21" t="str">
        <x:v>data/pve/pve_monsters.json</x:v>
      </x:c>
      <x:c r="B1305" s="21" t="str">
        <x:v>$/monsters/5/name_en</x:v>
      </x:c>
      <x:c r="C1305" s="21" t="str">
        <x:v>string</x:v>
      </x:c>
      <x:c r="D1305" s="21" t="str">
        <x:v>"Hymn Wisp"</x:v>
      </x:c>
    </x:row>
    <x:row r="1306" ht="22" customHeight="1">
      <x:c r="A1306" s="21" t="str">
        <x:v>data/pve/pve_monsters.json</x:v>
      </x:c>
      <x:c r="B1306" s="21" t="str">
        <x:v>$/monsters/5/series</x:v>
      </x:c>
      <x:c r="C1306" s="21" t="str">
        <x:v>string</x:v>
      </x:c>
      <x:c r="D1306" s="21" t="str">
        <x:v>"sky"</x:v>
      </x:c>
    </x:row>
    <x:row r="1307" ht="22" customHeight="1">
      <x:c r="A1307" s="21" t="str">
        <x:v>data/pve/pve_monsters.json</x:v>
      </x:c>
      <x:c r="B1307" s="21" t="str">
        <x:v>$/monsters/5/element</x:v>
      </x:c>
      <x:c r="C1307" s="21" t="str">
        <x:v>string</x:v>
      </x:c>
      <x:c r="D1307" s="21" t="str">
        <x:v>"sky"</x:v>
      </x:c>
    </x:row>
    <x:row r="1308" ht="22" customHeight="1">
      <x:c r="A1308" s="21" t="str">
        <x:v>data/pve/pve_monsters.json</x:v>
      </x:c>
      <x:c r="B1308" s="21" t="str">
        <x:v>$/monsters/5/hp</x:v>
      </x:c>
      <x:c r="C1308" s="21" t="str">
        <x:v>int</x:v>
      </x:c>
      <x:c r="D1308" s="21" t="str">
        <x:v>720</x:v>
      </x:c>
    </x:row>
    <x:row r="1309" ht="22" customHeight="1">
      <x:c r="A1309" s="21" t="str">
        <x:v>data/pve/pve_monsters.json</x:v>
      </x:c>
      <x:c r="B1309" s="21" t="str">
        <x:v>$/monsters/5/atk</x:v>
      </x:c>
      <x:c r="C1309" s="21" t="str">
        <x:v>int</x:v>
      </x:c>
      <x:c r="D1309" s="21" t="str">
        <x:v>26</x:v>
      </x:c>
    </x:row>
    <x:row r="1310" ht="22" customHeight="1">
      <x:c r="A1310" s="21" t="str">
        <x:v>data/pve/pve_monsters.json</x:v>
      </x:c>
      <x:c r="B1310" s="21" t="str">
        <x:v>$/monsters/5/def</x:v>
      </x:c>
      <x:c r="C1310" s="21" t="str">
        <x:v>int</x:v>
      </x:c>
      <x:c r="D1310" s="21" t="str">
        <x:v>5</x:v>
      </x:c>
    </x:row>
    <x:row r="1311" ht="22" customHeight="1">
      <x:c r="A1311" s="21" t="str">
        <x:v>data/pve/pve_monsters.json</x:v>
      </x:c>
      <x:c r="B1311" s="21" t="str">
        <x:v>$/monsters/5/attack_speed</x:v>
      </x:c>
      <x:c r="C1311" s="21" t="str">
        <x:v>float</x:v>
      </x:c>
      <x:c r="D1311" s="21" t="str">
        <x:v>1.0</x:v>
      </x:c>
    </x:row>
    <x:row r="1312" ht="22" customHeight="1">
      <x:c r="A1312" s="21" t="str">
        <x:v>data/pve/pve_monsters.json</x:v>
      </x:c>
      <x:c r="B1312" s="21" t="str">
        <x:v>$/monsters/5/range</x:v>
      </x:c>
      <x:c r="C1312" s="21" t="str">
        <x:v>int</x:v>
      </x:c>
      <x:c r="D1312" s="21" t="str">
        <x:v>4</x:v>
      </x:c>
    </x:row>
    <x:row r="1313" ht="22" customHeight="1">
      <x:c r="A1313" s="21" t="str">
        <x:v>data/pve/pve_monsters.json</x:v>
      </x:c>
      <x:c r="B1313" s="21" t="str">
        <x:v>$/monsters/5/move_speed</x:v>
      </x:c>
      <x:c r="C1313" s="21" t="str">
        <x:v>float</x:v>
      </x:c>
      <x:c r="D1313" s="21" t="str">
        <x:v>3.2</x:v>
      </x:c>
    </x:row>
    <x:row r="1314" ht="22" customHeight="1">
      <x:c r="A1314" s="21" t="str">
        <x:v>data/pve/pve_monsters.json</x:v>
      </x:c>
      <x:c r="B1314" s="21" t="str">
        <x:v>$/monsters/5/skill_id</x:v>
      </x:c>
      <x:c r="C1314" s="21" t="str">
        <x:v>string</x:v>
      </x:c>
      <x:c r="D1314" s="21" t="str">
        <x:v>"slow_aura"</x:v>
      </x:c>
    </x:row>
    <x:row r="1315" ht="22" customHeight="1">
      <x:c r="A1315" s="21" t="str">
        <x:v>data/pve/pve_monsters.json</x:v>
      </x:c>
      <x:c r="B1315" s="21" t="str">
        <x:v>$/monsters/5/skill_cd</x:v>
      </x:c>
      <x:c r="C1315" s="21" t="str">
        <x:v>float</x:v>
      </x:c>
      <x:c r="D1315" s="21" t="str">
        <x:v>8.0</x:v>
      </x:c>
    </x:row>
    <x:row r="1316" ht="22" customHeight="1">
      <x:c r="A1316" s="21" t="str">
        <x:v>data/pve/pve_monsters.json</x:v>
      </x:c>
      <x:c r="B1316" s="21" t="str">
        <x:v>$/monsters/5/slow_attack_speed_pct</x:v>
      </x:c>
      <x:c r="C1316" s="21" t="str">
        <x:v>float</x:v>
      </x:c>
      <x:c r="D1316" s="21" t="str">
        <x:v>0.15</x:v>
      </x:c>
    </x:row>
    <x:row r="1317" ht="22" customHeight="1">
      <x:c r="A1317" s="21" t="str">
        <x:v>data/pve/pve_monsters.json</x:v>
      </x:c>
      <x:c r="B1317" s="21" t="str">
        <x:v>$/monsters/5/duration</x:v>
      </x:c>
      <x:c r="C1317" s="21" t="str">
        <x:v>float</x:v>
      </x:c>
      <x:c r="D1317" s="21" t="str">
        <x:v>4.0</x:v>
      </x:c>
    </x:row>
    <x:row r="1318" ht="22" customHeight="1">
      <x:c r="A1318" s="21" t="str">
        <x:v>data/pve/pve_monsters.json</x:v>
      </x:c>
      <x:c r="B1318" s="21" t="str">
        <x:v>$/monsters/5/model</x:v>
      </x:c>
      <x:c r="C1318" s="21" t="str">
        <x:v>string</x:v>
      </x:c>
      <x:c r="D1318" s="21" t="str">
        <x:v>"res://assets/models/monsters/sky/pve_sky_hymn_spirit_animated/pve_sky_hymn_spirit_animated.tscn"</x:v>
      </x:c>
    </x:row>
    <x:row r="1319" ht="22" customHeight="1">
      <x:c r="A1319" s="21" t="str">
        <x:v>data/pve/pve_monsters.json</x:v>
      </x:c>
      <x:c r="B1319" s="21" t="str">
        <x:v>$/monsters/5/model_visual_scale</x:v>
      </x:c>
      <x:c r="C1319" s="21" t="str">
        <x:v>float</x:v>
      </x:c>
      <x:c r="D1319" s="21" t="str">
        <x:v>1.0</x:v>
      </x:c>
    </x:row>
    <x:row r="1320" ht="22" customHeight="1">
      <x:c r="A1320" s="21" t="str">
        <x:v>data/pve/pve_monsters.json</x:v>
      </x:c>
      <x:c r="B1320" s="21" t="str">
        <x:v>$/monsters/5/model_base_yaw</x:v>
      </x:c>
      <x:c r="C1320" s="21" t="str">
        <x:v>float</x:v>
      </x:c>
      <x:c r="D1320" s="21" t="str">
        <x:v>180.0</x:v>
      </x:c>
    </x:row>
    <x:row r="1321" ht="22" customHeight="1">
      <x:c r="A1321" s="21" t="str">
        <x:v>data/pve/pve_monsters.json</x:v>
      </x:c>
      <x:c r="B1321" s="21" t="str">
        <x:v>$/monsters/6</x:v>
      </x:c>
      <x:c r="C1321" s="21" t="str">
        <x:v>object</x:v>
      </x:c>
      <x:c r="D1321" s="21" t="str"/>
    </x:row>
    <x:row r="1322" ht="22" customHeight="1">
      <x:c r="A1322" s="21" t="str">
        <x:v>data/pve/pve_monsters.json</x:v>
      </x:c>
      <x:c r="B1322" s="21" t="str">
        <x:v>$/monsters/6/id</x:v>
      </x:c>
      <x:c r="C1322" s="21" t="str">
        <x:v>string</x:v>
      </x:c>
      <x:c r="D1322" s="21" t="str">
        <x:v>"pve_land_rock_beast"</x:v>
      </x:c>
    </x:row>
    <x:row r="1323" ht="22" customHeight="1">
      <x:c r="A1323" s="21" t="str">
        <x:v>data/pve/pve_monsters.json</x:v>
      </x:c>
      <x:c r="B1323" s="21" t="str">
        <x:v>$/monsters/6/name</x:v>
      </x:c>
      <x:c r="C1323" s="21" t="str">
        <x:v>string</x:v>
      </x:c>
      <x:c r="D1323" s="21" t="str">
        <x:v>"岩甲兽"</x:v>
      </x:c>
    </x:row>
    <x:row r="1324" ht="22" customHeight="1">
      <x:c r="A1324" s="21" t="str">
        <x:v>data/pve/pve_monsters.json</x:v>
      </x:c>
      <x:c r="B1324" s="21" t="str">
        <x:v>$/monsters/6/name_en</x:v>
      </x:c>
      <x:c r="C1324" s="21" t="str">
        <x:v>string</x:v>
      </x:c>
      <x:c r="D1324" s="21" t="str">
        <x:v>"Rockplate Beast"</x:v>
      </x:c>
    </x:row>
    <x:row r="1325" ht="22" customHeight="1">
      <x:c r="A1325" s="21" t="str">
        <x:v>data/pve/pve_monsters.json</x:v>
      </x:c>
      <x:c r="B1325" s="21" t="str">
        <x:v>$/monsters/6/series</x:v>
      </x:c>
      <x:c r="C1325" s="21" t="str">
        <x:v>string</x:v>
      </x:c>
      <x:c r="D1325" s="21" t="str">
        <x:v>"land"</x:v>
      </x:c>
    </x:row>
    <x:row r="1326" ht="22" customHeight="1">
      <x:c r="A1326" s="21" t="str">
        <x:v>data/pve/pve_monsters.json</x:v>
      </x:c>
      <x:c r="B1326" s="21" t="str">
        <x:v>$/monsters/6/element</x:v>
      </x:c>
      <x:c r="C1326" s="21" t="str">
        <x:v>string</x:v>
      </x:c>
      <x:c r="D1326" s="21" t="str">
        <x:v>"land"</x:v>
      </x:c>
    </x:row>
    <x:row r="1327" ht="22" customHeight="1">
      <x:c r="A1327" s="21" t="str">
        <x:v>data/pve/pve_monsters.json</x:v>
      </x:c>
      <x:c r="B1327" s="21" t="str">
        <x:v>$/monsters/6/hp</x:v>
      </x:c>
      <x:c r="C1327" s="21" t="str">
        <x:v>int</x:v>
      </x:c>
      <x:c r="D1327" s="21" t="str">
        <x:v>840</x:v>
      </x:c>
    </x:row>
    <x:row r="1328" ht="22" customHeight="1">
      <x:c r="A1328" s="21" t="str">
        <x:v>data/pve/pve_monsters.json</x:v>
      </x:c>
      <x:c r="B1328" s="21" t="str">
        <x:v>$/monsters/6/atk</x:v>
      </x:c>
      <x:c r="C1328" s="21" t="str">
        <x:v>int</x:v>
      </x:c>
      <x:c r="D1328" s="21" t="str">
        <x:v>31</x:v>
      </x:c>
    </x:row>
    <x:row r="1329" ht="22" customHeight="1">
      <x:c r="A1329" s="21" t="str">
        <x:v>data/pve/pve_monsters.json</x:v>
      </x:c>
      <x:c r="B1329" s="21" t="str">
        <x:v>$/monsters/6/def</x:v>
      </x:c>
      <x:c r="C1329" s="21" t="str">
        <x:v>int</x:v>
      </x:c>
      <x:c r="D1329" s="21" t="str">
        <x:v>16</x:v>
      </x:c>
    </x:row>
    <x:row r="1330" ht="22" customHeight="1">
      <x:c r="A1330" s="21" t="str">
        <x:v>data/pve/pve_monsters.json</x:v>
      </x:c>
      <x:c r="B1330" s="21" t="str">
        <x:v>$/monsters/6/attack_speed</x:v>
      </x:c>
      <x:c r="C1330" s="21" t="str">
        <x:v>float</x:v>
      </x:c>
      <x:c r="D1330" s="21" t="str">
        <x:v>0.8</x:v>
      </x:c>
    </x:row>
    <x:row r="1331" ht="22" customHeight="1">
      <x:c r="A1331" s="21" t="str">
        <x:v>data/pve/pve_monsters.json</x:v>
      </x:c>
      <x:c r="B1331" s="21" t="str">
        <x:v>$/monsters/6/range</x:v>
      </x:c>
      <x:c r="C1331" s="21" t="str">
        <x:v>int</x:v>
      </x:c>
      <x:c r="D1331" s="21" t="str">
        <x:v>1</x:v>
      </x:c>
    </x:row>
    <x:row r="1332" ht="22" customHeight="1">
      <x:c r="A1332" s="21" t="str">
        <x:v>data/pve/pve_monsters.json</x:v>
      </x:c>
      <x:c r="B1332" s="21" t="str">
        <x:v>$/monsters/6/move_speed</x:v>
      </x:c>
      <x:c r="C1332" s="21" t="str">
        <x:v>float</x:v>
      </x:c>
      <x:c r="D1332" s="21" t="str">
        <x:v>2.9</x:v>
      </x:c>
    </x:row>
    <x:row r="1333" ht="22" customHeight="1">
      <x:c r="A1333" s="21" t="str">
        <x:v>data/pve/pve_monsters.json</x:v>
      </x:c>
      <x:c r="B1333" s="21" t="str">
        <x:v>$/monsters/6/skill_id</x:v>
      </x:c>
      <x:c r="C1333" s="21" t="str">
        <x:v>string</x:v>
      </x:c>
      <x:c r="D1333" s="21" t="str">
        <x:v>"stun_impact"</x:v>
      </x:c>
    </x:row>
    <x:row r="1334" ht="22" customHeight="1">
      <x:c r="A1334" s="21" t="str">
        <x:v>data/pve/pve_monsters.json</x:v>
      </x:c>
      <x:c r="B1334" s="21" t="str">
        <x:v>$/monsters/6/skill_cd</x:v>
      </x:c>
      <x:c r="C1334" s="21" t="str">
        <x:v>float</x:v>
      </x:c>
      <x:c r="D1334" s="21" t="str">
        <x:v>8.0</x:v>
      </x:c>
    </x:row>
    <x:row r="1335" ht="22" customHeight="1">
      <x:c r="A1335" s="21" t="str">
        <x:v>data/pve/pve_monsters.json</x:v>
      </x:c>
      <x:c r="B1335" s="21" t="str">
        <x:v>$/monsters/6/skill_atk_pct</x:v>
      </x:c>
      <x:c r="C1335" s="21" t="str">
        <x:v>float</x:v>
      </x:c>
      <x:c r="D1335" s="21" t="str">
        <x:v>1.0</x:v>
      </x:c>
    </x:row>
    <x:row r="1336" ht="22" customHeight="1">
      <x:c r="A1336" s="21" t="str">
        <x:v>data/pve/pve_monsters.json</x:v>
      </x:c>
      <x:c r="B1336" s="21" t="str">
        <x:v>$/monsters/6/stun_sec</x:v>
      </x:c>
      <x:c r="C1336" s="21" t="str">
        <x:v>float</x:v>
      </x:c>
      <x:c r="D1336" s="21" t="str">
        <x:v>1.0</x:v>
      </x:c>
    </x:row>
    <x:row r="1337" ht="22" customHeight="1">
      <x:c r="A1337" s="21" t="str">
        <x:v>data/pve/pve_monsters.json</x:v>
      </x:c>
      <x:c r="B1337" s="21" t="str">
        <x:v>$/monsters/6/model</x:v>
      </x:c>
      <x:c r="C1337" s="21" t="str">
        <x:v>string</x:v>
      </x:c>
      <x:c r="D1337" s="21" t="str">
        <x:v>"res://assets/models/monsters/land/pve_land_rock_beast_animated/pve_land_rock_beast_animated.tscn"</x:v>
      </x:c>
    </x:row>
    <x:row r="1338" ht="22" customHeight="1">
      <x:c r="A1338" s="21" t="str">
        <x:v>data/pve/pve_monsters.json</x:v>
      </x:c>
      <x:c r="B1338" s="21" t="str">
        <x:v>$/monsters/6/model_visual_scale</x:v>
      </x:c>
      <x:c r="C1338" s="21" t="str">
        <x:v>float</x:v>
      </x:c>
      <x:c r="D1338" s="21" t="str">
        <x:v>1.0</x:v>
      </x:c>
    </x:row>
    <x:row r="1339" ht="22" customHeight="1">
      <x:c r="A1339" s="21" t="str">
        <x:v>data/pve/pve_monsters.json</x:v>
      </x:c>
      <x:c r="B1339" s="21" t="str">
        <x:v>$/monsters/6/model_base_yaw</x:v>
      </x:c>
      <x:c r="C1339" s="21" t="str">
        <x:v>float</x:v>
      </x:c>
      <x:c r="D1339" s="21" t="str">
        <x:v>180.0</x:v>
      </x:c>
    </x:row>
    <x:row r="1340" ht="22" customHeight="1">
      <x:c r="A1340" s="21" t="str">
        <x:v>data/pve/pve_monsters.json</x:v>
      </x:c>
      <x:c r="B1340" s="21" t="str">
        <x:v>$/monsters/7</x:v>
      </x:c>
      <x:c r="C1340" s="21" t="str">
        <x:v>object</x:v>
      </x:c>
      <x:c r="D1340" s="21" t="str"/>
    </x:row>
    <x:row r="1341" ht="22" customHeight="1">
      <x:c r="A1341" s="21" t="str">
        <x:v>data/pve/pve_monsters.json</x:v>
      </x:c>
      <x:c r="B1341" s="21" t="str">
        <x:v>$/monsters/7/id</x:v>
      </x:c>
      <x:c r="C1341" s="21" t="str">
        <x:v>string</x:v>
      </x:c>
      <x:c r="D1341" s="21" t="str">
        <x:v>"pve_land_vine_guard"</x:v>
      </x:c>
    </x:row>
    <x:row r="1342" ht="22" customHeight="1">
      <x:c r="A1342" s="21" t="str">
        <x:v>data/pve/pve_monsters.json</x:v>
      </x:c>
      <x:c r="B1342" s="21" t="str">
        <x:v>$/monsters/7/name</x:v>
      </x:c>
      <x:c r="C1342" s="21" t="str">
        <x:v>string</x:v>
      </x:c>
      <x:c r="D1342" s="21" t="str">
        <x:v>"藤蔓守卫"</x:v>
      </x:c>
    </x:row>
    <x:row r="1343" ht="22" customHeight="1">
      <x:c r="A1343" s="21" t="str">
        <x:v>data/pve/pve_monsters.json</x:v>
      </x:c>
      <x:c r="B1343" s="21" t="str">
        <x:v>$/monsters/7/name_en</x:v>
      </x:c>
      <x:c r="C1343" s="21" t="str">
        <x:v>string</x:v>
      </x:c>
      <x:c r="D1343" s="21" t="str">
        <x:v>"Vine Guard"</x:v>
      </x:c>
    </x:row>
    <x:row r="1344" ht="22" customHeight="1">
      <x:c r="A1344" s="21" t="str">
        <x:v>data/pve/pve_monsters.json</x:v>
      </x:c>
      <x:c r="B1344" s="21" t="str">
        <x:v>$/monsters/7/series</x:v>
      </x:c>
      <x:c r="C1344" s="21" t="str">
        <x:v>string</x:v>
      </x:c>
      <x:c r="D1344" s="21" t="str">
        <x:v>"land"</x:v>
      </x:c>
    </x:row>
    <x:row r="1345" ht="22" customHeight="1">
      <x:c r="A1345" s="21" t="str">
        <x:v>data/pve/pve_monsters.json</x:v>
      </x:c>
      <x:c r="B1345" s="21" t="str">
        <x:v>$/monsters/7/element</x:v>
      </x:c>
      <x:c r="C1345" s="21" t="str">
        <x:v>string</x:v>
      </x:c>
      <x:c r="D1345" s="21" t="str">
        <x:v>"land"</x:v>
      </x:c>
    </x:row>
    <x:row r="1346" ht="22" customHeight="1">
      <x:c r="A1346" s="21" t="str">
        <x:v>data/pve/pve_monsters.json</x:v>
      </x:c>
      <x:c r="B1346" s="21" t="str">
        <x:v>$/monsters/7/hp</x:v>
      </x:c>
      <x:c r="C1346" s="21" t="str">
        <x:v>int</x:v>
      </x:c>
      <x:c r="D1346" s="21" t="str">
        <x:v>760</x:v>
      </x:c>
    </x:row>
    <x:row r="1347" ht="22" customHeight="1">
      <x:c r="A1347" s="21" t="str">
        <x:v>data/pve/pve_monsters.json</x:v>
      </x:c>
      <x:c r="B1347" s="21" t="str">
        <x:v>$/monsters/7/atk</x:v>
      </x:c>
      <x:c r="C1347" s="21" t="str">
        <x:v>int</x:v>
      </x:c>
      <x:c r="D1347" s="21" t="str">
        <x:v>33</x:v>
      </x:c>
    </x:row>
    <x:row r="1348" ht="22" customHeight="1">
      <x:c r="A1348" s="21" t="str">
        <x:v>data/pve/pve_monsters.json</x:v>
      </x:c>
      <x:c r="B1348" s="21" t="str">
        <x:v>$/monsters/7/def</x:v>
      </x:c>
      <x:c r="C1348" s="21" t="str">
        <x:v>int</x:v>
      </x:c>
      <x:c r="D1348" s="21" t="str">
        <x:v>12</x:v>
      </x:c>
    </x:row>
    <x:row r="1349" ht="22" customHeight="1">
      <x:c r="A1349" s="21" t="str">
        <x:v>data/pve/pve_monsters.json</x:v>
      </x:c>
      <x:c r="B1349" s="21" t="str">
        <x:v>$/monsters/7/attack_speed</x:v>
      </x:c>
      <x:c r="C1349" s="21" t="str">
        <x:v>float</x:v>
      </x:c>
      <x:c r="D1349" s="21" t="str">
        <x:v>0.85</x:v>
      </x:c>
    </x:row>
    <x:row r="1350" ht="22" customHeight="1">
      <x:c r="A1350" s="21" t="str">
        <x:v>data/pve/pve_monsters.json</x:v>
      </x:c>
      <x:c r="B1350" s="21" t="str">
        <x:v>$/monsters/7/range</x:v>
      </x:c>
      <x:c r="C1350" s="21" t="str">
        <x:v>int</x:v>
      </x:c>
      <x:c r="D1350" s="21" t="str">
        <x:v>1</x:v>
      </x:c>
    </x:row>
    <x:row r="1351" ht="22" customHeight="1">
      <x:c r="A1351" s="21" t="str">
        <x:v>data/pve/pve_monsters.json</x:v>
      </x:c>
      <x:c r="B1351" s="21" t="str">
        <x:v>$/monsters/7/move_speed</x:v>
      </x:c>
      <x:c r="C1351" s="21" t="str">
        <x:v>float</x:v>
      </x:c>
      <x:c r="D1351" s="21" t="str">
        <x:v>2.8</x:v>
      </x:c>
    </x:row>
    <x:row r="1352" ht="22" customHeight="1">
      <x:c r="A1352" s="21" t="str">
        <x:v>data/pve/pve_monsters.json</x:v>
      </x:c>
      <x:c r="B1352" s="21" t="str">
        <x:v>$/monsters/7/skill_id</x:v>
      </x:c>
      <x:c r="C1352" s="21" t="str">
        <x:v>string</x:v>
      </x:c>
      <x:c r="D1352" s="21" t="str">
        <x:v>"entangle"</x:v>
      </x:c>
    </x:row>
    <x:row r="1353" ht="22" customHeight="1">
      <x:c r="A1353" s="21" t="str">
        <x:v>data/pve/pve_monsters.json</x:v>
      </x:c>
      <x:c r="B1353" s="21" t="str">
        <x:v>$/monsters/7/skill_cd</x:v>
      </x:c>
      <x:c r="C1353" s="21" t="str">
        <x:v>float</x:v>
      </x:c>
      <x:c r="D1353" s="21" t="str">
        <x:v>8.0</x:v>
      </x:c>
    </x:row>
    <x:row r="1354" ht="22" customHeight="1">
      <x:c r="A1354" s="21" t="str">
        <x:v>data/pve/pve_monsters.json</x:v>
      </x:c>
      <x:c r="B1354" s="21" t="str">
        <x:v>$/monsters/7/root_sec</x:v>
      </x:c>
      <x:c r="C1354" s="21" t="str">
        <x:v>float</x:v>
      </x:c>
      <x:c r="D1354" s="21" t="str">
        <x:v>1.5</x:v>
      </x:c>
    </x:row>
    <x:row r="1355" ht="22" customHeight="1">
      <x:c r="A1355" s="21" t="str">
        <x:v>data/pve/pve_monsters.json</x:v>
      </x:c>
      <x:c r="B1355" s="21" t="str">
        <x:v>$/monsters/7/attack_down_pct</x:v>
      </x:c>
      <x:c r="C1355" s="21" t="str">
        <x:v>float</x:v>
      </x:c>
      <x:c r="D1355" s="21" t="str">
        <x:v>0.15</x:v>
      </x:c>
    </x:row>
    <x:row r="1356" ht="22" customHeight="1">
      <x:c r="A1356" s="21" t="str">
        <x:v>data/pve/pve_monsters.json</x:v>
      </x:c>
      <x:c r="B1356" s="21" t="str">
        <x:v>$/monsters/7/duration</x:v>
      </x:c>
      <x:c r="C1356" s="21" t="str">
        <x:v>float</x:v>
      </x:c>
      <x:c r="D1356" s="21" t="str">
        <x:v>4.0</x:v>
      </x:c>
    </x:row>
    <x:row r="1357" ht="22" customHeight="1">
      <x:c r="A1357" s="21" t="str">
        <x:v>data/pve/pve_monsters.json</x:v>
      </x:c>
      <x:c r="B1357" s="21" t="str">
        <x:v>$/monsters/7/model</x:v>
      </x:c>
      <x:c r="C1357" s="21" t="str">
        <x:v>string</x:v>
      </x:c>
      <x:c r="D1357" s="21" t="str">
        <x:v>"res://assets/models/monsters/land/pve_land_vine_guard_animated/pve_land_vine_guard_animated.tscn"</x:v>
      </x:c>
    </x:row>
    <x:row r="1358" ht="22" customHeight="1">
      <x:c r="A1358" s="21" t="str">
        <x:v>data/pve/pve_monsters.json</x:v>
      </x:c>
      <x:c r="B1358" s="21" t="str">
        <x:v>$/monsters/7/model_visual_scale</x:v>
      </x:c>
      <x:c r="C1358" s="21" t="str">
        <x:v>float</x:v>
      </x:c>
      <x:c r="D1358" s="21" t="str">
        <x:v>1.0</x:v>
      </x:c>
    </x:row>
    <x:row r="1359" ht="22" customHeight="1">
      <x:c r="A1359" s="21" t="str">
        <x:v>data/pve/pve_monsters.json</x:v>
      </x:c>
      <x:c r="B1359" s="21" t="str">
        <x:v>$/monsters/7/model_base_yaw</x:v>
      </x:c>
      <x:c r="C1359" s="21" t="str">
        <x:v>float</x:v>
      </x:c>
      <x:c r="D1359" s="21" t="str">
        <x:v>180.0</x:v>
      </x:c>
    </x:row>
    <x:row r="1360" ht="22" customHeight="1">
      <x:c r="A1360" s="21" t="str">
        <x:v>data/pve/pve_monsters.json</x:v>
      </x:c>
      <x:c r="B1360" s="21" t="str">
        <x:v>$/monsters/8</x:v>
      </x:c>
      <x:c r="C1360" s="21" t="str">
        <x:v>object</x:v>
      </x:c>
      <x:c r="D1360" s="21" t="str"/>
    </x:row>
    <x:row r="1361" ht="22" customHeight="1">
      <x:c r="A1361" s="21" t="str">
        <x:v>data/pve/pve_monsters.json</x:v>
      </x:c>
      <x:c r="B1361" s="21" t="str">
        <x:v>$/monsters/8/id</x:v>
      </x:c>
      <x:c r="C1361" s="21" t="str">
        <x:v>string</x:v>
      </x:c>
      <x:c r="D1361" s="21" t="str">
        <x:v>"pve_land_vein_worm"</x:v>
      </x:c>
    </x:row>
    <x:row r="1362" ht="22" customHeight="1">
      <x:c r="A1362" s="21" t="str">
        <x:v>data/pve/pve_monsters.json</x:v>
      </x:c>
      <x:c r="B1362" s="21" t="str">
        <x:v>$/monsters/8/model_in_place_actions</x:v>
      </x:c>
      <x:c r="C1362" s="21" t="str">
        <x:v>array</x:v>
      </x:c>
      <x:c r="D1362" s="21" t="str"/>
    </x:row>
    <x:row r="1363" ht="22" customHeight="1">
      <x:c r="A1363" s="21" t="str">
        <x:v>data/pve/pve_monsters.json</x:v>
      </x:c>
      <x:c r="B1363" s="21" t="str">
        <x:v>$/monsters/8/model_in_place_actions/0</x:v>
      </x:c>
      <x:c r="C1363" s="21" t="str">
        <x:v>string</x:v>
      </x:c>
      <x:c r="D1363" s="21" t="str">
        <x:v>"attack"</x:v>
      </x:c>
    </x:row>
    <x:row r="1364" ht="22" customHeight="1">
      <x:c r="A1364" s="21" t="str">
        <x:v>data/pve/pve_monsters.json</x:v>
      </x:c>
      <x:c r="B1364" s="21" t="str">
        <x:v>$/monsters/8/name</x:v>
      </x:c>
      <x:c r="C1364" s="21" t="str">
        <x:v>string</x:v>
      </x:c>
      <x:c r="D1364" s="21" t="str">
        <x:v>"地脉虫"</x:v>
      </x:c>
    </x:row>
    <x:row r="1365" ht="22" customHeight="1">
      <x:c r="A1365" s="21" t="str">
        <x:v>data/pve/pve_monsters.json</x:v>
      </x:c>
      <x:c r="B1365" s="21" t="str">
        <x:v>$/monsters/8/name_en</x:v>
      </x:c>
      <x:c r="C1365" s="21" t="str">
        <x:v>string</x:v>
      </x:c>
      <x:c r="D1365" s="21" t="str">
        <x:v>"Leyline Worm"</x:v>
      </x:c>
    </x:row>
    <x:row r="1366" ht="22" customHeight="1">
      <x:c r="A1366" s="21" t="str">
        <x:v>data/pve/pve_monsters.json</x:v>
      </x:c>
      <x:c r="B1366" s="21" t="str">
        <x:v>$/monsters/8/series</x:v>
      </x:c>
      <x:c r="C1366" s="21" t="str">
        <x:v>string</x:v>
      </x:c>
      <x:c r="D1366" s="21" t="str">
        <x:v>"land"</x:v>
      </x:c>
    </x:row>
    <x:row r="1367" ht="22" customHeight="1">
      <x:c r="A1367" s="21" t="str">
        <x:v>data/pve/pve_monsters.json</x:v>
      </x:c>
      <x:c r="B1367" s="21" t="str">
        <x:v>$/monsters/8/element</x:v>
      </x:c>
      <x:c r="C1367" s="21" t="str">
        <x:v>string</x:v>
      </x:c>
      <x:c r="D1367" s="21" t="str">
        <x:v>"land"</x:v>
      </x:c>
    </x:row>
    <x:row r="1368" ht="22" customHeight="1">
      <x:c r="A1368" s="21" t="str">
        <x:v>data/pve/pve_monsters.json</x:v>
      </x:c>
      <x:c r="B1368" s="21" t="str">
        <x:v>$/monsters/8/hp</x:v>
      </x:c>
      <x:c r="C1368" s="21" t="str">
        <x:v>int</x:v>
      </x:c>
      <x:c r="D1368" s="21" t="str">
        <x:v>680</x:v>
      </x:c>
    </x:row>
    <x:row r="1369" ht="22" customHeight="1">
      <x:c r="A1369" s="21" t="str">
        <x:v>data/pve/pve_monsters.json</x:v>
      </x:c>
      <x:c r="B1369" s="21" t="str">
        <x:v>$/monsters/8/atk</x:v>
      </x:c>
      <x:c r="C1369" s="21" t="str">
        <x:v>int</x:v>
      </x:c>
      <x:c r="D1369" s="21" t="str">
        <x:v>57</x:v>
      </x:c>
    </x:row>
    <x:row r="1370" ht="22" customHeight="1">
      <x:c r="A1370" s="21" t="str">
        <x:v>data/pve/pve_monsters.json</x:v>
      </x:c>
      <x:c r="B1370" s="21" t="str">
        <x:v>$/monsters/8/def</x:v>
      </x:c>
      <x:c r="C1370" s="21" t="str">
        <x:v>int</x:v>
      </x:c>
      <x:c r="D1370" s="21" t="str">
        <x:v>8</x:v>
      </x:c>
    </x:row>
    <x:row r="1371" ht="22" customHeight="1">
      <x:c r="A1371" s="21" t="str">
        <x:v>data/pve/pve_monsters.json</x:v>
      </x:c>
      <x:c r="B1371" s="21" t="str">
        <x:v>$/monsters/8/attack_speed</x:v>
      </x:c>
      <x:c r="C1371" s="21" t="str">
        <x:v>float</x:v>
      </x:c>
      <x:c r="D1371" s="21" t="str">
        <x:v>1.0</x:v>
      </x:c>
    </x:row>
    <x:row r="1372" ht="22" customHeight="1">
      <x:c r="A1372" s="21" t="str">
        <x:v>data/pve/pve_monsters.json</x:v>
      </x:c>
      <x:c r="B1372" s="21" t="str">
        <x:v>$/monsters/8/range</x:v>
      </x:c>
      <x:c r="C1372" s="21" t="str">
        <x:v>int</x:v>
      </x:c>
      <x:c r="D1372" s="21" t="str">
        <x:v>1</x:v>
      </x:c>
    </x:row>
    <x:row r="1373" ht="22" customHeight="1">
      <x:c r="A1373" s="21" t="str">
        <x:v>data/pve/pve_monsters.json</x:v>
      </x:c>
      <x:c r="B1373" s="21" t="str">
        <x:v>$/monsters/8/move_speed</x:v>
      </x:c>
      <x:c r="C1373" s="21" t="str">
        <x:v>float</x:v>
      </x:c>
      <x:c r="D1373" s="21" t="str">
        <x:v>3.1</x:v>
      </x:c>
    </x:row>
    <x:row r="1374" ht="22" customHeight="1">
      <x:c r="A1374" s="21" t="str">
        <x:v>data/pve/pve_monsters.json</x:v>
      </x:c>
      <x:c r="B1374" s="21" t="str">
        <x:v>$/monsters/8/skill_id</x:v>
      </x:c>
      <x:c r="C1374" s="21" t="str">
        <x:v>string</x:v>
      </x:c>
      <x:c r="D1374" s="21" t="str">
        <x:v>"burrow_ambush"</x:v>
      </x:c>
    </x:row>
    <x:row r="1375" ht="22" customHeight="1">
      <x:c r="A1375" s="21" t="str">
        <x:v>data/pve/pve_monsters.json</x:v>
      </x:c>
      <x:c r="B1375" s="21" t="str">
        <x:v>$/monsters/8/skill_cd</x:v>
      </x:c>
      <x:c r="C1375" s="21" t="str">
        <x:v>float</x:v>
      </x:c>
      <x:c r="D1375" s="21" t="str">
        <x:v>8.0</x:v>
      </x:c>
    </x:row>
    <x:row r="1376" ht="22" customHeight="1">
      <x:c r="A1376" s="21" t="str">
        <x:v>data/pve/pve_monsters.json</x:v>
      </x:c>
      <x:c r="B1376" s="21" t="str">
        <x:v>$/monsters/8/skill_atk_pct</x:v>
      </x:c>
      <x:c r="C1376" s="21" t="str">
        <x:v>float</x:v>
      </x:c>
      <x:c r="D1376" s="21" t="str">
        <x:v>1.6</x:v>
      </x:c>
    </x:row>
    <x:row r="1377" ht="22" customHeight="1">
      <x:c r="A1377" s="21" t="str">
        <x:v>data/pve/pve_monsters.json</x:v>
      </x:c>
      <x:c r="B1377" s="21" t="str">
        <x:v>$/monsters/8/model</x:v>
      </x:c>
      <x:c r="C1377" s="21" t="str">
        <x:v>string</x:v>
      </x:c>
      <x:c r="D1377" s="21" t="str">
        <x:v>"res://assets/models/monsters/land/pve_land_vein_worm_animated/pve_land_vein_worm_animated.tscn"</x:v>
      </x:c>
    </x:row>
    <x:row r="1378" ht="22" customHeight="1">
      <x:c r="A1378" s="21" t="str">
        <x:v>data/pve/pve_monsters.json</x:v>
      </x:c>
      <x:c r="B1378" s="21" t="str">
        <x:v>$/monsters/8/model_visual_scale</x:v>
      </x:c>
      <x:c r="C1378" s="21" t="str">
        <x:v>float</x:v>
      </x:c>
      <x:c r="D1378" s="21" t="str">
        <x:v>1.0</x:v>
      </x:c>
    </x:row>
    <x:row r="1379" ht="22" customHeight="1">
      <x:c r="A1379" s="21" t="str">
        <x:v>data/pve/pve_monsters.json</x:v>
      </x:c>
      <x:c r="B1379" s="21" t="str">
        <x:v>$/monsters/8/model_base_yaw</x:v>
      </x:c>
      <x:c r="C1379" s="21" t="str">
        <x:v>float</x:v>
      </x:c>
      <x:c r="D1379" s="21" t="str">
        <x:v>180.0</x:v>
      </x:c>
    </x:row>
    <x:row r="1380" ht="22" customHeight="1">
      <x:c r="A1380" s="21" t="str">
        <x:v>data/pve/pve_monsters.json</x:v>
      </x:c>
      <x:c r="B1380" s="21" t="str">
        <x:v>$/monsters/9</x:v>
      </x:c>
      <x:c r="C1380" s="21" t="str">
        <x:v>object</x:v>
      </x:c>
      <x:c r="D1380" s="21" t="str"/>
    </x:row>
    <x:row r="1381" ht="22" customHeight="1">
      <x:c r="A1381" s="21" t="str">
        <x:v>data/pve/pve_monsters.json</x:v>
      </x:c>
      <x:c r="B1381" s="21" t="str">
        <x:v>$/monsters/9/id</x:v>
      </x:c>
      <x:c r="C1381" s="21" t="str">
        <x:v>string</x:v>
      </x:c>
      <x:c r="D1381" s="21" t="str">
        <x:v>"pve_land_lava_golem"</x:v>
      </x:c>
    </x:row>
    <x:row r="1382" ht="22" customHeight="1">
      <x:c r="A1382" s="21" t="str">
        <x:v>data/pve/pve_monsters.json</x:v>
      </x:c>
      <x:c r="B1382" s="21" t="str">
        <x:v>$/monsters/9/name</x:v>
      </x:c>
      <x:c r="C1382" s="21" t="str">
        <x:v>string</x:v>
      </x:c>
      <x:c r="D1382" s="21" t="str">
        <x:v>"熔岩傀儡"</x:v>
      </x:c>
    </x:row>
    <x:row r="1383" ht="22" customHeight="1">
      <x:c r="A1383" s="21" t="str">
        <x:v>data/pve/pve_monsters.json</x:v>
      </x:c>
      <x:c r="B1383" s="21" t="str">
        <x:v>$/monsters/9/name_en</x:v>
      </x:c>
      <x:c r="C1383" s="21" t="str">
        <x:v>string</x:v>
      </x:c>
      <x:c r="D1383" s="21" t="str">
        <x:v>"Lava Golem"</x:v>
      </x:c>
    </x:row>
    <x:row r="1384" ht="22" customHeight="1">
      <x:c r="A1384" s="21" t="str">
        <x:v>data/pve/pve_monsters.json</x:v>
      </x:c>
      <x:c r="B1384" s="21" t="str">
        <x:v>$/monsters/9/series</x:v>
      </x:c>
      <x:c r="C1384" s="21" t="str">
        <x:v>string</x:v>
      </x:c>
      <x:c r="D1384" s="21" t="str">
        <x:v>"land"</x:v>
      </x:c>
    </x:row>
    <x:row r="1385" ht="22" customHeight="1">
      <x:c r="A1385" s="21" t="str">
        <x:v>data/pve/pve_monsters.json</x:v>
      </x:c>
      <x:c r="B1385" s="21" t="str">
        <x:v>$/monsters/9/element</x:v>
      </x:c>
      <x:c r="C1385" s="21" t="str">
        <x:v>string</x:v>
      </x:c>
      <x:c r="D1385" s="21" t="str">
        <x:v>"land"</x:v>
      </x:c>
    </x:row>
    <x:row r="1386" ht="22" customHeight="1">
      <x:c r="A1386" s="21" t="str">
        <x:v>data/pve/pve_monsters.json</x:v>
      </x:c>
      <x:c r="B1386" s="21" t="str">
        <x:v>$/monsters/9/hp</x:v>
      </x:c>
      <x:c r="C1386" s="21" t="str">
        <x:v>int</x:v>
      </x:c>
      <x:c r="D1386" s="21" t="str">
        <x:v>900</x:v>
      </x:c>
    </x:row>
    <x:row r="1387" ht="22" customHeight="1">
      <x:c r="A1387" s="21" t="str">
        <x:v>data/pve/pve_monsters.json</x:v>
      </x:c>
      <x:c r="B1387" s="21" t="str">
        <x:v>$/monsters/9/atk</x:v>
      </x:c>
      <x:c r="C1387" s="21" t="str">
        <x:v>int</x:v>
      </x:c>
      <x:c r="D1387" s="21" t="str">
        <x:v>31</x:v>
      </x:c>
    </x:row>
    <x:row r="1388" ht="22" customHeight="1">
      <x:c r="A1388" s="21" t="str">
        <x:v>data/pve/pve_monsters.json</x:v>
      </x:c>
      <x:c r="B1388" s="21" t="str">
        <x:v>$/monsters/9/def</x:v>
      </x:c>
      <x:c r="C1388" s="21" t="str">
        <x:v>int</x:v>
      </x:c>
      <x:c r="D1388" s="21" t="str">
        <x:v>18</x:v>
      </x:c>
    </x:row>
    <x:row r="1389" ht="22" customHeight="1">
      <x:c r="A1389" s="21" t="str">
        <x:v>data/pve/pve_monsters.json</x:v>
      </x:c>
      <x:c r="B1389" s="21" t="str">
        <x:v>$/monsters/9/attack_speed</x:v>
      </x:c>
      <x:c r="C1389" s="21" t="str">
        <x:v>float</x:v>
      </x:c>
      <x:c r="D1389" s="21" t="str">
        <x:v>0.75</x:v>
      </x:c>
    </x:row>
    <x:row r="1390" ht="22" customHeight="1">
      <x:c r="A1390" s="21" t="str">
        <x:v>data/pve/pve_monsters.json</x:v>
      </x:c>
      <x:c r="B1390" s="21" t="str">
        <x:v>$/monsters/9/range</x:v>
      </x:c>
      <x:c r="C1390" s="21" t="str">
        <x:v>int</x:v>
      </x:c>
      <x:c r="D1390" s="21" t="str">
        <x:v>1</x:v>
      </x:c>
    </x:row>
    <x:row r="1391" ht="22" customHeight="1">
      <x:c r="A1391" s="21" t="str">
        <x:v>data/pve/pve_monsters.json</x:v>
      </x:c>
      <x:c r="B1391" s="21" t="str">
        <x:v>$/monsters/9/move_speed</x:v>
      </x:c>
      <x:c r="C1391" s="21" t="str">
        <x:v>float</x:v>
      </x:c>
      <x:c r="D1391" s="21" t="str">
        <x:v>2.7</x:v>
      </x:c>
    </x:row>
    <x:row r="1392" ht="22" customHeight="1">
      <x:c r="A1392" s="21" t="str">
        <x:v>data/pve/pve_monsters.json</x:v>
      </x:c>
      <x:c r="B1392" s="21" t="str">
        <x:v>$/monsters/9/skill_id</x:v>
      </x:c>
      <x:c r="C1392" s="21" t="str">
        <x:v>string</x:v>
      </x:c>
      <x:c r="D1392" s="21" t="str">
        <x:v>"lava_burst"</x:v>
      </x:c>
    </x:row>
    <x:row r="1393" ht="22" customHeight="1">
      <x:c r="A1393" s="21" t="str">
        <x:v>data/pve/pve_monsters.json</x:v>
      </x:c>
      <x:c r="B1393" s="21" t="str">
        <x:v>$/monsters/9/skill_cd</x:v>
      </x:c>
      <x:c r="C1393" s="21" t="str">
        <x:v>float</x:v>
      </x:c>
      <x:c r="D1393" s="21" t="str">
        <x:v>8.0</x:v>
      </x:c>
    </x:row>
    <x:row r="1394" ht="22" customHeight="1">
      <x:c r="A1394" s="21" t="str">
        <x:v>data/pve/pve_monsters.json</x:v>
      </x:c>
      <x:c r="B1394" s="21" t="str">
        <x:v>$/monsters/9/skill_damage</x:v>
      </x:c>
      <x:c r="C1394" s="21" t="str">
        <x:v>int</x:v>
      </x:c>
      <x:c r="D1394" s="21" t="str">
        <x:v>110</x:v>
      </x:c>
    </x:row>
    <x:row r="1395" ht="22" customHeight="1">
      <x:c r="A1395" s="21" t="str">
        <x:v>data/pve/pve_monsters.json</x:v>
      </x:c>
      <x:c r="B1395" s="21" t="str">
        <x:v>$/monsters/9/model</x:v>
      </x:c>
      <x:c r="C1395" s="21" t="str">
        <x:v>string</x:v>
      </x:c>
      <x:c r="D1395" s="21" t="str">
        <x:v>"res://assets/models/monsters/land/pve_land_lava_golem_animated/pve_land_lava_golem_animated.tscn"</x:v>
      </x:c>
    </x:row>
    <x:row r="1396" ht="22" customHeight="1">
      <x:c r="A1396" s="21" t="str">
        <x:v>data/pve/pve_monsters.json</x:v>
      </x:c>
      <x:c r="B1396" s="21" t="str">
        <x:v>$/monsters/9/model_visual_scale</x:v>
      </x:c>
      <x:c r="C1396" s="21" t="str">
        <x:v>float</x:v>
      </x:c>
      <x:c r="D1396" s="21" t="str">
        <x:v>1.0</x:v>
      </x:c>
    </x:row>
    <x:row r="1397" ht="22" customHeight="1">
      <x:c r="A1397" s="21" t="str">
        <x:v>data/pve/pve_monsters.json</x:v>
      </x:c>
      <x:c r="B1397" s="21" t="str">
        <x:v>$/monsters/9/model_base_yaw</x:v>
      </x:c>
      <x:c r="C1397" s="21" t="str">
        <x:v>float</x:v>
      </x:c>
      <x:c r="D1397" s="21" t="str">
        <x:v>180.0</x:v>
      </x:c>
    </x:row>
    <x:row r="1398" ht="22" customHeight="1">
      <x:c r="A1398" s="21" t="str">
        <x:v>data/pve/pve_monsters.json</x:v>
      </x:c>
      <x:c r="B1398" s="21" t="str">
        <x:v>$/monsters/10</x:v>
      </x:c>
      <x:c r="C1398" s="21" t="str">
        <x:v>object</x:v>
      </x:c>
      <x:c r="D1398" s="21" t="str"/>
    </x:row>
    <x:row r="1399" ht="22" customHeight="1">
      <x:c r="A1399" s="21" t="str">
        <x:v>data/pve/pve_monsters.json</x:v>
      </x:c>
      <x:c r="B1399" s="21" t="str">
        <x:v>$/monsters/10/id</x:v>
      </x:c>
      <x:c r="C1399" s="21" t="str">
        <x:v>string</x:v>
      </x:c>
      <x:c r="D1399" s="21" t="str">
        <x:v>"pve_land_ancient_tree"</x:v>
      </x:c>
    </x:row>
    <x:row r="1400" ht="22" customHeight="1">
      <x:c r="A1400" s="21" t="str">
        <x:v>data/pve/pve_monsters.json</x:v>
      </x:c>
      <x:c r="B1400" s="21" t="str">
        <x:v>$/monsters/10/name</x:v>
      </x:c>
      <x:c r="C1400" s="21" t="str">
        <x:v>string</x:v>
      </x:c>
      <x:c r="D1400" s="21" t="str">
        <x:v>"古树长者"</x:v>
      </x:c>
    </x:row>
    <x:row r="1401" ht="22" customHeight="1">
      <x:c r="A1401" s="21" t="str">
        <x:v>data/pve/pve_monsters.json</x:v>
      </x:c>
      <x:c r="B1401" s="21" t="str">
        <x:v>$/monsters/10/name_en</x:v>
      </x:c>
      <x:c r="C1401" s="21" t="str">
        <x:v>string</x:v>
      </x:c>
      <x:c r="D1401" s="21" t="str">
        <x:v>"Elder Treant"</x:v>
      </x:c>
    </x:row>
    <x:row r="1402" ht="22" customHeight="1">
      <x:c r="A1402" s="21" t="str">
        <x:v>data/pve/pve_monsters.json</x:v>
      </x:c>
      <x:c r="B1402" s="21" t="str">
        <x:v>$/monsters/10/series</x:v>
      </x:c>
      <x:c r="C1402" s="21" t="str">
        <x:v>string</x:v>
      </x:c>
      <x:c r="D1402" s="21" t="str">
        <x:v>"land"</x:v>
      </x:c>
    </x:row>
    <x:row r="1403" ht="22" customHeight="1">
      <x:c r="A1403" s="21" t="str">
        <x:v>data/pve/pve_monsters.json</x:v>
      </x:c>
      <x:c r="B1403" s="21" t="str">
        <x:v>$/monsters/10/element</x:v>
      </x:c>
      <x:c r="C1403" s="21" t="str">
        <x:v>string</x:v>
      </x:c>
      <x:c r="D1403" s="21" t="str">
        <x:v>"land"</x:v>
      </x:c>
    </x:row>
    <x:row r="1404" ht="22" customHeight="1">
      <x:c r="A1404" s="21" t="str">
        <x:v>data/pve/pve_monsters.json</x:v>
      </x:c>
      <x:c r="B1404" s="21" t="str">
        <x:v>$/monsters/10/hp</x:v>
      </x:c>
      <x:c r="C1404" s="21" t="str">
        <x:v>int</x:v>
      </x:c>
      <x:c r="D1404" s="21" t="str">
        <x:v>1120</x:v>
      </x:c>
    </x:row>
    <x:row r="1405" ht="22" customHeight="1">
      <x:c r="A1405" s="21" t="str">
        <x:v>data/pve/pve_monsters.json</x:v>
      </x:c>
      <x:c r="B1405" s="21" t="str">
        <x:v>$/monsters/10/atk</x:v>
      </x:c>
      <x:c r="C1405" s="21" t="str">
        <x:v>int</x:v>
      </x:c>
      <x:c r="D1405" s="21" t="str">
        <x:v>26</x:v>
      </x:c>
    </x:row>
    <x:row r="1406" ht="22" customHeight="1">
      <x:c r="A1406" s="21" t="str">
        <x:v>data/pve/pve_monsters.json</x:v>
      </x:c>
      <x:c r="B1406" s="21" t="str">
        <x:v>$/monsters/10/def</x:v>
      </x:c>
      <x:c r="C1406" s="21" t="str">
        <x:v>int</x:v>
      </x:c>
      <x:c r="D1406" s="21" t="str">
        <x:v>16</x:v>
      </x:c>
    </x:row>
    <x:row r="1407" ht="22" customHeight="1">
      <x:c r="A1407" s="21" t="str">
        <x:v>data/pve/pve_monsters.json</x:v>
      </x:c>
      <x:c r="B1407" s="21" t="str">
        <x:v>$/monsters/10/attack_speed</x:v>
      </x:c>
      <x:c r="C1407" s="21" t="str">
        <x:v>float</x:v>
      </x:c>
      <x:c r="D1407" s="21" t="str">
        <x:v>0.8</x:v>
      </x:c>
    </x:row>
    <x:row r="1408" ht="22" customHeight="1">
      <x:c r="A1408" s="21" t="str">
        <x:v>data/pve/pve_monsters.json</x:v>
      </x:c>
      <x:c r="B1408" s="21" t="str">
        <x:v>$/monsters/10/range</x:v>
      </x:c>
      <x:c r="C1408" s="21" t="str">
        <x:v>int</x:v>
      </x:c>
      <x:c r="D1408" s="21" t="str">
        <x:v>4</x:v>
      </x:c>
    </x:row>
    <x:row r="1409" ht="22" customHeight="1">
      <x:c r="A1409" s="21" t="str">
        <x:v>data/pve/pve_monsters.json</x:v>
      </x:c>
      <x:c r="B1409" s="21" t="str">
        <x:v>$/monsters/10/move_speed</x:v>
      </x:c>
      <x:c r="C1409" s="21" t="str">
        <x:v>float</x:v>
      </x:c>
      <x:c r="D1409" s="21" t="str">
        <x:v>2.6</x:v>
      </x:c>
    </x:row>
    <x:row r="1410" ht="22" customHeight="1">
      <x:c r="A1410" s="21" t="str">
        <x:v>data/pve/pve_monsters.json</x:v>
      </x:c>
      <x:c r="B1410" s="21" t="str">
        <x:v>$/monsters/10/skill_id</x:v>
      </x:c>
      <x:c r="C1410" s="21" t="str">
        <x:v>string</x:v>
      </x:c>
      <x:c r="D1410" s="21" t="str">
        <x:v>"nature_heal"</x:v>
      </x:c>
    </x:row>
    <x:row r="1411" ht="22" customHeight="1">
      <x:c r="A1411" s="21" t="str">
        <x:v>data/pve/pve_monsters.json</x:v>
      </x:c>
      <x:c r="B1411" s="21" t="str">
        <x:v>$/monsters/10/skill_cd</x:v>
      </x:c>
      <x:c r="C1411" s="21" t="str">
        <x:v>float</x:v>
      </x:c>
      <x:c r="D1411" s="21" t="str">
        <x:v>8.0</x:v>
      </x:c>
    </x:row>
    <x:row r="1412" ht="22" customHeight="1">
      <x:c r="A1412" s="21" t="str">
        <x:v>data/pve/pve_monsters.json</x:v>
      </x:c>
      <x:c r="B1412" s="21" t="str">
        <x:v>$/monsters/10/skill_heal_pct</x:v>
      </x:c>
      <x:c r="C1412" s="21" t="str">
        <x:v>float</x:v>
      </x:c>
      <x:c r="D1412" s="21" t="str">
        <x:v>0.12</x:v>
      </x:c>
    </x:row>
    <x:row r="1413" ht="22" customHeight="1">
      <x:c r="A1413" s="21" t="str">
        <x:v>data/pve/pve_monsters.json</x:v>
      </x:c>
      <x:c r="B1413" s="21" t="str">
        <x:v>$/monsters/10/skill_heal_min</x:v>
      </x:c>
      <x:c r="C1413" s="21" t="str">
        <x:v>int</x:v>
      </x:c>
      <x:c r="D1413" s="21" t="str">
        <x:v>100</x:v>
      </x:c>
    </x:row>
    <x:row r="1414" ht="22" customHeight="1">
      <x:c r="A1414" s="21" t="str">
        <x:v>data/pve/pve_monsters.json</x:v>
      </x:c>
      <x:c r="B1414" s="21" t="str">
        <x:v>$/monsters/10/model</x:v>
      </x:c>
      <x:c r="C1414" s="21" t="str">
        <x:v>string</x:v>
      </x:c>
      <x:c r="D1414" s="21" t="str">
        <x:v>"res://assets/models/monsters/land/pve_land_ancient_tree_animated/pve_land_ancient_tree_animated.tscn"</x:v>
      </x:c>
    </x:row>
    <x:row r="1415" ht="22" customHeight="1">
      <x:c r="A1415" s="21" t="str">
        <x:v>data/pve/pve_monsters.json</x:v>
      </x:c>
      <x:c r="B1415" s="21" t="str">
        <x:v>$/monsters/10/model_visual_scale</x:v>
      </x:c>
      <x:c r="C1415" s="21" t="str">
        <x:v>float</x:v>
      </x:c>
      <x:c r="D1415" s="21" t="str">
        <x:v>1.0</x:v>
      </x:c>
    </x:row>
    <x:row r="1416" ht="22" customHeight="1">
      <x:c r="A1416" s="21" t="str">
        <x:v>data/pve/pve_monsters.json</x:v>
      </x:c>
      <x:c r="B1416" s="21" t="str">
        <x:v>$/monsters/10/model_base_yaw</x:v>
      </x:c>
      <x:c r="C1416" s="21" t="str">
        <x:v>float</x:v>
      </x:c>
      <x:c r="D1416" s="21" t="str">
        <x:v>180.0</x:v>
      </x:c>
    </x:row>
    <x:row r="1417" ht="22" customHeight="1">
      <x:c r="A1417" s="21" t="str">
        <x:v>data/pve/pve_monsters.json</x:v>
      </x:c>
      <x:c r="B1417" s="21" t="str">
        <x:v>$/monsters/10/model_idle_animation_name</x:v>
      </x:c>
      <x:c r="C1417" s="21" t="str">
        <x:v>string</x:v>
      </x:c>
      <x:c r="D1417" s="21" t="str">
        <x:v>"idle"</x:v>
      </x:c>
    </x:row>
    <x:row r="1418" ht="22" customHeight="1">
      <x:c r="A1418" s="21" t="str">
        <x:v>data/pve/pve_monsters.json</x:v>
      </x:c>
      <x:c r="B1418" s="21" t="str">
        <x:v>$/monsters/10/model_attack_animation_name</x:v>
      </x:c>
      <x:c r="C1418" s="21" t="str">
        <x:v>string</x:v>
      </x:c>
      <x:c r="D1418" s="21" t="str">
        <x:v>"attack"</x:v>
      </x:c>
    </x:row>
    <x:row r="1419" ht="22" customHeight="1">
      <x:c r="A1419" s="21" t="str">
        <x:v>data/pve/pve_monsters.json</x:v>
      </x:c>
      <x:c r="B1419" s="21" t="str">
        <x:v>$/monsters/10/model_attack_sync_seek</x:v>
      </x:c>
      <x:c r="C1419" s="21" t="str">
        <x:v>float</x:v>
      </x:c>
      <x:c r="D1419" s="21" t="str">
        <x:v>0.18</x:v>
      </x:c>
    </x:row>
    <x:row r="1420" ht="22" customHeight="1">
      <x:c r="A1420" s="21" t="str">
        <x:v>data/pve/pve_monsters.json</x:v>
      </x:c>
      <x:c r="B1420" s="21" t="str">
        <x:v>$/monsters/10/model_attack_lock_time</x:v>
      </x:c>
      <x:c r="C1420" s="21" t="str">
        <x:v>float</x:v>
      </x:c>
      <x:c r="D1420" s="21" t="str">
        <x:v>0.42</x:v>
      </x:c>
    </x:row>
    <x:row r="1421" ht="22" customHeight="1">
      <x:c r="A1421" s="21" t="str">
        <x:v>data/pve/pve_monsters.json</x:v>
      </x:c>
      <x:c r="B1421" s="21" t="str">
        <x:v>$/monsters/10/model_run_animation_name</x:v>
      </x:c>
      <x:c r="C1421" s="21" t="str">
        <x:v>string</x:v>
      </x:c>
      <x:c r="D1421" s="21" t="str">
        <x:v>"run"</x:v>
      </x:c>
    </x:row>
    <x:row r="1422" ht="22" customHeight="1">
      <x:c r="A1422" s="21" t="str">
        <x:v>data/pve/pve_monsters.json</x:v>
      </x:c>
      <x:c r="B1422" s="21" t="str">
        <x:v>$/monsters/11</x:v>
      </x:c>
      <x:c r="C1422" s="21" t="str">
        <x:v>object</x:v>
      </x:c>
      <x:c r="D1422" s="21" t="str"/>
    </x:row>
    <x:row r="1423" ht="22" customHeight="1">
      <x:c r="A1423" s="21" t="str">
        <x:v>data/pve/pve_monsters.json</x:v>
      </x:c>
      <x:c r="B1423" s="21" t="str">
        <x:v>$/monsters/11/id</x:v>
      </x:c>
      <x:c r="C1423" s="21" t="str">
        <x:v>string</x:v>
      </x:c>
      <x:c r="D1423" s="21" t="str">
        <x:v>"pve_land_mountain_giant"</x:v>
      </x:c>
    </x:row>
    <x:row r="1424" ht="22" customHeight="1">
      <x:c r="A1424" s="21" t="str">
        <x:v>data/pve/pve_monsters.json</x:v>
      </x:c>
      <x:c r="B1424" s="21" t="str">
        <x:v>$/monsters/11/model_in_place_actions</x:v>
      </x:c>
      <x:c r="C1424" s="21" t="str">
        <x:v>array</x:v>
      </x:c>
      <x:c r="D1424" s="21" t="str"/>
    </x:row>
    <x:row r="1425" ht="22" customHeight="1">
      <x:c r="A1425" s="21" t="str">
        <x:v>data/pve/pve_monsters.json</x:v>
      </x:c>
      <x:c r="B1425" s="21" t="str">
        <x:v>$/monsters/11/model_in_place_actions/0</x:v>
      </x:c>
      <x:c r="C1425" s="21" t="str">
        <x:v>string</x:v>
      </x:c>
      <x:c r="D1425" s="21" t="str">
        <x:v>"run"</x:v>
      </x:c>
    </x:row>
    <x:row r="1426" ht="22" customHeight="1">
      <x:c r="A1426" s="21" t="str">
        <x:v>data/pve/pve_monsters.json</x:v>
      </x:c>
      <x:c r="B1426" s="21" t="str">
        <x:v>$/monsters/11/name</x:v>
      </x:c>
      <x:c r="C1426" s="21" t="str">
        <x:v>string</x:v>
      </x:c>
      <x:c r="D1426" s="21" t="str">
        <x:v>"山岳巨人"</x:v>
      </x:c>
    </x:row>
    <x:row r="1427" ht="22" customHeight="1">
      <x:c r="A1427" s="21" t="str">
        <x:v>data/pve/pve_monsters.json</x:v>
      </x:c>
      <x:c r="B1427" s="21" t="str">
        <x:v>$/monsters/11/name_en</x:v>
      </x:c>
      <x:c r="C1427" s="21" t="str">
        <x:v>string</x:v>
      </x:c>
      <x:c r="D1427" s="21" t="str">
        <x:v>"Mountain Giant"</x:v>
      </x:c>
    </x:row>
    <x:row r="1428" ht="22" customHeight="1">
      <x:c r="A1428" s="21" t="str">
        <x:v>data/pve/pve_monsters.json</x:v>
      </x:c>
      <x:c r="B1428" s="21" t="str">
        <x:v>$/monsters/11/series</x:v>
      </x:c>
      <x:c r="C1428" s="21" t="str">
        <x:v>string</x:v>
      </x:c>
      <x:c r="D1428" s="21" t="str">
        <x:v>"land"</x:v>
      </x:c>
    </x:row>
    <x:row r="1429" ht="22" customHeight="1">
      <x:c r="A1429" s="21" t="str">
        <x:v>data/pve/pve_monsters.json</x:v>
      </x:c>
      <x:c r="B1429" s="21" t="str">
        <x:v>$/monsters/11/element</x:v>
      </x:c>
      <x:c r="C1429" s="21" t="str">
        <x:v>string</x:v>
      </x:c>
      <x:c r="D1429" s="21" t="str">
        <x:v>"land"</x:v>
      </x:c>
    </x:row>
    <x:row r="1430" ht="22" customHeight="1">
      <x:c r="A1430" s="21" t="str">
        <x:v>data/pve/pve_monsters.json</x:v>
      </x:c>
      <x:c r="B1430" s="21" t="str">
        <x:v>$/monsters/11/hp</x:v>
      </x:c>
      <x:c r="C1430" s="21" t="str">
        <x:v>int</x:v>
      </x:c>
      <x:c r="D1430" s="21" t="str">
        <x:v>1400</x:v>
      </x:c>
    </x:row>
    <x:row r="1431" ht="22" customHeight="1">
      <x:c r="A1431" s="21" t="str">
        <x:v>data/pve/pve_monsters.json</x:v>
      </x:c>
      <x:c r="B1431" s="21" t="str">
        <x:v>$/monsters/11/atk</x:v>
      </x:c>
      <x:c r="C1431" s="21" t="str">
        <x:v>int</x:v>
      </x:c>
      <x:c r="D1431" s="21" t="str">
        <x:v>44</x:v>
      </x:c>
    </x:row>
    <x:row r="1432" ht="22" customHeight="1">
      <x:c r="A1432" s="21" t="str">
        <x:v>data/pve/pve_monsters.json</x:v>
      </x:c>
      <x:c r="B1432" s="21" t="str">
        <x:v>$/monsters/11/def</x:v>
      </x:c>
      <x:c r="C1432" s="21" t="str">
        <x:v>int</x:v>
      </x:c>
      <x:c r="D1432" s="21" t="str">
        <x:v>20</x:v>
      </x:c>
    </x:row>
    <x:row r="1433" ht="22" customHeight="1">
      <x:c r="A1433" s="21" t="str">
        <x:v>data/pve/pve_monsters.json</x:v>
      </x:c>
      <x:c r="B1433" s="21" t="str">
        <x:v>$/monsters/11/attack_speed</x:v>
      </x:c>
      <x:c r="C1433" s="21" t="str">
        <x:v>float</x:v>
      </x:c>
      <x:c r="D1433" s="21" t="str">
        <x:v>0.7</x:v>
      </x:c>
    </x:row>
    <x:row r="1434" ht="22" customHeight="1">
      <x:c r="A1434" s="21" t="str">
        <x:v>data/pve/pve_monsters.json</x:v>
      </x:c>
      <x:c r="B1434" s="21" t="str">
        <x:v>$/monsters/11/range</x:v>
      </x:c>
      <x:c r="C1434" s="21" t="str">
        <x:v>int</x:v>
      </x:c>
      <x:c r="D1434" s="21" t="str">
        <x:v>1</x:v>
      </x:c>
    </x:row>
    <x:row r="1435" ht="22" customHeight="1">
      <x:c r="A1435" s="21" t="str">
        <x:v>data/pve/pve_monsters.json</x:v>
      </x:c>
      <x:c r="B1435" s="21" t="str">
        <x:v>$/monsters/11/move_speed</x:v>
      </x:c>
      <x:c r="C1435" s="21" t="str">
        <x:v>float</x:v>
      </x:c>
      <x:c r="D1435" s="21" t="str">
        <x:v>2.5</x:v>
      </x:c>
    </x:row>
    <x:row r="1436" ht="22" customHeight="1">
      <x:c r="A1436" s="21" t="str">
        <x:v>data/pve/pve_monsters.json</x:v>
      </x:c>
      <x:c r="B1436" s="21" t="str">
        <x:v>$/monsters/11/skill_id</x:v>
      </x:c>
      <x:c r="C1436" s="21" t="str">
        <x:v>string</x:v>
      </x:c>
      <x:c r="D1436" s="21" t="str">
        <x:v>"earth_slam"</x:v>
      </x:c>
    </x:row>
    <x:row r="1437" ht="22" customHeight="1">
      <x:c r="A1437" s="21" t="str">
        <x:v>data/pve/pve_monsters.json</x:v>
      </x:c>
      <x:c r="B1437" s="21" t="str">
        <x:v>$/monsters/11/skill_cd</x:v>
      </x:c>
      <x:c r="C1437" s="21" t="str">
        <x:v>float</x:v>
      </x:c>
      <x:c r="D1437" s="21" t="str">
        <x:v>8.0</x:v>
      </x:c>
    </x:row>
    <x:row r="1438" ht="22" customHeight="1">
      <x:c r="A1438" s="21" t="str">
        <x:v>data/pve/pve_monsters.json</x:v>
      </x:c>
      <x:c r="B1438" s="21" t="str">
        <x:v>$/monsters/11/skill_atk_pct</x:v>
      </x:c>
      <x:c r="C1438" s="21" t="str">
        <x:v>float</x:v>
      </x:c>
      <x:c r="D1438" s="21" t="str">
        <x:v>1.2</x:v>
      </x:c>
    </x:row>
    <x:row r="1439" ht="22" customHeight="1">
      <x:c r="A1439" s="21" t="str">
        <x:v>data/pve/pve_monsters.json</x:v>
      </x:c>
      <x:c r="B1439" s="21" t="str">
        <x:v>$/monsters/11/stun_sec</x:v>
      </x:c>
      <x:c r="C1439" s="21" t="str">
        <x:v>float</x:v>
      </x:c>
      <x:c r="D1439" s="21" t="str">
        <x:v>1.0</x:v>
      </x:c>
    </x:row>
    <x:row r="1440" ht="22" customHeight="1">
      <x:c r="A1440" s="21" t="str">
        <x:v>data/pve/pve_monsters.json</x:v>
      </x:c>
      <x:c r="B1440" s="21" t="str">
        <x:v>$/monsters/11/model</x:v>
      </x:c>
      <x:c r="C1440" s="21" t="str">
        <x:v>string</x:v>
      </x:c>
      <x:c r="D1440" s="21" t="str">
        <x:v>"res://assets/models/monsters/land/pve_land_mountain_giant_animated/pve_land_mountain_giant_animated.tscn"</x:v>
      </x:c>
    </x:row>
    <x:row r="1441" ht="22" customHeight="1">
      <x:c r="A1441" s="21" t="str">
        <x:v>data/pve/pve_monsters.json</x:v>
      </x:c>
      <x:c r="B1441" s="21" t="str">
        <x:v>$/monsters/11/model_visual_scale</x:v>
      </x:c>
      <x:c r="C1441" s="21" t="str">
        <x:v>float</x:v>
      </x:c>
      <x:c r="D1441" s="21" t="str">
        <x:v>1.0</x:v>
      </x:c>
    </x:row>
    <x:row r="1442" ht="22" customHeight="1">
      <x:c r="A1442" s="21" t="str">
        <x:v>data/pve/pve_monsters.json</x:v>
      </x:c>
      <x:c r="B1442" s="21" t="str">
        <x:v>$/monsters/11/model_base_yaw</x:v>
      </x:c>
      <x:c r="C1442" s="21" t="str">
        <x:v>float</x:v>
      </x:c>
      <x:c r="D1442" s="21" t="str">
        <x:v>180.0</x:v>
      </x:c>
    </x:row>
    <x:row r="1443" ht="22" customHeight="1">
      <x:c r="A1443" s="21" t="str">
        <x:v>data/pve/pve_monsters.json</x:v>
      </x:c>
      <x:c r="B1443" s="21" t="str">
        <x:v>$/monsters/12</x:v>
      </x:c>
      <x:c r="C1443" s="21" t="str">
        <x:v>object</x:v>
      </x:c>
      <x:c r="D1443" s="21" t="str"/>
    </x:row>
    <x:row r="1444" ht="22" customHeight="1">
      <x:c r="A1444" s="21" t="str">
        <x:v>data/pve/pve_monsters.json</x:v>
      </x:c>
      <x:c r="B1444" s="21" t="str">
        <x:v>$/monsters/12/id</x:v>
      </x:c>
      <x:c r="C1444" s="21" t="str">
        <x:v>string</x:v>
      </x:c>
      <x:c r="D1444" s="21" t="str">
        <x:v>"pve_ren_shadow_thief"</x:v>
      </x:c>
    </x:row>
    <x:row r="1445" ht="22" customHeight="1">
      <x:c r="A1445" s="21" t="str">
        <x:v>data/pve/pve_monsters.json</x:v>
      </x:c>
      <x:c r="B1445" s="21" t="str">
        <x:v>$/monsters/12/model_in_place_actions</x:v>
      </x:c>
      <x:c r="C1445" s="21" t="str">
        <x:v>array</x:v>
      </x:c>
      <x:c r="D1445" s="21" t="str"/>
    </x:row>
    <x:row r="1446" ht="22" customHeight="1">
      <x:c r="A1446" s="21" t="str">
        <x:v>data/pve/pve_monsters.json</x:v>
      </x:c>
      <x:c r="B1446" s="21" t="str">
        <x:v>$/monsters/12/model_in_place_actions/0</x:v>
      </x:c>
      <x:c r="C1446" s="21" t="str">
        <x:v>string</x:v>
      </x:c>
      <x:c r="D1446" s="21" t="str">
        <x:v>"attack"</x:v>
      </x:c>
    </x:row>
    <x:row r="1447" ht="22" customHeight="1">
      <x:c r="A1447" s="21" t="str">
        <x:v>data/pve/pve_monsters.json</x:v>
      </x:c>
      <x:c r="B1447" s="21" t="str">
        <x:v>$/monsters/12/name</x:v>
      </x:c>
      <x:c r="C1447" s="21" t="str">
        <x:v>string</x:v>
      </x:c>
      <x:c r="D1447" s="21" t="str">
        <x:v>"影行盗徒"</x:v>
      </x:c>
    </x:row>
    <x:row r="1448" ht="22" customHeight="1">
      <x:c r="A1448" s="21" t="str">
        <x:v>data/pve/pve_monsters.json</x:v>
      </x:c>
      <x:c r="B1448" s="21" t="str">
        <x:v>$/monsters/12/name_en</x:v>
      </x:c>
      <x:c r="C1448" s="21" t="str">
        <x:v>string</x:v>
      </x:c>
      <x:c r="D1448" s="21" t="str">
        <x:v>"Shadow Thief"</x:v>
      </x:c>
    </x:row>
    <x:row r="1449" ht="22" customHeight="1">
      <x:c r="A1449" s="21" t="str">
        <x:v>data/pve/pve_monsters.json</x:v>
      </x:c>
      <x:c r="B1449" s="21" t="str">
        <x:v>$/monsters/12/series</x:v>
      </x:c>
      <x:c r="C1449" s="21" t="str">
        <x:v>string</x:v>
      </x:c>
      <x:c r="D1449" s="21" t="str">
        <x:v>"ren"</x:v>
      </x:c>
    </x:row>
    <x:row r="1450" ht="22" customHeight="1">
      <x:c r="A1450" s="21" t="str">
        <x:v>data/pve/pve_monsters.json</x:v>
      </x:c>
      <x:c r="B1450" s="21" t="str">
        <x:v>$/monsters/12/element</x:v>
      </x:c>
      <x:c r="C1450" s="21" t="str">
        <x:v>string</x:v>
      </x:c>
      <x:c r="D1450" s="21" t="str">
        <x:v>"ren"</x:v>
      </x:c>
    </x:row>
    <x:row r="1451" ht="22" customHeight="1">
      <x:c r="A1451" s="21" t="str">
        <x:v>data/pve/pve_monsters.json</x:v>
      </x:c>
      <x:c r="B1451" s="21" t="str">
        <x:v>$/monsters/12/hp</x:v>
      </x:c>
      <x:c r="C1451" s="21" t="str">
        <x:v>int</x:v>
      </x:c>
      <x:c r="D1451" s="21" t="str">
        <x:v>480</x:v>
      </x:c>
    </x:row>
    <x:row r="1452" ht="22" customHeight="1">
      <x:c r="A1452" s="21" t="str">
        <x:v>data/pve/pve_monsters.json</x:v>
      </x:c>
      <x:c r="B1452" s="21" t="str">
        <x:v>$/monsters/12/atk</x:v>
      </x:c>
      <x:c r="C1452" s="21" t="str">
        <x:v>int</x:v>
      </x:c>
      <x:c r="D1452" s="21" t="str">
        <x:v>37</x:v>
      </x:c>
    </x:row>
    <x:row r="1453" ht="22" customHeight="1">
      <x:c r="A1453" s="21" t="str">
        <x:v>data/pve/pve_monsters.json</x:v>
      </x:c>
      <x:c r="B1453" s="21" t="str">
        <x:v>$/monsters/12/def</x:v>
      </x:c>
      <x:c r="C1453" s="21" t="str">
        <x:v>int</x:v>
      </x:c>
      <x:c r="D1453" s="21" t="str">
        <x:v>4</x:v>
      </x:c>
    </x:row>
    <x:row r="1454" ht="22" customHeight="1">
      <x:c r="A1454" s="21" t="str">
        <x:v>data/pve/pve_monsters.json</x:v>
      </x:c>
      <x:c r="B1454" s="21" t="str">
        <x:v>$/monsters/12/attack_speed</x:v>
      </x:c>
      <x:c r="C1454" s="21" t="str">
        <x:v>float</x:v>
      </x:c>
      <x:c r="D1454" s="21" t="str">
        <x:v>1.2</x:v>
      </x:c>
    </x:row>
    <x:row r="1455" ht="22" customHeight="1">
      <x:c r="A1455" s="21" t="str">
        <x:v>data/pve/pve_monsters.json</x:v>
      </x:c>
      <x:c r="B1455" s="21" t="str">
        <x:v>$/monsters/12/range</x:v>
      </x:c>
      <x:c r="C1455" s="21" t="str">
        <x:v>int</x:v>
      </x:c>
      <x:c r="D1455" s="21" t="str">
        <x:v>1</x:v>
      </x:c>
    </x:row>
    <x:row r="1456" ht="22" customHeight="1">
      <x:c r="A1456" s="21" t="str">
        <x:v>data/pve/pve_monsters.json</x:v>
      </x:c>
      <x:c r="B1456" s="21" t="str">
        <x:v>$/monsters/12/move_speed</x:v>
      </x:c>
      <x:c r="C1456" s="21" t="str">
        <x:v>float</x:v>
      </x:c>
      <x:c r="D1456" s="21" t="str">
        <x:v>3.6</x:v>
      </x:c>
    </x:row>
    <x:row r="1457" ht="22" customHeight="1">
      <x:c r="A1457" s="21" t="str">
        <x:v>data/pve/pve_monsters.json</x:v>
      </x:c>
      <x:c r="B1457" s="21" t="str">
        <x:v>$/monsters/12/skill_id</x:v>
      </x:c>
      <x:c r="C1457" s="21" t="str">
        <x:v>string</x:v>
      </x:c>
      <x:c r="D1457" s="21" t="str">
        <x:v>"backstab"</x:v>
      </x:c>
    </x:row>
    <x:row r="1458" ht="22" customHeight="1">
      <x:c r="A1458" s="21" t="str">
        <x:v>data/pve/pve_monsters.json</x:v>
      </x:c>
      <x:c r="B1458" s="21" t="str">
        <x:v>$/monsters/12/skill_cd</x:v>
      </x:c>
      <x:c r="C1458" s="21" t="str">
        <x:v>float</x:v>
      </x:c>
      <x:c r="D1458" s="21" t="str">
        <x:v>8.0</x:v>
      </x:c>
    </x:row>
    <x:row r="1459" ht="22" customHeight="1">
      <x:c r="A1459" s="21" t="str">
        <x:v>data/pve/pve_monsters.json</x:v>
      </x:c>
      <x:c r="B1459" s="21" t="str">
        <x:v>$/monsters/12/skill_atk_pct</x:v>
      </x:c>
      <x:c r="C1459" s="21" t="str">
        <x:v>float</x:v>
      </x:c>
      <x:c r="D1459" s="21" t="str">
        <x:v>2.0</x:v>
      </x:c>
    </x:row>
    <x:row r="1460" ht="22" customHeight="1">
      <x:c r="A1460" s="21" t="str">
        <x:v>data/pve/pve_monsters.json</x:v>
      </x:c>
      <x:c r="B1460" s="21" t="str">
        <x:v>$/monsters/12/model</x:v>
      </x:c>
      <x:c r="C1460" s="21" t="str">
        <x:v>string</x:v>
      </x:c>
      <x:c r="D1460" s="21" t="str">
        <x:v>"res://assets/models/monsters/ren/pve_ren_shadow_thief_animated/pve_ren_shadow_thief_animated.tscn"</x:v>
      </x:c>
    </x:row>
    <x:row r="1461" ht="22" customHeight="1">
      <x:c r="A1461" s="21" t="str">
        <x:v>data/pve/pve_monsters.json</x:v>
      </x:c>
      <x:c r="B1461" s="21" t="str">
        <x:v>$/monsters/12/model_visual_scale</x:v>
      </x:c>
      <x:c r="C1461" s="21" t="str">
        <x:v>float</x:v>
      </x:c>
      <x:c r="D1461" s="21" t="str">
        <x:v>1.0</x:v>
      </x:c>
    </x:row>
    <x:row r="1462" ht="22" customHeight="1">
      <x:c r="A1462" s="21" t="str">
        <x:v>data/pve/pve_monsters.json</x:v>
      </x:c>
      <x:c r="B1462" s="21" t="str">
        <x:v>$/monsters/12/model_base_yaw</x:v>
      </x:c>
      <x:c r="C1462" s="21" t="str">
        <x:v>float</x:v>
      </x:c>
      <x:c r="D1462" s="21" t="str">
        <x:v>180.0</x:v>
      </x:c>
    </x:row>
    <x:row r="1463" ht="22" customHeight="1">
      <x:c r="A1463" s="21" t="str">
        <x:v>data/pve/pve_monsters.json</x:v>
      </x:c>
      <x:c r="B1463" s="21" t="str">
        <x:v>$/monsters/13</x:v>
      </x:c>
      <x:c r="C1463" s="21" t="str">
        <x:v>object</x:v>
      </x:c>
      <x:c r="D1463" s="21" t="str"/>
    </x:row>
    <x:row r="1464" ht="22" customHeight="1">
      <x:c r="A1464" s="21" t="str">
        <x:v>data/pve/pve_monsters.json</x:v>
      </x:c>
      <x:c r="B1464" s="21" t="str">
        <x:v>$/monsters/13/id</x:v>
      </x:c>
      <x:c r="C1464" s="21" t="str">
        <x:v>string</x:v>
      </x:c>
      <x:c r="D1464" s="21" t="str">
        <x:v>"pve_ren_voodoo_witch"</x:v>
      </x:c>
    </x:row>
    <x:row r="1465" ht="22" customHeight="1">
      <x:c r="A1465" s="21" t="str">
        <x:v>data/pve/pve_monsters.json</x:v>
      </x:c>
      <x:c r="B1465" s="21" t="str">
        <x:v>$/monsters/13/model_in_place_actions</x:v>
      </x:c>
      <x:c r="C1465" s="21" t="str">
        <x:v>array</x:v>
      </x:c>
      <x:c r="D1465" s="21" t="str"/>
    </x:row>
    <x:row r="1466" ht="22" customHeight="1">
      <x:c r="A1466" s="21" t="str">
        <x:v>data/pve/pve_monsters.json</x:v>
      </x:c>
      <x:c r="B1466" s="21" t="str">
        <x:v>$/monsters/13/model_in_place_actions/0</x:v>
      </x:c>
      <x:c r="C1466" s="21" t="str">
        <x:v>string</x:v>
      </x:c>
      <x:c r="D1466" s="21" t="str">
        <x:v>"attack"</x:v>
      </x:c>
    </x:row>
    <x:row r="1467" ht="22" customHeight="1">
      <x:c r="A1467" s="21" t="str">
        <x:v>data/pve/pve_monsters.json</x:v>
      </x:c>
      <x:c r="B1467" s="21" t="str">
        <x:v>$/monsters/13/name</x:v>
      </x:c>
      <x:c r="C1467" s="21" t="str">
        <x:v>string</x:v>
      </x:c>
      <x:c r="D1467" s="21" t="str">
        <x:v>"巫毒术士"</x:v>
      </x:c>
    </x:row>
    <x:row r="1468" ht="22" customHeight="1">
      <x:c r="A1468" s="21" t="str">
        <x:v>data/pve/pve_monsters.json</x:v>
      </x:c>
      <x:c r="B1468" s="21" t="str">
        <x:v>$/monsters/13/name_en</x:v>
      </x:c>
      <x:c r="C1468" s="21" t="str">
        <x:v>string</x:v>
      </x:c>
      <x:c r="D1468" s="21" t="str">
        <x:v>"Voodoo Witch"</x:v>
      </x:c>
    </x:row>
    <x:row r="1469" ht="22" customHeight="1">
      <x:c r="A1469" s="21" t="str">
        <x:v>data/pve/pve_monsters.json</x:v>
      </x:c>
      <x:c r="B1469" s="21" t="str">
        <x:v>$/monsters/13/series</x:v>
      </x:c>
      <x:c r="C1469" s="21" t="str">
        <x:v>string</x:v>
      </x:c>
      <x:c r="D1469" s="21" t="str">
        <x:v>"ren"</x:v>
      </x:c>
    </x:row>
    <x:row r="1470" ht="22" customHeight="1">
      <x:c r="A1470" s="21" t="str">
        <x:v>data/pve/pve_monsters.json</x:v>
      </x:c>
      <x:c r="B1470" s="21" t="str">
        <x:v>$/monsters/13/element</x:v>
      </x:c>
      <x:c r="C1470" s="21" t="str">
        <x:v>string</x:v>
      </x:c>
      <x:c r="D1470" s="21" t="str">
        <x:v>"ren"</x:v>
      </x:c>
    </x:row>
    <x:row r="1471" ht="22" customHeight="1">
      <x:c r="A1471" s="21" t="str">
        <x:v>data/pve/pve_monsters.json</x:v>
      </x:c>
      <x:c r="B1471" s="21" t="str">
        <x:v>$/monsters/13/hp</x:v>
      </x:c>
      <x:c r="C1471" s="21" t="str">
        <x:v>int</x:v>
      </x:c>
      <x:c r="D1471" s="21" t="str">
        <x:v>560</x:v>
      </x:c>
    </x:row>
    <x:row r="1472" ht="22" customHeight="1">
      <x:c r="A1472" s="21" t="str">
        <x:v>data/pve/pve_monsters.json</x:v>
      </x:c>
      <x:c r="B1472" s="21" t="str">
        <x:v>$/monsters/13/atk</x:v>
      </x:c>
      <x:c r="C1472" s="21" t="str">
        <x:v>int</x:v>
      </x:c>
      <x:c r="D1472" s="21" t="str">
        <x:v>31</x:v>
      </x:c>
    </x:row>
    <x:row r="1473" ht="22" customHeight="1">
      <x:c r="A1473" s="21" t="str">
        <x:v>data/pve/pve_monsters.json</x:v>
      </x:c>
      <x:c r="B1473" s="21" t="str">
        <x:v>$/monsters/13/def</x:v>
      </x:c>
      <x:c r="C1473" s="21" t="str">
        <x:v>int</x:v>
      </x:c>
      <x:c r="D1473" s="21" t="str">
        <x:v>5</x:v>
      </x:c>
    </x:row>
    <x:row r="1474" ht="22" customHeight="1">
      <x:c r="A1474" s="21" t="str">
        <x:v>data/pve/pve_monsters.json</x:v>
      </x:c>
      <x:c r="B1474" s="21" t="str">
        <x:v>$/monsters/13/attack_speed</x:v>
      </x:c>
      <x:c r="C1474" s="21" t="str">
        <x:v>float</x:v>
      </x:c>
      <x:c r="D1474" s="21" t="str">
        <x:v>1.0</x:v>
      </x:c>
    </x:row>
    <x:row r="1475" ht="22" customHeight="1">
      <x:c r="A1475" s="21" t="str">
        <x:v>data/pve/pve_monsters.json</x:v>
      </x:c>
      <x:c r="B1475" s="21" t="str">
        <x:v>$/monsters/13/range</x:v>
      </x:c>
      <x:c r="C1475" s="21" t="str">
        <x:v>int</x:v>
      </x:c>
      <x:c r="D1475" s="21" t="str">
        <x:v>4</x:v>
      </x:c>
    </x:row>
    <x:row r="1476" ht="22" customHeight="1">
      <x:c r="A1476" s="21" t="str">
        <x:v>data/pve/pve_monsters.json</x:v>
      </x:c>
      <x:c r="B1476" s="21" t="str">
        <x:v>$/monsters/13/move_speed</x:v>
      </x:c>
      <x:c r="C1476" s="21" t="str">
        <x:v>float</x:v>
      </x:c>
      <x:c r="D1476" s="21" t="str">
        <x:v>3.2</x:v>
      </x:c>
    </x:row>
    <x:row r="1477" ht="22" customHeight="1">
      <x:c r="A1477" s="21" t="str">
        <x:v>data/pve/pve_monsters.json</x:v>
      </x:c>
      <x:c r="B1477" s="21" t="str">
        <x:v>$/monsters/13/skill_id</x:v>
      </x:c>
      <x:c r="C1477" s="21" t="str">
        <x:v>string</x:v>
      </x:c>
      <x:c r="D1477" s="21" t="str">
        <x:v>"curse"</x:v>
      </x:c>
    </x:row>
    <x:row r="1478" ht="22" customHeight="1">
      <x:c r="A1478" s="21" t="str">
        <x:v>data/pve/pve_monsters.json</x:v>
      </x:c>
      <x:c r="B1478" s="21" t="str">
        <x:v>$/monsters/13/skill_cd</x:v>
      </x:c>
      <x:c r="C1478" s="21" t="str">
        <x:v>float</x:v>
      </x:c>
      <x:c r="D1478" s="21" t="str">
        <x:v>8.0</x:v>
      </x:c>
    </x:row>
    <x:row r="1479" ht="22" customHeight="1">
      <x:c r="A1479" s="21" t="str">
        <x:v>data/pve/pve_monsters.json</x:v>
      </x:c>
      <x:c r="B1479" s="21" t="str">
        <x:v>$/monsters/13/attack_down_pct</x:v>
      </x:c>
      <x:c r="C1479" s="21" t="str">
        <x:v>float</x:v>
      </x:c>
      <x:c r="D1479" s="21" t="str">
        <x:v>0.05</x:v>
      </x:c>
    </x:row>
    <x:row r="1480" ht="22" customHeight="1">
      <x:c r="A1480" s="21" t="str">
        <x:v>data/pve/pve_monsters.json</x:v>
      </x:c>
      <x:c r="B1480" s="21" t="str">
        <x:v>$/monsters/13/max_stacks</x:v>
      </x:c>
      <x:c r="C1480" s="21" t="str">
        <x:v>int</x:v>
      </x:c>
      <x:c r="D1480" s="21" t="str">
        <x:v>5</x:v>
      </x:c>
    </x:row>
    <x:row r="1481" ht="22" customHeight="1">
      <x:c r="A1481" s="21" t="str">
        <x:v>data/pve/pve_monsters.json</x:v>
      </x:c>
      <x:c r="B1481" s="21" t="str">
        <x:v>$/monsters/13/skill_damage</x:v>
      </x:c>
      <x:c r="C1481" s="21" t="str">
        <x:v>int</x:v>
      </x:c>
      <x:c r="D1481" s="21" t="str">
        <x:v>90</x:v>
      </x:c>
    </x:row>
    <x:row r="1482" ht="22" customHeight="1">
      <x:c r="A1482" s="21" t="str">
        <x:v>data/pve/pve_monsters.json</x:v>
      </x:c>
      <x:c r="B1482" s="21" t="str">
        <x:v>$/monsters/13/model</x:v>
      </x:c>
      <x:c r="C1482" s="21" t="str">
        <x:v>string</x:v>
      </x:c>
      <x:c r="D1482" s="21" t="str">
        <x:v>"res://assets/models/monsters/ren/pve_ren_voodoo_witch_animated/pve_ren_voodoo_witch_animated.tscn"</x:v>
      </x:c>
    </x:row>
    <x:row r="1483" ht="22" customHeight="1">
      <x:c r="A1483" s="21" t="str">
        <x:v>data/pve/pve_monsters.json</x:v>
      </x:c>
      <x:c r="B1483" s="21" t="str">
        <x:v>$/monsters/13/model_visual_scale</x:v>
      </x:c>
      <x:c r="C1483" s="21" t="str">
        <x:v>float</x:v>
      </x:c>
      <x:c r="D1483" s="21" t="str">
        <x:v>1.0</x:v>
      </x:c>
    </x:row>
    <x:row r="1484" ht="22" customHeight="1">
      <x:c r="A1484" s="21" t="str">
        <x:v>data/pve/pve_monsters.json</x:v>
      </x:c>
      <x:c r="B1484" s="21" t="str">
        <x:v>$/monsters/13/model_base_yaw</x:v>
      </x:c>
      <x:c r="C1484" s="21" t="str">
        <x:v>float</x:v>
      </x:c>
      <x:c r="D1484" s="21" t="str">
        <x:v>180.0</x:v>
      </x:c>
    </x:row>
    <x:row r="1485" ht="22" customHeight="1">
      <x:c r="A1485" s="21" t="str">
        <x:v>data/pve/pve_monsters.json</x:v>
      </x:c>
      <x:c r="B1485" s="21" t="str">
        <x:v>$/monsters/14</x:v>
      </x:c>
      <x:c r="C1485" s="21" t="str">
        <x:v>object</x:v>
      </x:c>
      <x:c r="D1485" s="21" t="str"/>
    </x:row>
    <x:row r="1486" ht="22" customHeight="1">
      <x:c r="A1486" s="21" t="str">
        <x:v>data/pve/pve_monsters.json</x:v>
      </x:c>
      <x:c r="B1486" s="21" t="str">
        <x:v>$/monsters/14/id</x:v>
      </x:c>
      <x:c r="C1486" s="21" t="str">
        <x:v>string</x:v>
      </x:c>
      <x:c r="D1486" s="21" t="str">
        <x:v>"pve_ren_wandering_swordsman"</x:v>
      </x:c>
    </x:row>
    <x:row r="1487" ht="22" customHeight="1">
      <x:c r="A1487" s="21" t="str">
        <x:v>data/pve/pve_monsters.json</x:v>
      </x:c>
      <x:c r="B1487" s="21" t="str">
        <x:v>$/monsters/14/model_in_place_actions</x:v>
      </x:c>
      <x:c r="C1487" s="21" t="str">
        <x:v>array</x:v>
      </x:c>
      <x:c r="D1487" s="21" t="str"/>
    </x:row>
    <x:row r="1488" ht="22" customHeight="1">
      <x:c r="A1488" s="21" t="str">
        <x:v>data/pve/pve_monsters.json</x:v>
      </x:c>
      <x:c r="B1488" s="21" t="str">
        <x:v>$/monsters/14/model_in_place_actions/0</x:v>
      </x:c>
      <x:c r="C1488" s="21" t="str">
        <x:v>string</x:v>
      </x:c>
      <x:c r="D1488" s="21" t="str">
        <x:v>"attack"</x:v>
      </x:c>
    </x:row>
    <x:row r="1489" ht="22" customHeight="1">
      <x:c r="A1489" s="21" t="str">
        <x:v>data/pve/pve_monsters.json</x:v>
      </x:c>
      <x:c r="B1489" s="21" t="str">
        <x:v>$/monsters/14/name</x:v>
      </x:c>
      <x:c r="C1489" s="21" t="str">
        <x:v>string</x:v>
      </x:c>
      <x:c r="D1489" s="21" t="str">
        <x:v>"流浪剑客"</x:v>
      </x:c>
    </x:row>
    <x:row r="1490" ht="22" customHeight="1">
      <x:c r="A1490" s="21" t="str">
        <x:v>data/pve/pve_monsters.json</x:v>
      </x:c>
      <x:c r="B1490" s="21" t="str">
        <x:v>$/monsters/14/name_en</x:v>
      </x:c>
      <x:c r="C1490" s="21" t="str">
        <x:v>string</x:v>
      </x:c>
      <x:c r="D1490" s="21" t="str">
        <x:v>"Wandering Swordsman"</x:v>
      </x:c>
    </x:row>
    <x:row r="1491" ht="22" customHeight="1">
      <x:c r="A1491" s="21" t="str">
        <x:v>data/pve/pve_monsters.json</x:v>
      </x:c>
      <x:c r="B1491" s="21" t="str">
        <x:v>$/monsters/14/series</x:v>
      </x:c>
      <x:c r="C1491" s="21" t="str">
        <x:v>string</x:v>
      </x:c>
      <x:c r="D1491" s="21" t="str">
        <x:v>"ren"</x:v>
      </x:c>
    </x:row>
    <x:row r="1492" ht="22" customHeight="1">
      <x:c r="A1492" s="21" t="str">
        <x:v>data/pve/pve_monsters.json</x:v>
      </x:c>
      <x:c r="B1492" s="21" t="str">
        <x:v>$/monsters/14/element</x:v>
      </x:c>
      <x:c r="C1492" s="21" t="str">
        <x:v>string</x:v>
      </x:c>
      <x:c r="D1492" s="21" t="str">
        <x:v>"ren"</x:v>
      </x:c>
    </x:row>
    <x:row r="1493" ht="22" customHeight="1">
      <x:c r="A1493" s="21" t="str">
        <x:v>data/pve/pve_monsters.json</x:v>
      </x:c>
      <x:c r="B1493" s="21" t="str">
        <x:v>$/monsters/14/hp</x:v>
      </x:c>
      <x:c r="C1493" s="21" t="str">
        <x:v>int</x:v>
      </x:c>
      <x:c r="D1493" s="21" t="str">
        <x:v>640</x:v>
      </x:c>
    </x:row>
    <x:row r="1494" ht="22" customHeight="1">
      <x:c r="A1494" s="21" t="str">
        <x:v>data/pve/pve_monsters.json</x:v>
      </x:c>
      <x:c r="B1494" s="21" t="str">
        <x:v>$/monsters/14/atk</x:v>
      </x:c>
      <x:c r="C1494" s="21" t="str">
        <x:v>int</x:v>
      </x:c>
      <x:c r="D1494" s="21" t="str">
        <x:v>35</x:v>
      </x:c>
    </x:row>
    <x:row r="1495" ht="22" customHeight="1">
      <x:c r="A1495" s="21" t="str">
        <x:v>data/pve/pve_monsters.json</x:v>
      </x:c>
      <x:c r="B1495" s="21" t="str">
        <x:v>$/monsters/14/def</x:v>
      </x:c>
      <x:c r="C1495" s="21" t="str">
        <x:v>int</x:v>
      </x:c>
      <x:c r="D1495" s="21" t="str">
        <x:v>10</x:v>
      </x:c>
    </x:row>
    <x:row r="1496" ht="22" customHeight="1">
      <x:c r="A1496" s="21" t="str">
        <x:v>data/pve/pve_monsters.json</x:v>
      </x:c>
      <x:c r="B1496" s="21" t="str">
        <x:v>$/monsters/14/attack_speed</x:v>
      </x:c>
      <x:c r="C1496" s="21" t="str">
        <x:v>float</x:v>
      </x:c>
      <x:c r="D1496" s="21" t="str">
        <x:v>0.95</x:v>
      </x:c>
    </x:row>
    <x:row r="1497" ht="22" customHeight="1">
      <x:c r="A1497" s="21" t="str">
        <x:v>data/pve/pve_monsters.json</x:v>
      </x:c>
      <x:c r="B1497" s="21" t="str">
        <x:v>$/monsters/14/range</x:v>
      </x:c>
      <x:c r="C1497" s="21" t="str">
        <x:v>int</x:v>
      </x:c>
      <x:c r="D1497" s="21" t="str">
        <x:v>1</x:v>
      </x:c>
    </x:row>
    <x:row r="1498" ht="22" customHeight="1">
      <x:c r="A1498" s="21" t="str">
        <x:v>data/pve/pve_monsters.json</x:v>
      </x:c>
      <x:c r="B1498" s="21" t="str">
        <x:v>$/monsters/14/move_speed</x:v>
      </x:c>
      <x:c r="C1498" s="21" t="str">
        <x:v>float</x:v>
      </x:c>
      <x:c r="D1498" s="21" t="str">
        <x:v>3.1</x:v>
      </x:c>
    </x:row>
    <x:row r="1499" ht="22" customHeight="1">
      <x:c r="A1499" s="21" t="str">
        <x:v>data/pve/pve_monsters.json</x:v>
      </x:c>
      <x:c r="B1499" s="21" t="str">
        <x:v>$/monsters/14/skill_id</x:v>
      </x:c>
      <x:c r="C1499" s="21" t="str">
        <x:v>string</x:v>
      </x:c>
      <x:c r="D1499" s="21" t="str">
        <x:v>"counter_slash"</x:v>
      </x:c>
    </x:row>
    <x:row r="1500" ht="22" customHeight="1">
      <x:c r="A1500" s="21" t="str">
        <x:v>data/pve/pve_monsters.json</x:v>
      </x:c>
      <x:c r="B1500" s="21" t="str">
        <x:v>$/monsters/14/skill_cd</x:v>
      </x:c>
      <x:c r="C1500" s="21" t="str">
        <x:v>float</x:v>
      </x:c>
      <x:c r="D1500" s="21" t="str">
        <x:v>8.0</x:v>
      </x:c>
    </x:row>
    <x:row r="1501" ht="22" customHeight="1">
      <x:c r="A1501" s="21" t="str">
        <x:v>data/pve/pve_monsters.json</x:v>
      </x:c>
      <x:c r="B1501" s="21" t="str">
        <x:v>$/monsters/14/counter_atk_pct</x:v>
      </x:c>
      <x:c r="C1501" s="21" t="str">
        <x:v>float</x:v>
      </x:c>
      <x:c r="D1501" s="21" t="str">
        <x:v>1.5</x:v>
      </x:c>
    </x:row>
    <x:row r="1502" ht="22" customHeight="1">
      <x:c r="A1502" s="21" t="str">
        <x:v>data/pve/pve_monsters.json</x:v>
      </x:c>
      <x:c r="B1502" s="21" t="str">
        <x:v>$/monsters/14/model</x:v>
      </x:c>
      <x:c r="C1502" s="21" t="str">
        <x:v>string</x:v>
      </x:c>
      <x:c r="D1502" s="21" t="str">
        <x:v>"res://assets/models/monsters/ren/pve_ren_wandering_swordsman_animated/pve_ren_wandering_swordsman_animated.tscn"</x:v>
      </x:c>
    </x:row>
    <x:row r="1503" ht="22" customHeight="1">
      <x:c r="A1503" s="21" t="str">
        <x:v>data/pve/pve_monsters.json</x:v>
      </x:c>
      <x:c r="B1503" s="21" t="str">
        <x:v>$/monsters/14/model_visual_scale</x:v>
      </x:c>
      <x:c r="C1503" s="21" t="str">
        <x:v>float</x:v>
      </x:c>
      <x:c r="D1503" s="21" t="str">
        <x:v>1.0</x:v>
      </x:c>
    </x:row>
    <x:row r="1504" ht="22" customHeight="1">
      <x:c r="A1504" s="21" t="str">
        <x:v>data/pve/pve_monsters.json</x:v>
      </x:c>
      <x:c r="B1504" s="21" t="str">
        <x:v>$/monsters/14/model_base_yaw</x:v>
      </x:c>
      <x:c r="C1504" s="21" t="str">
        <x:v>float</x:v>
      </x:c>
      <x:c r="D1504" s="21" t="str">
        <x:v>180.0</x:v>
      </x:c>
    </x:row>
    <x:row r="1505" ht="22" customHeight="1">
      <x:c r="A1505" s="21" t="str">
        <x:v>data/pve/pve_monsters.json</x:v>
      </x:c>
      <x:c r="B1505" s="21" t="str">
        <x:v>$/monsters/15</x:v>
      </x:c>
      <x:c r="C1505" s="21" t="str">
        <x:v>object</x:v>
      </x:c>
      <x:c r="D1505" s="21" t="str"/>
    </x:row>
    <x:row r="1506" ht="22" customHeight="1">
      <x:c r="A1506" s="21" t="str">
        <x:v>data/pve/pve_monsters.json</x:v>
      </x:c>
      <x:c r="B1506" s="21" t="str">
        <x:v>$/monsters/15/id</x:v>
      </x:c>
      <x:c r="C1506" s="21" t="str">
        <x:v>string</x:v>
      </x:c>
      <x:c r="D1506" s="21" t="str">
        <x:v>"pve_ren_poison_doctor"</x:v>
      </x:c>
    </x:row>
    <x:row r="1507" ht="22" customHeight="1">
      <x:c r="A1507" s="21" t="str">
        <x:v>data/pve/pve_monsters.json</x:v>
      </x:c>
      <x:c r="B1507" s="21" t="str">
        <x:v>$/monsters/15/model_in_place_actions</x:v>
      </x:c>
      <x:c r="C1507" s="21" t="str">
        <x:v>array</x:v>
      </x:c>
      <x:c r="D1507" s="21" t="str"/>
    </x:row>
    <x:row r="1508" ht="22" customHeight="1">
      <x:c r="A1508" s="21" t="str">
        <x:v>data/pve/pve_monsters.json</x:v>
      </x:c>
      <x:c r="B1508" s="21" t="str">
        <x:v>$/monsters/15/model_in_place_actions/0</x:v>
      </x:c>
      <x:c r="C1508" s="21" t="str">
        <x:v>string</x:v>
      </x:c>
      <x:c r="D1508" s="21" t="str">
        <x:v>"attack"</x:v>
      </x:c>
    </x:row>
    <x:row r="1509" ht="22" customHeight="1">
      <x:c r="A1509" s="21" t="str">
        <x:v>data/pve/pve_monsters.json</x:v>
      </x:c>
      <x:c r="B1509" s="21" t="str">
        <x:v>$/monsters/15/name</x:v>
      </x:c>
      <x:c r="C1509" s="21" t="str">
        <x:v>string</x:v>
      </x:c>
      <x:c r="D1509" s="21" t="str">
        <x:v>"药毒医师"</x:v>
      </x:c>
    </x:row>
    <x:row r="1510" ht="22" customHeight="1">
      <x:c r="A1510" s="21" t="str">
        <x:v>data/pve/pve_monsters.json</x:v>
      </x:c>
      <x:c r="B1510" s="21" t="str">
        <x:v>$/monsters/15/name_en</x:v>
      </x:c>
      <x:c r="C1510" s="21" t="str">
        <x:v>string</x:v>
      </x:c>
      <x:c r="D1510" s="21" t="str">
        <x:v>"Plague Doctor"</x:v>
      </x:c>
    </x:row>
    <x:row r="1511" ht="22" customHeight="1">
      <x:c r="A1511" s="21" t="str">
        <x:v>data/pve/pve_monsters.json</x:v>
      </x:c>
      <x:c r="B1511" s="21" t="str">
        <x:v>$/monsters/15/series</x:v>
      </x:c>
      <x:c r="C1511" s="21" t="str">
        <x:v>string</x:v>
      </x:c>
      <x:c r="D1511" s="21" t="str">
        <x:v>"ren"</x:v>
      </x:c>
    </x:row>
    <x:row r="1512" ht="22" customHeight="1">
      <x:c r="A1512" s="21" t="str">
        <x:v>data/pve/pve_monsters.json</x:v>
      </x:c>
      <x:c r="B1512" s="21" t="str">
        <x:v>$/monsters/15/element</x:v>
      </x:c>
      <x:c r="C1512" s="21" t="str">
        <x:v>string</x:v>
      </x:c>
      <x:c r="D1512" s="21" t="str">
        <x:v>"ren"</x:v>
      </x:c>
    </x:row>
    <x:row r="1513" ht="22" customHeight="1">
      <x:c r="A1513" s="21" t="str">
        <x:v>data/pve/pve_monsters.json</x:v>
      </x:c>
      <x:c r="B1513" s="21" t="str">
        <x:v>$/monsters/15/hp</x:v>
      </x:c>
      <x:c r="C1513" s="21" t="str">
        <x:v>int</x:v>
      </x:c>
      <x:c r="D1513" s="21" t="str">
        <x:v>780</x:v>
      </x:c>
    </x:row>
    <x:row r="1514" ht="22" customHeight="1">
      <x:c r="A1514" s="21" t="str">
        <x:v>data/pve/pve_monsters.json</x:v>
      </x:c>
      <x:c r="B1514" s="21" t="str">
        <x:v>$/monsters/15/atk</x:v>
      </x:c>
      <x:c r="C1514" s="21" t="str">
        <x:v>int</x:v>
      </x:c>
      <x:c r="D1514" s="21" t="str">
        <x:v>42</x:v>
      </x:c>
    </x:row>
    <x:row r="1515" ht="22" customHeight="1">
      <x:c r="A1515" s="21" t="str">
        <x:v>data/pve/pve_monsters.json</x:v>
      </x:c>
      <x:c r="B1515" s="21" t="str">
        <x:v>$/monsters/15/def</x:v>
      </x:c>
      <x:c r="C1515" s="21" t="str">
        <x:v>int</x:v>
      </x:c>
      <x:c r="D1515" s="21" t="str">
        <x:v>6</x:v>
      </x:c>
    </x:row>
    <x:row r="1516" ht="22" customHeight="1">
      <x:c r="A1516" s="21" t="str">
        <x:v>data/pve/pve_monsters.json</x:v>
      </x:c>
      <x:c r="B1516" s="21" t="str">
        <x:v>$/monsters/15/attack_speed</x:v>
      </x:c>
      <x:c r="C1516" s="21" t="str">
        <x:v>float</x:v>
      </x:c>
      <x:c r="D1516" s="21" t="str">
        <x:v>1.0</x:v>
      </x:c>
    </x:row>
    <x:row r="1517" ht="22" customHeight="1">
      <x:c r="A1517" s="21" t="str">
        <x:v>data/pve/pve_monsters.json</x:v>
      </x:c>
      <x:c r="B1517" s="21" t="str">
        <x:v>$/monsters/15/range</x:v>
      </x:c>
      <x:c r="C1517" s="21" t="str">
        <x:v>int</x:v>
      </x:c>
      <x:c r="D1517" s="21" t="str">
        <x:v>4</x:v>
      </x:c>
    </x:row>
    <x:row r="1518" ht="22" customHeight="1">
      <x:c r="A1518" s="21" t="str">
        <x:v>data/pve/pve_monsters.json</x:v>
      </x:c>
      <x:c r="B1518" s="21" t="str">
        <x:v>$/monsters/15/move_speed</x:v>
      </x:c>
      <x:c r="C1518" s="21" t="str">
        <x:v>float</x:v>
      </x:c>
      <x:c r="D1518" s="21" t="str">
        <x:v>3.1</x:v>
      </x:c>
    </x:row>
    <x:row r="1519" ht="22" customHeight="1">
      <x:c r="A1519" s="21" t="str">
        <x:v>data/pve/pve_monsters.json</x:v>
      </x:c>
      <x:c r="B1519" s="21" t="str">
        <x:v>$/monsters/15/skill_id</x:v>
      </x:c>
      <x:c r="C1519" s="21" t="str">
        <x:v>string</x:v>
      </x:c>
      <x:c r="D1519" s="21" t="str">
        <x:v>"none"</x:v>
      </x:c>
    </x:row>
    <x:row r="1520" ht="22" customHeight="1">
      <x:c r="A1520" s="21" t="str">
        <x:v>data/pve/pve_monsters.json</x:v>
      </x:c>
      <x:c r="B1520" s="21" t="str">
        <x:v>$/monsters/15/model</x:v>
      </x:c>
      <x:c r="C1520" s="21" t="str">
        <x:v>string</x:v>
      </x:c>
      <x:c r="D1520" s="21" t="str">
        <x:v>"res://assets/models/monsters/ren/pve_ren_poison_doctor_animated/pve_ren_poison_doctor_animated.tscn"</x:v>
      </x:c>
    </x:row>
    <x:row r="1521" ht="22" customHeight="1">
      <x:c r="A1521" s="21" t="str">
        <x:v>data/pve/pve_monsters.json</x:v>
      </x:c>
      <x:c r="B1521" s="21" t="str">
        <x:v>$/monsters/15/model_visual_scale</x:v>
      </x:c>
      <x:c r="C1521" s="21" t="str">
        <x:v>float</x:v>
      </x:c>
      <x:c r="D1521" s="21" t="str">
        <x:v>1.0</x:v>
      </x:c>
    </x:row>
    <x:row r="1522" ht="22" customHeight="1">
      <x:c r="A1522" s="21" t="str">
        <x:v>data/pve/pve_monsters.json</x:v>
      </x:c>
      <x:c r="B1522" s="21" t="str">
        <x:v>$/monsters/15/model_base_yaw</x:v>
      </x:c>
      <x:c r="C1522" s="21" t="str">
        <x:v>float</x:v>
      </x:c>
      <x:c r="D1522" s="21" t="str">
        <x:v>180.0</x:v>
      </x:c>
    </x:row>
    <x:row r="1523" ht="22" customHeight="1">
      <x:c r="A1523" s="21" t="str">
        <x:v>data/boss/bosses.json</x:v>
      </x:c>
      <x:c r="B1523" s="21" t="str">
        <x:v>$</x:v>
      </x:c>
      <x:c r="C1523" s="21" t="str">
        <x:v>object</x:v>
      </x:c>
      <x:c r="D1523" s="21" t="str"/>
    </x:row>
    <x:row r="1524" ht="22" customHeight="1">
      <x:c r="A1524" s="21" t="str">
        <x:v>data/boss/bosses.json</x:v>
      </x:c>
      <x:c r="B1524" s="21" t="str">
        <x:v>$/boss_rounds</x:v>
      </x:c>
      <x:c r="C1524" s="21" t="str">
        <x:v>array</x:v>
      </x:c>
      <x:c r="D1524" s="21" t="str"/>
    </x:row>
    <x:row r="1525" ht="22" customHeight="1">
      <x:c r="A1525" s="21" t="str">
        <x:v>data/boss/bosses.json</x:v>
      </x:c>
      <x:c r="B1525" s="21" t="str">
        <x:v>$/boss_rounds/0</x:v>
      </x:c>
      <x:c r="C1525" s="21" t="str">
        <x:v>int</x:v>
      </x:c>
      <x:c r="D1525" s="21" t="str">
        <x:v>5</x:v>
      </x:c>
    </x:row>
    <x:row r="1526" ht="22" customHeight="1">
      <x:c r="A1526" s="21" t="str">
        <x:v>data/boss/bosses.json</x:v>
      </x:c>
      <x:c r="B1526" s="21" t="str">
        <x:v>$/boss_rounds/1</x:v>
      </x:c>
      <x:c r="C1526" s="21" t="str">
        <x:v>int</x:v>
      </x:c>
      <x:c r="D1526" s="21" t="str">
        <x:v>10</x:v>
      </x:c>
    </x:row>
    <x:row r="1527" ht="22" customHeight="1">
      <x:c r="A1527" s="21" t="str">
        <x:v>data/boss/bosses.json</x:v>
      </x:c>
      <x:c r="B1527" s="21" t="str">
        <x:v>$/boss_rounds/2</x:v>
      </x:c>
      <x:c r="C1527" s="21" t="str">
        <x:v>int</x:v>
      </x:c>
      <x:c r="D1527" s="21" t="str">
        <x:v>15</x:v>
      </x:c>
    </x:row>
    <x:row r="1528" ht="22" customHeight="1">
      <x:c r="A1528" s="21" t="str">
        <x:v>data/boss/bosses.json</x:v>
      </x:c>
      <x:c r="B1528" s="21" t="str">
        <x:v>$/boss_rounds/3</x:v>
      </x:c>
      <x:c r="C1528" s="21" t="str">
        <x:v>int</x:v>
      </x:c>
      <x:c r="D1528" s="21" t="str">
        <x:v>20</x:v>
      </x:c>
    </x:row>
    <x:row r="1529" ht="22" customHeight="1">
      <x:c r="A1529" s="21" t="str">
        <x:v>data/boss/bosses.json</x:v>
      </x:c>
      <x:c r="B1529" s="21" t="str">
        <x:v>$/growth_per_completed_boss</x:v>
      </x:c>
      <x:c r="C1529" s="21" t="str">
        <x:v>object</x:v>
      </x:c>
      <x:c r="D1529" s="21" t="str"/>
    </x:row>
    <x:row r="1530" ht="22" customHeight="1">
      <x:c r="A1530" s="21" t="str">
        <x:v>data/boss/bosses.json</x:v>
      </x:c>
      <x:c r="B1530" s="21" t="str">
        <x:v>$/growth_per_completed_boss/hp</x:v>
      </x:c>
      <x:c r="C1530" s="21" t="str">
        <x:v>float</x:v>
      </x:c>
      <x:c r="D1530" s="21" t="str">
        <x:v>1.45</x:v>
      </x:c>
    </x:row>
    <x:row r="1531" ht="22" customHeight="1">
      <x:c r="A1531" s="21" t="str">
        <x:v>data/boss/bosses.json</x:v>
      </x:c>
      <x:c r="B1531" s="21" t="str">
        <x:v>$/growth_per_completed_boss/atk</x:v>
      </x:c>
      <x:c r="C1531" s="21" t="str">
        <x:v>float</x:v>
      </x:c>
      <x:c r="D1531" s="21" t="str">
        <x:v>1.35</x:v>
      </x:c>
    </x:row>
    <x:row r="1532" ht="22" customHeight="1">
      <x:c r="A1532" s="21" t="str">
        <x:v>data/boss/bosses.json</x:v>
      </x:c>
      <x:c r="B1532" s="21" t="str">
        <x:v>$/growth_per_completed_boss/def</x:v>
      </x:c>
      <x:c r="C1532" s="21" t="str">
        <x:v>float</x:v>
      </x:c>
      <x:c r="D1532" s="21" t="str">
        <x:v>1.3</x:v>
      </x:c>
    </x:row>
    <x:row r="1533" ht="22" customHeight="1">
      <x:c r="A1533" s="21" t="str">
        <x:v>data/boss/bosses.json</x:v>
      </x:c>
      <x:c r="B1533" s="21" t="str">
        <x:v>$/growth_per_completed_boss/skill_damage</x:v>
      </x:c>
      <x:c r="C1533" s="21" t="str">
        <x:v>float</x:v>
      </x:c>
      <x:c r="D1533" s="21" t="str">
        <x:v>1.45</x:v>
      </x:c>
    </x:row>
    <x:row r="1534" ht="22" customHeight="1">
      <x:c r="A1534" s="21" t="str">
        <x:v>data/boss/bosses.json</x:v>
      </x:c>
      <x:c r="B1534" s="21" t="str">
        <x:v>$/win_rewards</x:v>
      </x:c>
      <x:c r="C1534" s="21" t="str">
        <x:v>object</x:v>
      </x:c>
      <x:c r="D1534" s="21" t="str"/>
    </x:row>
    <x:row r="1535" ht="22" customHeight="1">
      <x:c r="A1535" s="21" t="str">
        <x:v>data/boss/bosses.json</x:v>
      </x:c>
      <x:c r="B1535" s="21" t="str">
        <x:v>$/win_rewards/5</x:v>
      </x:c>
      <x:c r="C1535" s="21" t="str">
        <x:v>int</x:v>
      </x:c>
      <x:c r="D1535" s="21" t="str">
        <x:v>100</x:v>
      </x:c>
    </x:row>
    <x:row r="1536" ht="22" customHeight="1">
      <x:c r="A1536" s="21" t="str">
        <x:v>data/boss/bosses.json</x:v>
      </x:c>
      <x:c r="B1536" s="21" t="str">
        <x:v>$/win_rewards/10</x:v>
      </x:c>
      <x:c r="C1536" s="21" t="str">
        <x:v>int</x:v>
      </x:c>
      <x:c r="D1536" s="21" t="str">
        <x:v>150</x:v>
      </x:c>
    </x:row>
    <x:row r="1537" ht="22" customHeight="1">
      <x:c r="A1537" s="21" t="str">
        <x:v>data/boss/bosses.json</x:v>
      </x:c>
      <x:c r="B1537" s="21" t="str">
        <x:v>$/win_rewards/15</x:v>
      </x:c>
      <x:c r="C1537" s="21" t="str">
        <x:v>int</x:v>
      </x:c>
      <x:c r="D1537" s="21" t="str">
        <x:v>250</x:v>
      </x:c>
    </x:row>
    <x:row r="1538" ht="22" customHeight="1">
      <x:c r="A1538" s="21" t="str">
        <x:v>data/boss/bosses.json</x:v>
      </x:c>
      <x:c r="B1538" s="21" t="str">
        <x:v>$/win_rewards/20</x:v>
      </x:c>
      <x:c r="C1538" s="21" t="str">
        <x:v>int</x:v>
      </x:c>
      <x:c r="D1538" s="21" t="str">
        <x:v>400</x:v>
      </x:c>
    </x:row>
    <x:row r="1539" ht="22" customHeight="1">
      <x:c r="A1539" s="21" t="str">
        <x:v>data/boss/bosses.json</x:v>
      </x:c>
      <x:c r="B1539" s="21" t="str">
        <x:v>$/bosses</x:v>
      </x:c>
      <x:c r="C1539" s="21" t="str">
        <x:v>array</x:v>
      </x:c>
      <x:c r="D1539" s="21" t="str"/>
    </x:row>
    <x:row r="1540" ht="22" customHeight="1">
      <x:c r="A1540" s="21" t="str">
        <x:v>data/boss/bosses.json</x:v>
      </x:c>
      <x:c r="B1540" s="21" t="str">
        <x:v>$/bosses/0</x:v>
      </x:c>
      <x:c r="C1540" s="21" t="str">
        <x:v>object</x:v>
      </x:c>
      <x:c r="D1540" s="21" t="str"/>
    </x:row>
    <x:row r="1541" ht="22" customHeight="1">
      <x:c r="A1541" s="21" t="str">
        <x:v>data/boss/bosses.json</x:v>
      </x:c>
      <x:c r="B1541" s="21" t="str">
        <x:v>$/bosses/0/id</x:v>
      </x:c>
      <x:c r="C1541" s="21" t="str">
        <x:v>string</x:v>
      </x:c>
      <x:c r="D1541" s="21" t="str">
        <x:v>"boss_meteor_caster"</x:v>
      </x:c>
    </x:row>
    <x:row r="1542" ht="22" customHeight="1">
      <x:c r="A1542" s="21" t="str">
        <x:v>data/boss/bosses.json</x:v>
      </x:c>
      <x:c r="B1542" s="21" t="str">
        <x:v>$/bosses/0/model_in_place_actions</x:v>
      </x:c>
      <x:c r="C1542" s="21" t="str">
        <x:v>array</x:v>
      </x:c>
      <x:c r="D1542" s="21" t="str"/>
    </x:row>
    <x:row r="1543" ht="22" customHeight="1">
      <x:c r="A1543" s="21" t="str">
        <x:v>data/boss/bosses.json</x:v>
      </x:c>
      <x:c r="B1543" s="21" t="str">
        <x:v>$/bosses/0/model_in_place_actions/0</x:v>
      </x:c>
      <x:c r="C1543" s="21" t="str">
        <x:v>string</x:v>
      </x:c>
      <x:c r="D1543" s="21" t="str">
        <x:v>"run"</x:v>
      </x:c>
    </x:row>
    <x:row r="1544" ht="22" customHeight="1">
      <x:c r="A1544" s="21" t="str">
        <x:v>data/boss/bosses.json</x:v>
      </x:c>
      <x:c r="B1544" s="21" t="str">
        <x:v>$/bosses/0/name</x:v>
      </x:c>
      <x:c r="C1544" s="21" t="str">
        <x:v>string</x:v>
      </x:c>
      <x:c r="D1544" s="21" t="str">
        <x:v>"天罚投星者"</x:v>
      </x:c>
    </x:row>
    <x:row r="1545" ht="22" customHeight="1">
      <x:c r="A1545" s="21" t="str">
        <x:v>data/boss/bosses.json</x:v>
      </x:c>
      <x:c r="B1545" s="21" t="str">
        <x:v>$/bosses/0/name_en</x:v>
      </x:c>
      <x:c r="C1545" s="21" t="str">
        <x:v>string</x:v>
      </x:c>
      <x:c r="D1545" s="21" t="str">
        <x:v>"Starfall Caster"</x:v>
      </x:c>
    </x:row>
    <x:row r="1546" ht="22" customHeight="1">
      <x:c r="A1546" s="21" t="str">
        <x:v>data/boss/bosses.json</x:v>
      </x:c>
      <x:c r="B1546" s="21" t="str">
        <x:v>$/bosses/0/element</x:v>
      </x:c>
      <x:c r="C1546" s="21" t="str">
        <x:v>string</x:v>
      </x:c>
      <x:c r="D1546" s="21" t="str">
        <x:v>"sky"</x:v>
      </x:c>
    </x:row>
    <x:row r="1547" ht="22" customHeight="1">
      <x:c r="A1547" s="21" t="str">
        <x:v>data/boss/bosses.json</x:v>
      </x:c>
      <x:c r="B1547" s="21" t="str">
        <x:v>$/bosses/0/hp</x:v>
      </x:c>
      <x:c r="C1547" s="21" t="str">
        <x:v>int</x:v>
      </x:c>
      <x:c r="D1547" s="21" t="str">
        <x:v>2200</x:v>
      </x:c>
    </x:row>
    <x:row r="1548" ht="22" customHeight="1">
      <x:c r="A1548" s="21" t="str">
        <x:v>data/boss/bosses.json</x:v>
      </x:c>
      <x:c r="B1548" s="21" t="str">
        <x:v>$/bosses/0/atk</x:v>
      </x:c>
      <x:c r="C1548" s="21" t="str">
        <x:v>int</x:v>
      </x:c>
      <x:c r="D1548" s="21" t="str">
        <x:v>75</x:v>
      </x:c>
    </x:row>
    <x:row r="1549" ht="22" customHeight="1">
      <x:c r="A1549" s="21" t="str">
        <x:v>data/boss/bosses.json</x:v>
      </x:c>
      <x:c r="B1549" s="21" t="str">
        <x:v>$/bosses/0/def</x:v>
      </x:c>
      <x:c r="C1549" s="21" t="str">
        <x:v>int</x:v>
      </x:c>
      <x:c r="D1549" s="21" t="str">
        <x:v>10</x:v>
      </x:c>
    </x:row>
    <x:row r="1550" ht="22" customHeight="1">
      <x:c r="A1550" s="21" t="str">
        <x:v>data/boss/bosses.json</x:v>
      </x:c>
      <x:c r="B1550" s="21" t="str">
        <x:v>$/bosses/0/attack_speed</x:v>
      </x:c>
      <x:c r="C1550" s="21" t="str">
        <x:v>float</x:v>
      </x:c>
      <x:c r="D1550" s="21" t="str">
        <x:v>0.85</x:v>
      </x:c>
    </x:row>
    <x:row r="1551" ht="22" customHeight="1">
      <x:c r="A1551" s="21" t="str">
        <x:v>data/boss/bosses.json</x:v>
      </x:c>
      <x:c r="B1551" s="21" t="str">
        <x:v>$/bosses/0/range</x:v>
      </x:c>
      <x:c r="C1551" s="21" t="str">
        <x:v>int</x:v>
      </x:c>
      <x:c r="D1551" s="21" t="str">
        <x:v>4</x:v>
      </x:c>
    </x:row>
    <x:row r="1552" ht="22" customHeight="1">
      <x:c r="A1552" s="21" t="str">
        <x:v>data/boss/bosses.json</x:v>
      </x:c>
      <x:c r="B1552" s="21" t="str">
        <x:v>$/bosses/0/move_speed</x:v>
      </x:c>
      <x:c r="C1552" s="21" t="str">
        <x:v>float</x:v>
      </x:c>
      <x:c r="D1552" s="21" t="str">
        <x:v>2.8</x:v>
      </x:c>
    </x:row>
    <x:row r="1553" ht="22" customHeight="1">
      <x:c r="A1553" s="21" t="str">
        <x:v>data/boss/bosses.json</x:v>
      </x:c>
      <x:c r="B1553" s="21" t="str">
        <x:v>$/bosses/0/footprint_cells</x:v>
      </x:c>
      <x:c r="C1553" s="21" t="str">
        <x:v>int</x:v>
      </x:c>
      <x:c r="D1553" s="21" t="str">
        <x:v>2</x:v>
      </x:c>
    </x:row>
    <x:row r="1554" ht="22" customHeight="1">
      <x:c r="A1554" s="21" t="str">
        <x:v>data/boss/bosses.json</x:v>
      </x:c>
      <x:c r="B1554" s="21" t="str">
        <x:v>$/bosses/0/skill_id</x:v>
      </x:c>
      <x:c r="C1554" s="21" t="str">
        <x:v>string</x:v>
      </x:c>
      <x:c r="D1554" s="21" t="str">
        <x:v>"element_meteor"</x:v>
      </x:c>
    </x:row>
    <x:row r="1555" ht="22" customHeight="1">
      <x:c r="A1555" s="21" t="str">
        <x:v>data/boss/bosses.json</x:v>
      </x:c>
      <x:c r="B1555" s="21" t="str">
        <x:v>$/bosses/0/skill_cd</x:v>
      </x:c>
      <x:c r="C1555" s="21" t="str">
        <x:v>float</x:v>
      </x:c>
      <x:c r="D1555" s="21" t="str">
        <x:v>6.0</x:v>
      </x:c>
    </x:row>
    <x:row r="1556" ht="22" customHeight="1">
      <x:c r="A1556" s="21" t="str">
        <x:v>data/boss/bosses.json</x:v>
      </x:c>
      <x:c r="B1556" s="21" t="str">
        <x:v>$/bosses/0/skill_damage</x:v>
      </x:c>
      <x:c r="C1556" s="21" t="str">
        <x:v>int</x:v>
      </x:c>
      <x:c r="D1556" s="21" t="str">
        <x:v>240</x:v>
      </x:c>
    </x:row>
    <x:row r="1557" ht="22" customHeight="1">
      <x:c r="A1557" s="21" t="str">
        <x:v>data/boss/bosses.json</x:v>
      </x:c>
      <x:c r="B1557" s="21" t="str">
        <x:v>$/bosses/0/model</x:v>
      </x:c>
      <x:c r="C1557" s="21" t="str">
        <x:v>string</x:v>
      </x:c>
      <x:c r="D1557" s="21" t="str">
        <x:v>"res://assets/models/bosses/boss_meteor_caster_animated/boss_meteor_caster_animated.tscn"</x:v>
      </x:c>
    </x:row>
    <x:row r="1558" ht="22" customHeight="1">
      <x:c r="A1558" s="21" t="str">
        <x:v>data/boss/bosses.json</x:v>
      </x:c>
      <x:c r="B1558" s="21" t="str">
        <x:v>$/bosses/0/model_visual_scale</x:v>
      </x:c>
      <x:c r="C1558" s="21" t="str">
        <x:v>float</x:v>
      </x:c>
      <x:c r="D1558" s="21" t="str">
        <x:v>2.0</x:v>
      </x:c>
    </x:row>
    <x:row r="1559" ht="22" customHeight="1">
      <x:c r="A1559" s="21" t="str">
        <x:v>data/boss/bosses.json</x:v>
      </x:c>
      <x:c r="B1559" s="21" t="str">
        <x:v>$/bosses/0/model_base_yaw</x:v>
      </x:c>
      <x:c r="C1559" s="21" t="str">
        <x:v>float</x:v>
      </x:c>
      <x:c r="D1559" s="21" t="str">
        <x:v>180.0</x:v>
      </x:c>
    </x:row>
    <x:row r="1560" ht="22" customHeight="1">
      <x:c r="A1560" s="21" t="str">
        <x:v>data/boss/bosses.json</x:v>
      </x:c>
      <x:c r="B1560" s="21" t="str">
        <x:v>$/bosses/0/model_idle_animation_name</x:v>
      </x:c>
      <x:c r="C1560" s="21" t="str">
        <x:v>string</x:v>
      </x:c>
      <x:c r="D1560" s="21" t="str">
        <x:v>"idle"</x:v>
      </x:c>
    </x:row>
    <x:row r="1561" ht="22" customHeight="1">
      <x:c r="A1561" s="21" t="str">
        <x:v>data/boss/bosses.json</x:v>
      </x:c>
      <x:c r="B1561" s="21" t="str">
        <x:v>$/bosses/0/model_attack_animation_name</x:v>
      </x:c>
      <x:c r="C1561" s="21" t="str">
        <x:v>string</x:v>
      </x:c>
      <x:c r="D1561" s="21" t="str">
        <x:v>"attack"</x:v>
      </x:c>
    </x:row>
    <x:row r="1562" ht="22" customHeight="1">
      <x:c r="A1562" s="21" t="str">
        <x:v>data/boss/bosses.json</x:v>
      </x:c>
      <x:c r="B1562" s="21" t="str">
        <x:v>$/bosses/0/model_attack_sync_seek</x:v>
      </x:c>
      <x:c r="C1562" s="21" t="str">
        <x:v>float</x:v>
      </x:c>
      <x:c r="D1562" s="21" t="str">
        <x:v>0.18</x:v>
      </x:c>
    </x:row>
    <x:row r="1563" ht="22" customHeight="1">
      <x:c r="A1563" s="21" t="str">
        <x:v>data/boss/bosses.json</x:v>
      </x:c>
      <x:c r="B1563" s="21" t="str">
        <x:v>$/bosses/0/model_attack_lock_time</x:v>
      </x:c>
      <x:c r="C1563" s="21" t="str">
        <x:v>float</x:v>
      </x:c>
      <x:c r="D1563" s="21" t="str">
        <x:v>0.42</x:v>
      </x:c>
    </x:row>
    <x:row r="1564" ht="22" customHeight="1">
      <x:c r="A1564" s="21" t="str">
        <x:v>data/boss/bosses.json</x:v>
      </x:c>
      <x:c r="B1564" s="21" t="str">
        <x:v>$/bosses/0/model_run_animation_name</x:v>
      </x:c>
      <x:c r="C1564" s="21" t="str">
        <x:v>string</x:v>
      </x:c>
      <x:c r="D1564" s="21" t="str">
        <x:v>"run"</x:v>
      </x:c>
    </x:row>
    <x:row r="1565" ht="22" customHeight="1">
      <x:c r="A1565" s="21" t="str">
        <x:v>data/boss/bosses.json</x:v>
      </x:c>
      <x:c r="B1565" s="21" t="str">
        <x:v>$/bosses/1</x:v>
      </x:c>
      <x:c r="C1565" s="21" t="str">
        <x:v>object</x:v>
      </x:c>
      <x:c r="D1565" s="21" t="str"/>
    </x:row>
    <x:row r="1566" ht="22" customHeight="1">
      <x:c r="A1566" s="21" t="str">
        <x:v>data/boss/bosses.json</x:v>
      </x:c>
      <x:c r="B1566" s="21" t="str">
        <x:v>$/bosses/1/id</x:v>
      </x:c>
      <x:c r="C1566" s="21" t="str">
        <x:v>string</x:v>
      </x:c>
      <x:c r="D1566" s="21" t="str">
        <x:v>"boss_thunder_core"</x:v>
      </x:c>
    </x:row>
    <x:row r="1567" ht="22" customHeight="1">
      <x:c r="A1567" s="21" t="str">
        <x:v>data/boss/bosses.json</x:v>
      </x:c>
      <x:c r="B1567" s="21" t="str">
        <x:v>$/bosses/1/model_in_place_actions</x:v>
      </x:c>
      <x:c r="C1567" s="21" t="str">
        <x:v>array</x:v>
      </x:c>
      <x:c r="D1567" s="21" t="str"/>
    </x:row>
    <x:row r="1568" ht="22" customHeight="1">
      <x:c r="A1568" s="21" t="str">
        <x:v>data/boss/bosses.json</x:v>
      </x:c>
      <x:c r="B1568" s="21" t="str">
        <x:v>$/bosses/1/model_in_place_actions/0</x:v>
      </x:c>
      <x:c r="C1568" s="21" t="str">
        <x:v>string</x:v>
      </x:c>
      <x:c r="D1568" s="21" t="str">
        <x:v>"run"</x:v>
      </x:c>
    </x:row>
    <x:row r="1569" ht="22" customHeight="1">
      <x:c r="A1569" s="21" t="str">
        <x:v>data/boss/bosses.json</x:v>
      </x:c>
      <x:c r="B1569" s="21" t="str">
        <x:v>$/bosses/1/name</x:v>
      </x:c>
      <x:c r="C1569" s="21" t="str">
        <x:v>string</x:v>
      </x:c>
      <x:c r="D1569" s="21" t="str">
        <x:v>"雷怒核心"</x:v>
      </x:c>
    </x:row>
    <x:row r="1570" ht="22" customHeight="1">
      <x:c r="A1570" s="21" t="str">
        <x:v>data/boss/bosses.json</x:v>
      </x:c>
      <x:c r="B1570" s="21" t="str">
        <x:v>$/bosses/1/name_en</x:v>
      </x:c>
      <x:c r="C1570" s="21" t="str">
        <x:v>string</x:v>
      </x:c>
      <x:c r="D1570" s="21" t="str">
        <x:v>"Thunder Wrath Core"</x:v>
      </x:c>
    </x:row>
    <x:row r="1571" ht="22" customHeight="1">
      <x:c r="A1571" s="21" t="str">
        <x:v>data/boss/bosses.json</x:v>
      </x:c>
      <x:c r="B1571" s="21" t="str">
        <x:v>$/bosses/1/element</x:v>
      </x:c>
      <x:c r="C1571" s="21" t="str">
        <x:v>string</x:v>
      </x:c>
      <x:c r="D1571" s="21" t="str">
        <x:v>"sky"</x:v>
      </x:c>
    </x:row>
    <x:row r="1572" ht="22" customHeight="1">
      <x:c r="A1572" s="21" t="str">
        <x:v>data/boss/bosses.json</x:v>
      </x:c>
      <x:c r="B1572" s="21" t="str">
        <x:v>$/bosses/1/hp</x:v>
      </x:c>
      <x:c r="C1572" s="21" t="str">
        <x:v>int</x:v>
      </x:c>
      <x:c r="D1572" s="21" t="str">
        <x:v>2500</x:v>
      </x:c>
    </x:row>
    <x:row r="1573" ht="22" customHeight="1">
      <x:c r="A1573" s="21" t="str">
        <x:v>data/boss/bosses.json</x:v>
      </x:c>
      <x:c r="B1573" s="21" t="str">
        <x:v>$/bosses/1/atk</x:v>
      </x:c>
      <x:c r="C1573" s="21" t="str">
        <x:v>int</x:v>
      </x:c>
      <x:c r="D1573" s="21" t="str">
        <x:v>61</x:v>
      </x:c>
    </x:row>
    <x:row r="1574" ht="22" customHeight="1">
      <x:c r="A1574" s="21" t="str">
        <x:v>data/boss/bosses.json</x:v>
      </x:c>
      <x:c r="B1574" s="21" t="str">
        <x:v>$/bosses/1/def</x:v>
      </x:c>
      <x:c r="C1574" s="21" t="str">
        <x:v>int</x:v>
      </x:c>
      <x:c r="D1574" s="21" t="str">
        <x:v>15</x:v>
      </x:c>
    </x:row>
    <x:row r="1575" ht="22" customHeight="1">
      <x:c r="A1575" s="21" t="str">
        <x:v>data/boss/bosses.json</x:v>
      </x:c>
      <x:c r="B1575" s="21" t="str">
        <x:v>$/bosses/1/attack_speed</x:v>
      </x:c>
      <x:c r="C1575" s="21" t="str">
        <x:v>float</x:v>
      </x:c>
      <x:c r="D1575" s="21" t="str">
        <x:v>0.75</x:v>
      </x:c>
    </x:row>
    <x:row r="1576" ht="22" customHeight="1">
      <x:c r="A1576" s="21" t="str">
        <x:v>data/boss/bosses.json</x:v>
      </x:c>
      <x:c r="B1576" s="21" t="str">
        <x:v>$/bosses/1/range</x:v>
      </x:c>
      <x:c r="C1576" s="21" t="str">
        <x:v>int</x:v>
      </x:c>
      <x:c r="D1576" s="21" t="str">
        <x:v>4</x:v>
      </x:c>
    </x:row>
    <x:row r="1577" ht="22" customHeight="1">
      <x:c r="A1577" s="21" t="str">
        <x:v>data/boss/bosses.json</x:v>
      </x:c>
      <x:c r="B1577" s="21" t="str">
        <x:v>$/bosses/1/move_speed</x:v>
      </x:c>
      <x:c r="C1577" s="21" t="str">
        <x:v>float</x:v>
      </x:c>
      <x:c r="D1577" s="21" t="str">
        <x:v>2.5</x:v>
      </x:c>
    </x:row>
    <x:row r="1578" ht="22" customHeight="1">
      <x:c r="A1578" s="21" t="str">
        <x:v>data/boss/bosses.json</x:v>
      </x:c>
      <x:c r="B1578" s="21" t="str">
        <x:v>$/bosses/1/footprint_cells</x:v>
      </x:c>
      <x:c r="C1578" s="21" t="str">
        <x:v>int</x:v>
      </x:c>
      <x:c r="D1578" s="21" t="str">
        <x:v>2</x:v>
      </x:c>
    </x:row>
    <x:row r="1579" ht="22" customHeight="1">
      <x:c r="A1579" s="21" t="str">
        <x:v>data/boss/bosses.json</x:v>
      </x:c>
      <x:c r="B1579" s="21" t="str">
        <x:v>$/bosses/1/skill_id</x:v>
      </x:c>
      <x:c r="C1579" s="21" t="str">
        <x:v>string</x:v>
      </x:c>
      <x:c r="D1579" s="21" t="str">
        <x:v>"overload_counter"</x:v>
      </x:c>
    </x:row>
    <x:row r="1580" ht="22" customHeight="1">
      <x:c r="A1580" s="21" t="str">
        <x:v>data/boss/bosses.json</x:v>
      </x:c>
      <x:c r="B1580" s="21" t="str">
        <x:v>$/bosses/1/hit_threshold</x:v>
      </x:c>
      <x:c r="C1580" s="21" t="str">
        <x:v>int</x:v>
      </x:c>
      <x:c r="D1580" s="21" t="str">
        <x:v>8</x:v>
      </x:c>
    </x:row>
    <x:row r="1581" ht="22" customHeight="1">
      <x:c r="A1581" s="21" t="str">
        <x:v>data/boss/bosses.json</x:v>
      </x:c>
      <x:c r="B1581" s="21" t="str">
        <x:v>$/bosses/1/skill_damage</x:v>
      </x:c>
      <x:c r="C1581" s="21" t="str">
        <x:v>int</x:v>
      </x:c>
      <x:c r="D1581" s="21" t="str">
        <x:v>300</x:v>
      </x:c>
    </x:row>
    <x:row r="1582" ht="22" customHeight="1">
      <x:c r="A1582" s="21" t="str">
        <x:v>data/boss/bosses.json</x:v>
      </x:c>
      <x:c r="B1582" s="21" t="str">
        <x:v>$/bosses/1/interrupt_chance</x:v>
      </x:c>
      <x:c r="C1582" s="21" t="str">
        <x:v>float</x:v>
      </x:c>
      <x:c r="D1582" s="21" t="str">
        <x:v>0.25</x:v>
      </x:c>
    </x:row>
    <x:row r="1583" ht="22" customHeight="1">
      <x:c r="A1583" s="21" t="str">
        <x:v>data/boss/bosses.json</x:v>
      </x:c>
      <x:c r="B1583" s="21" t="str">
        <x:v>$/bosses/1/model</x:v>
      </x:c>
      <x:c r="C1583" s="21" t="str">
        <x:v>string</x:v>
      </x:c>
      <x:c r="D1583" s="21" t="str">
        <x:v>"res://assets/models/bosses/boss_thunder_core_animated/boss_thunder_core_animated.tscn"</x:v>
      </x:c>
    </x:row>
    <x:row r="1584" ht="22" customHeight="1">
      <x:c r="A1584" s="21" t="str">
        <x:v>data/boss/bosses.json</x:v>
      </x:c>
      <x:c r="B1584" s="21" t="str">
        <x:v>$/bosses/1/model_visual_scale</x:v>
      </x:c>
      <x:c r="C1584" s="21" t="str">
        <x:v>float</x:v>
      </x:c>
      <x:c r="D1584" s="21" t="str">
        <x:v>2.0</x:v>
      </x:c>
    </x:row>
    <x:row r="1585" ht="22" customHeight="1">
      <x:c r="A1585" s="21" t="str">
        <x:v>data/boss/bosses.json</x:v>
      </x:c>
      <x:c r="B1585" s="21" t="str">
        <x:v>$/bosses/1/model_base_yaw</x:v>
      </x:c>
      <x:c r="C1585" s="21" t="str">
        <x:v>float</x:v>
      </x:c>
      <x:c r="D1585" s="21" t="str">
        <x:v>180.0</x:v>
      </x:c>
    </x:row>
    <x:row r="1586" ht="22" customHeight="1">
      <x:c r="A1586" s="21" t="str">
        <x:v>data/boss/bosses.json</x:v>
      </x:c>
      <x:c r="B1586" s="21" t="str">
        <x:v>$/bosses/1/model_idle_animation_name</x:v>
      </x:c>
      <x:c r="C1586" s="21" t="str">
        <x:v>string</x:v>
      </x:c>
      <x:c r="D1586" s="21" t="str">
        <x:v>"idle"</x:v>
      </x:c>
    </x:row>
    <x:row r="1587" ht="22" customHeight="1">
      <x:c r="A1587" s="21" t="str">
        <x:v>data/boss/bosses.json</x:v>
      </x:c>
      <x:c r="B1587" s="21" t="str">
        <x:v>$/bosses/1/model_attack_animation_name</x:v>
      </x:c>
      <x:c r="C1587" s="21" t="str">
        <x:v>string</x:v>
      </x:c>
      <x:c r="D1587" s="21" t="str">
        <x:v>"attack"</x:v>
      </x:c>
    </x:row>
    <x:row r="1588" ht="22" customHeight="1">
      <x:c r="A1588" s="21" t="str">
        <x:v>data/boss/bosses.json</x:v>
      </x:c>
      <x:c r="B1588" s="21" t="str">
        <x:v>$/bosses/1/model_attack_sync_seek</x:v>
      </x:c>
      <x:c r="C1588" s="21" t="str">
        <x:v>float</x:v>
      </x:c>
      <x:c r="D1588" s="21" t="str">
        <x:v>0.18</x:v>
      </x:c>
    </x:row>
    <x:row r="1589" ht="22" customHeight="1">
      <x:c r="A1589" s="21" t="str">
        <x:v>data/boss/bosses.json</x:v>
      </x:c>
      <x:c r="B1589" s="21" t="str">
        <x:v>$/bosses/1/model_attack_lock_time</x:v>
      </x:c>
      <x:c r="C1589" s="21" t="str">
        <x:v>float</x:v>
      </x:c>
      <x:c r="D1589" s="21" t="str">
        <x:v>0.42</x:v>
      </x:c>
    </x:row>
    <x:row r="1590" ht="22" customHeight="1">
      <x:c r="A1590" s="21" t="str">
        <x:v>data/boss/bosses.json</x:v>
      </x:c>
      <x:c r="B1590" s="21" t="str">
        <x:v>$/bosses/1/model_run_animation_name</x:v>
      </x:c>
      <x:c r="C1590" s="21" t="str">
        <x:v>string</x:v>
      </x:c>
      <x:c r="D1590" s="21" t="str">
        <x:v>"run"</x:v>
      </x:c>
    </x:row>
    <x:row r="1591" ht="22" customHeight="1">
      <x:c r="A1591" s="21" t="str">
        <x:v>data/boss/bosses.json</x:v>
      </x:c>
      <x:c r="B1591" s="21" t="str">
        <x:v>$/bosses/2</x:v>
      </x:c>
      <x:c r="C1591" s="21" t="str">
        <x:v>object</x:v>
      </x:c>
      <x:c r="D1591" s="21" t="str"/>
    </x:row>
    <x:row r="1592" ht="22" customHeight="1">
      <x:c r="A1592" s="21" t="str">
        <x:v>data/boss/bosses.json</x:v>
      </x:c>
      <x:c r="B1592" s="21" t="str">
        <x:v>$/bosses/2/id</x:v>
      </x:c>
      <x:c r="C1592" s="21" t="str">
        <x:v>string</x:v>
      </x:c>
      <x:c r="D1592" s="21" t="str">
        <x:v>"boss_mirror_lord"</x:v>
      </x:c>
    </x:row>
    <x:row r="1593" ht="22" customHeight="1">
      <x:c r="A1593" s="21" t="str">
        <x:v>data/boss/bosses.json</x:v>
      </x:c>
      <x:c r="B1593" s="21" t="str">
        <x:v>$/bosses/2/model_in_place_actions</x:v>
      </x:c>
      <x:c r="C1593" s="21" t="str">
        <x:v>array</x:v>
      </x:c>
      <x:c r="D1593" s="21" t="str"/>
    </x:row>
    <x:row r="1594" ht="22" customHeight="1">
      <x:c r="A1594" s="21" t="str">
        <x:v>data/boss/bosses.json</x:v>
      </x:c>
      <x:c r="B1594" s="21" t="str">
        <x:v>$/bosses/2/model_in_place_actions/0</x:v>
      </x:c>
      <x:c r="C1594" s="21" t="str">
        <x:v>string</x:v>
      </x:c>
      <x:c r="D1594" s="21" t="str">
        <x:v>"run"</x:v>
      </x:c>
    </x:row>
    <x:row r="1595" ht="22" customHeight="1">
      <x:c r="A1595" s="21" t="str">
        <x:v>data/boss/bosses.json</x:v>
      </x:c>
      <x:c r="B1595" s="21" t="str">
        <x:v>$/bosses/2/name</x:v>
      </x:c>
      <x:c r="C1595" s="21" t="str">
        <x:v>string</x:v>
      </x:c>
      <x:c r="D1595" s="21" t="str">
        <x:v>"镜像魔君"</x:v>
      </x:c>
    </x:row>
    <x:row r="1596" ht="22" customHeight="1">
      <x:c r="A1596" s="21" t="str">
        <x:v>data/boss/bosses.json</x:v>
      </x:c>
      <x:c r="B1596" s="21" t="str">
        <x:v>$/bosses/2/name_en</x:v>
      </x:c>
      <x:c r="C1596" s="21" t="str">
        <x:v>string</x:v>
      </x:c>
      <x:c r="D1596" s="21" t="str">
        <x:v>"Mirror Lord"</x:v>
      </x:c>
    </x:row>
    <x:row r="1597" ht="22" customHeight="1">
      <x:c r="A1597" s="21" t="str">
        <x:v>data/boss/bosses.json</x:v>
      </x:c>
      <x:c r="B1597" s="21" t="str">
        <x:v>$/bosses/2/element</x:v>
      </x:c>
      <x:c r="C1597" s="21" t="str">
        <x:v>string</x:v>
      </x:c>
      <x:c r="D1597" s="21" t="str">
        <x:v>"ren"</x:v>
      </x:c>
    </x:row>
    <x:row r="1598" ht="22" customHeight="1">
      <x:c r="A1598" s="21" t="str">
        <x:v>data/boss/bosses.json</x:v>
      </x:c>
      <x:c r="B1598" s="21" t="str">
        <x:v>$/bosses/2/hp</x:v>
      </x:c>
      <x:c r="C1598" s="21" t="str">
        <x:v>int</x:v>
      </x:c>
      <x:c r="D1598" s="21" t="str">
        <x:v>1800</x:v>
      </x:c>
    </x:row>
    <x:row r="1599" ht="22" customHeight="1">
      <x:c r="A1599" s="21" t="str">
        <x:v>data/boss/bosses.json</x:v>
      </x:c>
      <x:c r="B1599" s="21" t="str">
        <x:v>$/bosses/2/atk</x:v>
      </x:c>
      <x:c r="C1599" s="21" t="str">
        <x:v>int</x:v>
      </x:c>
      <x:c r="D1599" s="21" t="str">
        <x:v>77</x:v>
      </x:c>
    </x:row>
    <x:row r="1600" ht="22" customHeight="1">
      <x:c r="A1600" s="21" t="str">
        <x:v>data/boss/bosses.json</x:v>
      </x:c>
      <x:c r="B1600" s="21" t="str">
        <x:v>$/bosses/2/def</x:v>
      </x:c>
      <x:c r="C1600" s="21" t="str">
        <x:v>int</x:v>
      </x:c>
      <x:c r="D1600" s="21" t="str">
        <x:v>8</x:v>
      </x:c>
    </x:row>
    <x:row r="1601" ht="22" customHeight="1">
      <x:c r="A1601" s="21" t="str">
        <x:v>data/boss/bosses.json</x:v>
      </x:c>
      <x:c r="B1601" s="21" t="str">
        <x:v>$/bosses/2/attack_speed</x:v>
      </x:c>
      <x:c r="C1601" s="21" t="str">
        <x:v>float</x:v>
      </x:c>
      <x:c r="D1601" s="21" t="str">
        <x:v>0.95</x:v>
      </x:c>
    </x:row>
    <x:row r="1602" ht="22" customHeight="1">
      <x:c r="A1602" s="21" t="str">
        <x:v>data/boss/bosses.json</x:v>
      </x:c>
      <x:c r="B1602" s="21" t="str">
        <x:v>$/bosses/2/range</x:v>
      </x:c>
      <x:c r="C1602" s="21" t="str">
        <x:v>int</x:v>
      </x:c>
      <x:c r="D1602" s="21" t="str">
        <x:v>1</x:v>
      </x:c>
    </x:row>
    <x:row r="1603" ht="22" customHeight="1">
      <x:c r="A1603" s="21" t="str">
        <x:v>data/boss/bosses.json</x:v>
      </x:c>
      <x:c r="B1603" s="21" t="str">
        <x:v>$/bosses/2/move_speed</x:v>
      </x:c>
      <x:c r="C1603" s="21" t="str">
        <x:v>float</x:v>
      </x:c>
      <x:c r="D1603" s="21" t="str">
        <x:v>3.0</x:v>
      </x:c>
    </x:row>
    <x:row r="1604" ht="22" customHeight="1">
      <x:c r="A1604" s="21" t="str">
        <x:v>data/boss/bosses.json</x:v>
      </x:c>
      <x:c r="B1604" s="21" t="str">
        <x:v>$/bosses/2/footprint_cells</x:v>
      </x:c>
      <x:c r="C1604" s="21" t="str">
        <x:v>int</x:v>
      </x:c>
      <x:c r="D1604" s="21" t="str">
        <x:v>2</x:v>
      </x:c>
    </x:row>
    <x:row r="1605" ht="22" customHeight="1">
      <x:c r="A1605" s="21" t="str">
        <x:v>data/boss/bosses.json</x:v>
      </x:c>
      <x:c r="B1605" s="21" t="str">
        <x:v>$/bosses/2/skill_id</x:v>
      </x:c>
      <x:c r="C1605" s="21" t="str">
        <x:v>string</x:v>
      </x:c>
      <x:c r="D1605" s="21" t="str">
        <x:v>"mirror_clone"</x:v>
      </x:c>
    </x:row>
    <x:row r="1606" ht="22" customHeight="1">
      <x:c r="A1606" s="21" t="str">
        <x:v>data/boss/bosses.json</x:v>
      </x:c>
      <x:c r="B1606" s="21" t="str">
        <x:v>$/bosses/2/clone_per_missing_hp_pct</x:v>
      </x:c>
      <x:c r="C1606" s="21" t="str">
        <x:v>float</x:v>
      </x:c>
      <x:c r="D1606" s="21" t="str">
        <x:v>0.25</x:v>
      </x:c>
    </x:row>
    <x:row r="1607" ht="22" customHeight="1">
      <x:c r="A1607" s="21" t="str">
        <x:v>data/boss/bosses.json</x:v>
      </x:c>
      <x:c r="B1607" s="21" t="str">
        <x:v>$/bosses/2/clone_hp_pct</x:v>
      </x:c>
      <x:c r="C1607" s="21" t="str">
        <x:v>float</x:v>
      </x:c>
      <x:c r="D1607" s="21" t="str">
        <x:v>0.3</x:v>
      </x:c>
    </x:row>
    <x:row r="1608" ht="22" customHeight="1">
      <x:c r="A1608" s="21" t="str">
        <x:v>data/boss/bosses.json</x:v>
      </x:c>
      <x:c r="B1608" s="21" t="str">
        <x:v>$/bosses/2/clone_atk_pct</x:v>
      </x:c>
      <x:c r="C1608" s="21" t="str">
        <x:v>float</x:v>
      </x:c>
      <x:c r="D1608" s="21" t="str">
        <x:v>0.4</x:v>
      </x:c>
    </x:row>
    <x:row r="1609" ht="22" customHeight="1">
      <x:c r="A1609" s="21" t="str">
        <x:v>data/boss/bosses.json</x:v>
      </x:c>
      <x:c r="B1609" s="21" t="str">
        <x:v>$/bosses/2/clone_def</x:v>
      </x:c>
      <x:c r="C1609" s="21" t="str">
        <x:v>int</x:v>
      </x:c>
      <x:c r="D1609" s="21" t="str">
        <x:v>0</x:v>
      </x:c>
    </x:row>
    <x:row r="1610" ht="22" customHeight="1">
      <x:c r="A1610" s="21" t="str">
        <x:v>data/boss/bosses.json</x:v>
      </x:c>
      <x:c r="B1610" s="21" t="str">
        <x:v>$/bosses/2/model</x:v>
      </x:c>
      <x:c r="C1610" s="21" t="str">
        <x:v>string</x:v>
      </x:c>
      <x:c r="D1610" s="21" t="str">
        <x:v>"res://assets/models/bosses/boss_mirror_lord_animated/boss_mirror_lord_animated.tscn"</x:v>
      </x:c>
    </x:row>
    <x:row r="1611" ht="22" customHeight="1">
      <x:c r="A1611" s="21" t="str">
        <x:v>data/boss/bosses.json</x:v>
      </x:c>
      <x:c r="B1611" s="21" t="str">
        <x:v>$/bosses/2/model_visual_scale</x:v>
      </x:c>
      <x:c r="C1611" s="21" t="str">
        <x:v>float</x:v>
      </x:c>
      <x:c r="D1611" s="21" t="str">
        <x:v>2.0</x:v>
      </x:c>
    </x:row>
    <x:row r="1612" ht="22" customHeight="1">
      <x:c r="A1612" s="21" t="str">
        <x:v>data/boss/bosses.json</x:v>
      </x:c>
      <x:c r="B1612" s="21" t="str">
        <x:v>$/bosses/2/model_base_yaw</x:v>
      </x:c>
      <x:c r="C1612" s="21" t="str">
        <x:v>float</x:v>
      </x:c>
      <x:c r="D1612" s="21" t="str">
        <x:v>180.0</x:v>
      </x:c>
    </x:row>
    <x:row r="1613" ht="22" customHeight="1">
      <x:c r="A1613" s="21" t="str">
        <x:v>data/boss/bosses.json</x:v>
      </x:c>
      <x:c r="B1613" s="21" t="str">
        <x:v>$/bosses/2/model_idle_animation_name</x:v>
      </x:c>
      <x:c r="C1613" s="21" t="str">
        <x:v>string</x:v>
      </x:c>
      <x:c r="D1613" s="21" t="str">
        <x:v>"idle"</x:v>
      </x:c>
    </x:row>
    <x:row r="1614" ht="22" customHeight="1">
      <x:c r="A1614" s="21" t="str">
        <x:v>data/boss/bosses.json</x:v>
      </x:c>
      <x:c r="B1614" s="21" t="str">
        <x:v>$/bosses/2/model_attack_animation_name</x:v>
      </x:c>
      <x:c r="C1614" s="21" t="str">
        <x:v>string</x:v>
      </x:c>
      <x:c r="D1614" s="21" t="str">
        <x:v>"attack"</x:v>
      </x:c>
    </x:row>
    <x:row r="1615" ht="22" customHeight="1">
      <x:c r="A1615" s="21" t="str">
        <x:v>data/boss/bosses.json</x:v>
      </x:c>
      <x:c r="B1615" s="21" t="str">
        <x:v>$/bosses/2/model_attack_sync_seek</x:v>
      </x:c>
      <x:c r="C1615" s="21" t="str">
        <x:v>float</x:v>
      </x:c>
      <x:c r="D1615" s="21" t="str">
        <x:v>0.18</x:v>
      </x:c>
    </x:row>
    <x:row r="1616" ht="22" customHeight="1">
      <x:c r="A1616" s="21" t="str">
        <x:v>data/boss/bosses.json</x:v>
      </x:c>
      <x:c r="B1616" s="21" t="str">
        <x:v>$/bosses/2/model_attack_lock_time</x:v>
      </x:c>
      <x:c r="C1616" s="21" t="str">
        <x:v>float</x:v>
      </x:c>
      <x:c r="D1616" s="21" t="str">
        <x:v>0.42</x:v>
      </x:c>
    </x:row>
    <x:row r="1617" ht="22" customHeight="1">
      <x:c r="A1617" s="21" t="str">
        <x:v>data/boss/bosses.json</x:v>
      </x:c>
      <x:c r="B1617" s="21" t="str">
        <x:v>$/bosses/2/model_run_animation_name</x:v>
      </x:c>
      <x:c r="C1617" s="21" t="str">
        <x:v>string</x:v>
      </x:c>
      <x:c r="D1617" s="21" t="str">
        <x:v>"run"</x:v>
      </x:c>
    </x:row>
    <x:row r="1618" ht="22" customHeight="1">
      <x:c r="A1618" s="21" t="str">
        <x:v>data/boss/bosses.json</x:v>
      </x:c>
      <x:c r="B1618" s="21" t="str">
        <x:v>$/bosses/3</x:v>
      </x:c>
      <x:c r="C1618" s="21" t="str">
        <x:v>object</x:v>
      </x:c>
      <x:c r="D1618" s="21" t="str"/>
    </x:row>
    <x:row r="1619" ht="22" customHeight="1">
      <x:c r="A1619" s="21" t="str">
        <x:v>data/boss/bosses.json</x:v>
      </x:c>
      <x:c r="B1619" s="21" t="str">
        <x:v>$/bosses/3/id</x:v>
      </x:c>
      <x:c r="C1619" s="21" t="str">
        <x:v>string</x:v>
      </x:c>
      <x:c r="D1619" s="21" t="str">
        <x:v>"boss_holy_priest"</x:v>
      </x:c>
    </x:row>
    <x:row r="1620" ht="22" customHeight="1">
      <x:c r="A1620" s="21" t="str">
        <x:v>data/boss/bosses.json</x:v>
      </x:c>
      <x:c r="B1620" s="21" t="str">
        <x:v>$/bosses/3/model_in_place_actions</x:v>
      </x:c>
      <x:c r="C1620" s="21" t="str">
        <x:v>array</x:v>
      </x:c>
      <x:c r="D1620" s="21" t="str"/>
    </x:row>
    <x:row r="1621" ht="22" customHeight="1">
      <x:c r="A1621" s="21" t="str">
        <x:v>data/boss/bosses.json</x:v>
      </x:c>
      <x:c r="B1621" s="21" t="str">
        <x:v>$/bosses/3/model_in_place_actions/0</x:v>
      </x:c>
      <x:c r="C1621" s="21" t="str">
        <x:v>string</x:v>
      </x:c>
      <x:c r="D1621" s="21" t="str">
        <x:v>"run"</x:v>
      </x:c>
    </x:row>
    <x:row r="1622" ht="22" customHeight="1">
      <x:c r="A1622" s="21" t="str">
        <x:v>data/boss/bosses.json</x:v>
      </x:c>
      <x:c r="B1622" s="21" t="str">
        <x:v>$/bosses/3/name</x:v>
      </x:c>
      <x:c r="C1622" s="21" t="str">
        <x:v>string</x:v>
      </x:c>
      <x:c r="D1622" s="21" t="str">
        <x:v>"圣愈祭司"</x:v>
      </x:c>
    </x:row>
    <x:row r="1623" ht="22" customHeight="1">
      <x:c r="A1623" s="21" t="str">
        <x:v>data/boss/bosses.json</x:v>
      </x:c>
      <x:c r="B1623" s="21" t="str">
        <x:v>$/bosses/3/name_en</x:v>
      </x:c>
      <x:c r="C1623" s="21" t="str">
        <x:v>string</x:v>
      </x:c>
      <x:c r="D1623" s="21" t="str">
        <x:v>"Sacred Mender"</x:v>
      </x:c>
    </x:row>
    <x:row r="1624" ht="22" customHeight="1">
      <x:c r="A1624" s="21" t="str">
        <x:v>data/boss/bosses.json</x:v>
      </x:c>
      <x:c r="B1624" s="21" t="str">
        <x:v>$/bosses/3/element</x:v>
      </x:c>
      <x:c r="C1624" s="21" t="str">
        <x:v>string</x:v>
      </x:c>
      <x:c r="D1624" s="21" t="str">
        <x:v>"ren"</x:v>
      </x:c>
    </x:row>
    <x:row r="1625" ht="22" customHeight="1">
      <x:c r="A1625" s="21" t="str">
        <x:v>data/boss/bosses.json</x:v>
      </x:c>
      <x:c r="B1625" s="21" t="str">
        <x:v>$/bosses/3/hp</x:v>
      </x:c>
      <x:c r="C1625" s="21" t="str">
        <x:v>int</x:v>
      </x:c>
      <x:c r="D1625" s="21" t="str">
        <x:v>2000</x:v>
      </x:c>
    </x:row>
    <x:row r="1626" ht="22" customHeight="1">
      <x:c r="A1626" s="21" t="str">
        <x:v>data/boss/bosses.json</x:v>
      </x:c>
      <x:c r="B1626" s="21" t="str">
        <x:v>$/bosses/3/atk</x:v>
      </x:c>
      <x:c r="C1626" s="21" t="str">
        <x:v>int</x:v>
      </x:c>
      <x:c r="D1626" s="21" t="str">
        <x:v>50</x:v>
      </x:c>
    </x:row>
    <x:row r="1627" ht="22" customHeight="1">
      <x:c r="A1627" s="21" t="str">
        <x:v>data/boss/bosses.json</x:v>
      </x:c>
      <x:c r="B1627" s="21" t="str">
        <x:v>$/bosses/3/def</x:v>
      </x:c>
      <x:c r="C1627" s="21" t="str">
        <x:v>int</x:v>
      </x:c>
      <x:c r="D1627" s="21" t="str">
        <x:v>10</x:v>
      </x:c>
    </x:row>
    <x:row r="1628" ht="22" customHeight="1">
      <x:c r="A1628" s="21" t="str">
        <x:v>data/boss/bosses.json</x:v>
      </x:c>
      <x:c r="B1628" s="21" t="str">
        <x:v>$/bosses/3/attack_speed</x:v>
      </x:c>
      <x:c r="C1628" s="21" t="str">
        <x:v>float</x:v>
      </x:c>
      <x:c r="D1628" s="21" t="str">
        <x:v>0.8</x:v>
      </x:c>
    </x:row>
    <x:row r="1629" ht="22" customHeight="1">
      <x:c r="A1629" s="21" t="str">
        <x:v>data/boss/bosses.json</x:v>
      </x:c>
      <x:c r="B1629" s="21" t="str">
        <x:v>$/bosses/3/range</x:v>
      </x:c>
      <x:c r="C1629" s="21" t="str">
        <x:v>int</x:v>
      </x:c>
      <x:c r="D1629" s="21" t="str">
        <x:v>4</x:v>
      </x:c>
    </x:row>
    <x:row r="1630" ht="22" customHeight="1">
      <x:c r="A1630" s="21" t="str">
        <x:v>data/boss/bosses.json</x:v>
      </x:c>
      <x:c r="B1630" s="21" t="str">
        <x:v>$/bosses/3/move_speed</x:v>
      </x:c>
      <x:c r="C1630" s="21" t="str">
        <x:v>float</x:v>
      </x:c>
      <x:c r="D1630" s="21" t="str">
        <x:v>2.6</x:v>
      </x:c>
    </x:row>
    <x:row r="1631" ht="22" customHeight="1">
      <x:c r="A1631" s="21" t="str">
        <x:v>data/boss/bosses.json</x:v>
      </x:c>
      <x:c r="B1631" s="21" t="str">
        <x:v>$/bosses/3/footprint_cells</x:v>
      </x:c>
      <x:c r="C1631" s="21" t="str">
        <x:v>int</x:v>
      </x:c>
      <x:c r="D1631" s="21" t="str">
        <x:v>2</x:v>
      </x:c>
    </x:row>
    <x:row r="1632" ht="22" customHeight="1">
      <x:c r="A1632" s="21" t="str">
        <x:v>data/boss/bosses.json</x:v>
      </x:c>
      <x:c r="B1632" s="21" t="str">
        <x:v>$/bosses/3/skill_id</x:v>
      </x:c>
      <x:c r="C1632" s="21" t="str">
        <x:v>string</x:v>
      </x:c>
      <x:c r="D1632" s="21" t="str">
        <x:v>"holy_purify"</x:v>
      </x:c>
    </x:row>
    <x:row r="1633" ht="22" customHeight="1">
      <x:c r="A1633" s="21" t="str">
        <x:v>data/boss/bosses.json</x:v>
      </x:c>
      <x:c r="B1633" s="21" t="str">
        <x:v>$/bosses/3/skill_cd</x:v>
      </x:c>
      <x:c r="C1633" s="21" t="str">
        <x:v>float</x:v>
      </x:c>
      <x:c r="D1633" s="21" t="str">
        <x:v>8.0</x:v>
      </x:c>
    </x:row>
    <x:row r="1634" ht="22" customHeight="1">
      <x:c r="A1634" s="21" t="str">
        <x:v>data/boss/bosses.json</x:v>
      </x:c>
      <x:c r="B1634" s="21" t="str">
        <x:v>$/bosses/3/heal_pct</x:v>
      </x:c>
      <x:c r="C1634" s="21" t="str">
        <x:v>float</x:v>
      </x:c>
      <x:c r="D1634" s="21" t="str">
        <x:v>0.12</x:v>
      </x:c>
    </x:row>
    <x:row r="1635" ht="22" customHeight="1">
      <x:c r="A1635" s="21" t="str">
        <x:v>data/boss/bosses.json</x:v>
      </x:c>
      <x:c r="B1635" s="21" t="str">
        <x:v>$/bosses/3/shield_pct</x:v>
      </x:c>
      <x:c r="C1635" s="21" t="str">
        <x:v>float</x:v>
      </x:c>
      <x:c r="D1635" s="21" t="str">
        <x:v>0.1</x:v>
      </x:c>
    </x:row>
    <x:row r="1636" ht="22" customHeight="1">
      <x:c r="A1636" s="21" t="str">
        <x:v>data/boss/bosses.json</x:v>
      </x:c>
      <x:c r="B1636" s="21" t="str">
        <x:v>$/bosses/3/model</x:v>
      </x:c>
      <x:c r="C1636" s="21" t="str">
        <x:v>string</x:v>
      </x:c>
      <x:c r="D1636" s="21" t="str">
        <x:v>"res://assets/models/bosses/boss_holy_priest_animated/boss_holy_priest_animated.tscn"</x:v>
      </x:c>
    </x:row>
    <x:row r="1637" ht="22" customHeight="1">
      <x:c r="A1637" s="21" t="str">
        <x:v>data/boss/bosses.json</x:v>
      </x:c>
      <x:c r="B1637" s="21" t="str">
        <x:v>$/bosses/3/model_visual_scale</x:v>
      </x:c>
      <x:c r="C1637" s="21" t="str">
        <x:v>float</x:v>
      </x:c>
      <x:c r="D1637" s="21" t="str">
        <x:v>2.0</x:v>
      </x:c>
    </x:row>
    <x:row r="1638" ht="22" customHeight="1">
      <x:c r="A1638" s="21" t="str">
        <x:v>data/boss/bosses.json</x:v>
      </x:c>
      <x:c r="B1638" s="21" t="str">
        <x:v>$/bosses/3/model_base_yaw</x:v>
      </x:c>
      <x:c r="C1638" s="21" t="str">
        <x:v>float</x:v>
      </x:c>
      <x:c r="D1638" s="21" t="str">
        <x:v>180.0</x:v>
      </x:c>
    </x:row>
    <x:row r="1639" ht="22" customHeight="1">
      <x:c r="A1639" s="21" t="str">
        <x:v>data/boss/bosses.json</x:v>
      </x:c>
      <x:c r="B1639" s="21" t="str">
        <x:v>$/bosses/3/model_idle_animation_name</x:v>
      </x:c>
      <x:c r="C1639" s="21" t="str">
        <x:v>string</x:v>
      </x:c>
      <x:c r="D1639" s="21" t="str">
        <x:v>"idle"</x:v>
      </x:c>
    </x:row>
    <x:row r="1640" ht="22" customHeight="1">
      <x:c r="A1640" s="21" t="str">
        <x:v>data/boss/bosses.json</x:v>
      </x:c>
      <x:c r="B1640" s="21" t="str">
        <x:v>$/bosses/3/model_attack_animation_name</x:v>
      </x:c>
      <x:c r="C1640" s="21" t="str">
        <x:v>string</x:v>
      </x:c>
      <x:c r="D1640" s="21" t="str">
        <x:v>"attack"</x:v>
      </x:c>
    </x:row>
    <x:row r="1641" ht="22" customHeight="1">
      <x:c r="A1641" s="21" t="str">
        <x:v>data/boss/bosses.json</x:v>
      </x:c>
      <x:c r="B1641" s="21" t="str">
        <x:v>$/bosses/3/model_attack_sync_seek</x:v>
      </x:c>
      <x:c r="C1641" s="21" t="str">
        <x:v>float</x:v>
      </x:c>
      <x:c r="D1641" s="21" t="str">
        <x:v>0.18</x:v>
      </x:c>
    </x:row>
    <x:row r="1642" ht="22" customHeight="1">
      <x:c r="A1642" s="21" t="str">
        <x:v>data/boss/bosses.json</x:v>
      </x:c>
      <x:c r="B1642" s="21" t="str">
        <x:v>$/bosses/3/model_attack_lock_time</x:v>
      </x:c>
      <x:c r="C1642" s="21" t="str">
        <x:v>float</x:v>
      </x:c>
      <x:c r="D1642" s="21" t="str">
        <x:v>0.42</x:v>
      </x:c>
    </x:row>
    <x:row r="1643" ht="22" customHeight="1">
      <x:c r="A1643" s="21" t="str">
        <x:v>data/boss/bosses.json</x:v>
      </x:c>
      <x:c r="B1643" s="21" t="str">
        <x:v>$/bosses/3/model_run_animation_name</x:v>
      </x:c>
      <x:c r="C1643" s="21" t="str">
        <x:v>string</x:v>
      </x:c>
      <x:c r="D1643" s="21" t="str">
        <x:v>"run"</x:v>
      </x:c>
    </x:row>
    <x:row r="1644" ht="22" customHeight="1">
      <x:c r="A1644" s="21" t="str">
        <x:v>data/boss/bosses.json</x:v>
      </x:c>
      <x:c r="B1644" s="21" t="str">
        <x:v>$/bosses/4</x:v>
      </x:c>
      <x:c r="C1644" s="21" t="str">
        <x:v>object</x:v>
      </x:c>
      <x:c r="D1644" s="21" t="str"/>
    </x:row>
    <x:row r="1645" ht="22" customHeight="1">
      <x:c r="A1645" s="21" t="str">
        <x:v>data/boss/bosses.json</x:v>
      </x:c>
      <x:c r="B1645" s="21" t="str">
        <x:v>$/bosses/4/id</x:v>
      </x:c>
      <x:c r="C1645" s="21" t="str">
        <x:v>string</x:v>
      </x:c>
      <x:c r="D1645" s="21" t="str">
        <x:v>"boss_rage_beast"</x:v>
      </x:c>
    </x:row>
    <x:row r="1646" ht="22" customHeight="1">
      <x:c r="A1646" s="21" t="str">
        <x:v>data/boss/bosses.json</x:v>
      </x:c>
      <x:c r="B1646" s="21" t="str">
        <x:v>$/bosses/4/model_in_place_actions</x:v>
      </x:c>
      <x:c r="C1646" s="21" t="str">
        <x:v>array</x:v>
      </x:c>
      <x:c r="D1646" s="21" t="str"/>
    </x:row>
    <x:row r="1647" ht="22" customHeight="1">
      <x:c r="A1647" s="21" t="str">
        <x:v>data/boss/bosses.json</x:v>
      </x:c>
      <x:c r="B1647" s="21" t="str">
        <x:v>$/bosses/4/model_in_place_actions/0</x:v>
      </x:c>
      <x:c r="C1647" s="21" t="str">
        <x:v>string</x:v>
      </x:c>
      <x:c r="D1647" s="21" t="str">
        <x:v>"run"</x:v>
      </x:c>
    </x:row>
    <x:row r="1648" ht="22" customHeight="1">
      <x:c r="A1648" s="21" t="str">
        <x:v>data/boss/bosses.json</x:v>
      </x:c>
      <x:c r="B1648" s="21" t="str">
        <x:v>$/bosses/4/name</x:v>
      </x:c>
      <x:c r="C1648" s="21" t="str">
        <x:v>string</x:v>
      </x:c>
      <x:c r="D1648" s="21" t="str">
        <x:v>"狂战灾兽"</x:v>
      </x:c>
    </x:row>
    <x:row r="1649" ht="22" customHeight="1">
      <x:c r="A1649" s="21" t="str">
        <x:v>data/boss/bosses.json</x:v>
      </x:c>
      <x:c r="B1649" s="21" t="str">
        <x:v>$/bosses/4/name_en</x:v>
      </x:c>
      <x:c r="C1649" s="21" t="str">
        <x:v>string</x:v>
      </x:c>
      <x:c r="D1649" s="21" t="str">
        <x:v>"Rampage Beast"</x:v>
      </x:c>
    </x:row>
    <x:row r="1650" ht="22" customHeight="1">
      <x:c r="A1650" s="21" t="str">
        <x:v>data/boss/bosses.json</x:v>
      </x:c>
      <x:c r="B1650" s="21" t="str">
        <x:v>$/bosses/4/element</x:v>
      </x:c>
      <x:c r="C1650" s="21" t="str">
        <x:v>string</x:v>
      </x:c>
      <x:c r="D1650" s="21" t="str">
        <x:v>"land"</x:v>
      </x:c>
    </x:row>
    <x:row r="1651" ht="22" customHeight="1">
      <x:c r="A1651" s="21" t="str">
        <x:v>data/boss/bosses.json</x:v>
      </x:c>
      <x:c r="B1651" s="21" t="str">
        <x:v>$/bosses/4/hp</x:v>
      </x:c>
      <x:c r="C1651" s="21" t="str">
        <x:v>int</x:v>
      </x:c>
      <x:c r="D1651" s="21" t="str">
        <x:v>1900</x:v>
      </x:c>
    </x:row>
    <x:row r="1652" ht="22" customHeight="1">
      <x:c r="A1652" s="21" t="str">
        <x:v>data/boss/bosses.json</x:v>
      </x:c>
      <x:c r="B1652" s="21" t="str">
        <x:v>$/bosses/4/atk</x:v>
      </x:c>
      <x:c r="C1652" s="21" t="str">
        <x:v>int</x:v>
      </x:c>
      <x:c r="D1652" s="21" t="str">
        <x:v>55</x:v>
      </x:c>
    </x:row>
    <x:row r="1653" ht="22" customHeight="1">
      <x:c r="A1653" s="21" t="str">
        <x:v>data/boss/bosses.json</x:v>
      </x:c>
      <x:c r="B1653" s="21" t="str">
        <x:v>$/bosses/4/def</x:v>
      </x:c>
      <x:c r="C1653" s="21" t="str">
        <x:v>int</x:v>
      </x:c>
      <x:c r="D1653" s="21" t="str">
        <x:v>5</x:v>
      </x:c>
    </x:row>
    <x:row r="1654" ht="22" customHeight="1">
      <x:c r="A1654" s="21" t="str">
        <x:v>data/boss/bosses.json</x:v>
      </x:c>
      <x:c r="B1654" s="21" t="str">
        <x:v>$/bosses/4/attack_speed</x:v>
      </x:c>
      <x:c r="C1654" s="21" t="str">
        <x:v>float</x:v>
      </x:c>
      <x:c r="D1654" s="21" t="str">
        <x:v>1.0</x:v>
      </x:c>
    </x:row>
    <x:row r="1655" ht="22" customHeight="1">
      <x:c r="A1655" s="21" t="str">
        <x:v>data/boss/bosses.json</x:v>
      </x:c>
      <x:c r="B1655" s="21" t="str">
        <x:v>$/bosses/4/range</x:v>
      </x:c>
      <x:c r="C1655" s="21" t="str">
        <x:v>int</x:v>
      </x:c>
      <x:c r="D1655" s="21" t="str">
        <x:v>1</x:v>
      </x:c>
    </x:row>
    <x:row r="1656" ht="22" customHeight="1">
      <x:c r="A1656" s="21" t="str">
        <x:v>data/boss/bosses.json</x:v>
      </x:c>
      <x:c r="B1656" s="21" t="str">
        <x:v>$/bosses/4/move_speed</x:v>
      </x:c>
      <x:c r="C1656" s="21" t="str">
        <x:v>float</x:v>
      </x:c>
      <x:c r="D1656" s="21" t="str">
        <x:v>3.2</x:v>
      </x:c>
    </x:row>
    <x:row r="1657" ht="22" customHeight="1">
      <x:c r="A1657" s="21" t="str">
        <x:v>data/boss/bosses.json</x:v>
      </x:c>
      <x:c r="B1657" s="21" t="str">
        <x:v>$/bosses/4/footprint_cells</x:v>
      </x:c>
      <x:c r="C1657" s="21" t="str">
        <x:v>int</x:v>
      </x:c>
      <x:c r="D1657" s="21" t="str">
        <x:v>2</x:v>
      </x:c>
    </x:row>
    <x:row r="1658" ht="22" customHeight="1">
      <x:c r="A1658" s="21" t="str">
        <x:v>data/boss/bosses.json</x:v>
      </x:c>
      <x:c r="B1658" s="21" t="str">
        <x:v>$/bosses/4/skill_id</x:v>
      </x:c>
      <x:c r="C1658" s="21" t="str">
        <x:v>string</x:v>
      </x:c>
      <x:c r="D1658" s="21" t="str">
        <x:v>"rage_stack"</x:v>
      </x:c>
    </x:row>
    <x:row r="1659" ht="22" customHeight="1">
      <x:c r="A1659" s="21" t="str">
        <x:v>data/boss/bosses.json</x:v>
      </x:c>
      <x:c r="B1659" s="21" t="str">
        <x:v>$/bosses/4/atk_per_hit</x:v>
      </x:c>
      <x:c r="C1659" s="21" t="str">
        <x:v>float</x:v>
      </x:c>
      <x:c r="D1659" s="21" t="str">
        <x:v>0.03</x:v>
      </x:c>
    </x:row>
    <x:row r="1660" ht="22" customHeight="1">
      <x:c r="A1660" s="21" t="str">
        <x:v>data/boss/bosses.json</x:v>
      </x:c>
      <x:c r="B1660" s="21" t="str">
        <x:v>$/bosses/4/aspd_per_hit</x:v>
      </x:c>
      <x:c r="C1660" s="21" t="str">
        <x:v>float</x:v>
      </x:c>
      <x:c r="D1660" s="21" t="str">
        <x:v>0.03</x:v>
      </x:c>
    </x:row>
    <x:row r="1661" ht="22" customHeight="1">
      <x:c r="A1661" s="21" t="str">
        <x:v>data/boss/bosses.json</x:v>
      </x:c>
      <x:c r="B1661" s="21" t="str">
        <x:v>$/bosses/4/max_stacks</x:v>
      </x:c>
      <x:c r="C1661" s="21" t="str">
        <x:v>int</x:v>
      </x:c>
      <x:c r="D1661" s="21" t="str">
        <x:v>20</x:v>
      </x:c>
    </x:row>
    <x:row r="1662" ht="22" customHeight="1">
      <x:c r="A1662" s="21" t="str">
        <x:v>data/boss/bosses.json</x:v>
      </x:c>
      <x:c r="B1662" s="21" t="str">
        <x:v>$/bosses/4/model</x:v>
      </x:c>
      <x:c r="C1662" s="21" t="str">
        <x:v>string</x:v>
      </x:c>
      <x:c r="D1662" s="21" t="str">
        <x:v>"res://assets/models/bosses/boss_rage_beast_animated/boss_rage_beast_animated.tscn"</x:v>
      </x:c>
    </x:row>
    <x:row r="1663" ht="22" customHeight="1">
      <x:c r="A1663" s="21" t="str">
        <x:v>data/boss/bosses.json</x:v>
      </x:c>
      <x:c r="B1663" s="21" t="str">
        <x:v>$/bosses/4/model_visual_scale</x:v>
      </x:c>
      <x:c r="C1663" s="21" t="str">
        <x:v>float</x:v>
      </x:c>
      <x:c r="D1663" s="21" t="str">
        <x:v>2.0</x:v>
      </x:c>
    </x:row>
    <x:row r="1664" ht="22" customHeight="1">
      <x:c r="A1664" s="21" t="str">
        <x:v>data/boss/bosses.json</x:v>
      </x:c>
      <x:c r="B1664" s="21" t="str">
        <x:v>$/bosses/4/model_base_yaw</x:v>
      </x:c>
      <x:c r="C1664" s="21" t="str">
        <x:v>float</x:v>
      </x:c>
      <x:c r="D1664" s="21" t="str">
        <x:v>180.0</x:v>
      </x:c>
    </x:row>
    <x:row r="1665" ht="22" customHeight="1">
      <x:c r="A1665" s="21" t="str">
        <x:v>data/boss/bosses.json</x:v>
      </x:c>
      <x:c r="B1665" s="21" t="str">
        <x:v>$/bosses/4/model_idle_animation_name</x:v>
      </x:c>
      <x:c r="C1665" s="21" t="str">
        <x:v>string</x:v>
      </x:c>
      <x:c r="D1665" s="21" t="str">
        <x:v>"idle"</x:v>
      </x:c>
    </x:row>
    <x:row r="1666" ht="22" customHeight="1">
      <x:c r="A1666" s="21" t="str">
        <x:v>data/boss/bosses.json</x:v>
      </x:c>
      <x:c r="B1666" s="21" t="str">
        <x:v>$/bosses/4/model_attack_animation_name</x:v>
      </x:c>
      <x:c r="C1666" s="21" t="str">
        <x:v>string</x:v>
      </x:c>
      <x:c r="D1666" s="21" t="str">
        <x:v>"attack"</x:v>
      </x:c>
    </x:row>
    <x:row r="1667" ht="22" customHeight="1">
      <x:c r="A1667" s="21" t="str">
        <x:v>data/boss/bosses.json</x:v>
      </x:c>
      <x:c r="B1667" s="21" t="str">
        <x:v>$/bosses/4/model_attack_sync_seek</x:v>
      </x:c>
      <x:c r="C1667" s="21" t="str">
        <x:v>float</x:v>
      </x:c>
      <x:c r="D1667" s="21" t="str">
        <x:v>0.18</x:v>
      </x:c>
    </x:row>
    <x:row r="1668" ht="22" customHeight="1">
      <x:c r="A1668" s="21" t="str">
        <x:v>data/boss/bosses.json</x:v>
      </x:c>
      <x:c r="B1668" s="21" t="str">
        <x:v>$/bosses/4/model_attack_lock_time</x:v>
      </x:c>
      <x:c r="C1668" s="21" t="str">
        <x:v>float</x:v>
      </x:c>
      <x:c r="D1668" s="21" t="str">
        <x:v>0.42</x:v>
      </x:c>
    </x:row>
    <x:row r="1669" ht="22" customHeight="1">
      <x:c r="A1669" s="21" t="str">
        <x:v>data/boss/bosses.json</x:v>
      </x:c>
      <x:c r="B1669" s="21" t="str">
        <x:v>$/bosses/4/model_run_animation_name</x:v>
      </x:c>
      <x:c r="C1669" s="21" t="str">
        <x:v>string</x:v>
      </x:c>
      <x:c r="D1669" s="21" t="str">
        <x:v>"run"</x:v>
      </x:c>
    </x:row>
    <x:row r="1670" ht="22" customHeight="1">
      <x:c r="A1670" s="21" t="str">
        <x:v>data/boss/bosses.json</x:v>
      </x:c>
      <x:c r="B1670" s="21" t="str">
        <x:v>$/bosses/5</x:v>
      </x:c>
      <x:c r="C1670" s="21" t="str">
        <x:v>object</x:v>
      </x:c>
      <x:c r="D1670" s="21" t="str"/>
    </x:row>
    <x:row r="1671" ht="22" customHeight="1">
      <x:c r="A1671" s="21" t="str">
        <x:v>data/boss/bosses.json</x:v>
      </x:c>
      <x:c r="B1671" s="21" t="str">
        <x:v>$/bosses/5/id</x:v>
      </x:c>
      <x:c r="C1671" s="21" t="str">
        <x:v>string</x:v>
      </x:c>
      <x:c r="D1671" s="21" t="str">
        <x:v>"boss_blood_demon"</x:v>
      </x:c>
    </x:row>
    <x:row r="1672" ht="22" customHeight="1">
      <x:c r="A1672" s="21" t="str">
        <x:v>data/boss/bosses.json</x:v>
      </x:c>
      <x:c r="B1672" s="21" t="str">
        <x:v>$/bosses/5/model_in_place_actions</x:v>
      </x:c>
      <x:c r="C1672" s="21" t="str">
        <x:v>array</x:v>
      </x:c>
      <x:c r="D1672" s="21" t="str"/>
    </x:row>
    <x:row r="1673" ht="22" customHeight="1">
      <x:c r="A1673" s="21" t="str">
        <x:v>data/boss/bosses.json</x:v>
      </x:c>
      <x:c r="B1673" s="21" t="str">
        <x:v>$/bosses/5/model_in_place_actions/0</x:v>
      </x:c>
      <x:c r="C1673" s="21" t="str">
        <x:v>string</x:v>
      </x:c>
      <x:c r="D1673" s="21" t="str">
        <x:v>"run"</x:v>
      </x:c>
    </x:row>
    <x:row r="1674" ht="22" customHeight="1">
      <x:c r="A1674" s="21" t="str">
        <x:v>data/boss/bosses.json</x:v>
      </x:c>
      <x:c r="B1674" s="21" t="str">
        <x:v>$/bosses/5/name</x:v>
      </x:c>
      <x:c r="C1674" s="21" t="str">
        <x:v>string</x:v>
      </x:c>
      <x:c r="D1674" s="21" t="str">
        <x:v>"血怒魔王"</x:v>
      </x:c>
    </x:row>
    <x:row r="1675" ht="22" customHeight="1">
      <x:c r="A1675" s="21" t="str">
        <x:v>data/boss/bosses.json</x:v>
      </x:c>
      <x:c r="B1675" s="21" t="str">
        <x:v>$/bosses/5/name_en</x:v>
      </x:c>
      <x:c r="C1675" s="21" t="str">
        <x:v>string</x:v>
      </x:c>
      <x:c r="D1675" s="21" t="str">
        <x:v>"Bloodrage Demon"</x:v>
      </x:c>
    </x:row>
    <x:row r="1676" ht="22" customHeight="1">
      <x:c r="A1676" s="21" t="str">
        <x:v>data/boss/bosses.json</x:v>
      </x:c>
      <x:c r="B1676" s="21" t="str">
        <x:v>$/bosses/5/element</x:v>
      </x:c>
      <x:c r="C1676" s="21" t="str">
        <x:v>string</x:v>
      </x:c>
      <x:c r="D1676" s="21" t="str">
        <x:v>"ren"</x:v>
      </x:c>
    </x:row>
    <x:row r="1677" ht="22" customHeight="1">
      <x:c r="A1677" s="21" t="str">
        <x:v>data/boss/bosses.json</x:v>
      </x:c>
      <x:c r="B1677" s="21" t="str">
        <x:v>$/bosses/5/hp</x:v>
      </x:c>
      <x:c r="C1677" s="21" t="str">
        <x:v>int</x:v>
      </x:c>
      <x:c r="D1677" s="21" t="str">
        <x:v>2000</x:v>
      </x:c>
    </x:row>
    <x:row r="1678" ht="22" customHeight="1">
      <x:c r="A1678" s="21" t="str">
        <x:v>data/boss/bosses.json</x:v>
      </x:c>
      <x:c r="B1678" s="21" t="str">
        <x:v>$/bosses/5/atk</x:v>
      </x:c>
      <x:c r="C1678" s="21" t="str">
        <x:v>int</x:v>
      </x:c>
      <x:c r="D1678" s="21" t="str">
        <x:v>61</x:v>
      </x:c>
    </x:row>
    <x:row r="1679" ht="22" customHeight="1">
      <x:c r="A1679" s="21" t="str">
        <x:v>data/boss/bosses.json</x:v>
      </x:c>
      <x:c r="B1679" s="21" t="str">
        <x:v>$/bosses/5/def</x:v>
      </x:c>
      <x:c r="C1679" s="21" t="str">
        <x:v>int</x:v>
      </x:c>
      <x:c r="D1679" s="21" t="str">
        <x:v>12</x:v>
      </x:c>
    </x:row>
    <x:row r="1680" ht="22" customHeight="1">
      <x:c r="A1680" s="21" t="str">
        <x:v>data/boss/bosses.json</x:v>
      </x:c>
      <x:c r="B1680" s="21" t="str">
        <x:v>$/bosses/5/attack_speed</x:v>
      </x:c>
      <x:c r="C1680" s="21" t="str">
        <x:v>float</x:v>
      </x:c>
      <x:c r="D1680" s="21" t="str">
        <x:v>0.85</x:v>
      </x:c>
    </x:row>
    <x:row r="1681" ht="22" customHeight="1">
      <x:c r="A1681" s="21" t="str">
        <x:v>data/boss/bosses.json</x:v>
      </x:c>
      <x:c r="B1681" s="21" t="str">
        <x:v>$/bosses/5/range</x:v>
      </x:c>
      <x:c r="C1681" s="21" t="str">
        <x:v>int</x:v>
      </x:c>
      <x:c r="D1681" s="21" t="str">
        <x:v>1</x:v>
      </x:c>
    </x:row>
    <x:row r="1682" ht="22" customHeight="1">
      <x:c r="A1682" s="21" t="str">
        <x:v>data/boss/bosses.json</x:v>
      </x:c>
      <x:c r="B1682" s="21" t="str">
        <x:v>$/bosses/5/move_speed</x:v>
      </x:c>
      <x:c r="C1682" s="21" t="str">
        <x:v>float</x:v>
      </x:c>
      <x:c r="D1682" s="21" t="str">
        <x:v>3.0</x:v>
      </x:c>
    </x:row>
    <x:row r="1683" ht="22" customHeight="1">
      <x:c r="A1683" s="21" t="str">
        <x:v>data/boss/bosses.json</x:v>
      </x:c>
      <x:c r="B1683" s="21" t="str">
        <x:v>$/bosses/5/footprint_cells</x:v>
      </x:c>
      <x:c r="C1683" s="21" t="str">
        <x:v>int</x:v>
      </x:c>
      <x:c r="D1683" s="21" t="str">
        <x:v>2</x:v>
      </x:c>
    </x:row>
    <x:row r="1684" ht="22" customHeight="1">
      <x:c r="A1684" s="21" t="str">
        <x:v>data/boss/bosses.json</x:v>
      </x:c>
      <x:c r="B1684" s="21" t="str">
        <x:v>$/bosses/5/skill_id</x:v>
      </x:c>
      <x:c r="C1684" s="21" t="str">
        <x:v>string</x:v>
      </x:c>
      <x:c r="D1684" s="21" t="str">
        <x:v>"blood_rage"</x:v>
      </x:c>
    </x:row>
    <x:row r="1685" ht="22" customHeight="1">
      <x:c r="A1685" s="21" t="str">
        <x:v>data/boss/bosses.json</x:v>
      </x:c>
      <x:c r="B1685" s="21" t="str">
        <x:v>$/bosses/5/trigger_hp_pct</x:v>
      </x:c>
      <x:c r="C1685" s="21" t="str">
        <x:v>float</x:v>
      </x:c>
      <x:c r="D1685" s="21" t="str">
        <x:v>0.35</x:v>
      </x:c>
    </x:row>
    <x:row r="1686" ht="22" customHeight="1">
      <x:c r="A1686" s="21" t="str">
        <x:v>data/boss/bosses.json</x:v>
      </x:c>
      <x:c r="B1686" s="21" t="str">
        <x:v>$/bosses/5/atk_bonus</x:v>
      </x:c>
      <x:c r="C1686" s="21" t="str">
        <x:v>float</x:v>
      </x:c>
      <x:c r="D1686" s="21" t="str">
        <x:v>0.4</x:v>
      </x:c>
    </x:row>
    <x:row r="1687" ht="22" customHeight="1">
      <x:c r="A1687" s="21" t="str">
        <x:v>data/boss/bosses.json</x:v>
      </x:c>
      <x:c r="B1687" s="21" t="str">
        <x:v>$/bosses/5/aspd_bonus</x:v>
      </x:c>
      <x:c r="C1687" s="21" t="str">
        <x:v>float</x:v>
      </x:c>
      <x:c r="D1687" s="21" t="str">
        <x:v>0.3</x:v>
      </x:c>
    </x:row>
    <x:row r="1688" ht="22" customHeight="1">
      <x:c r="A1688" s="21" t="str">
        <x:v>data/boss/bosses.json</x:v>
      </x:c>
      <x:c r="B1688" s="21" t="str">
        <x:v>$/bosses/5/lifesteal</x:v>
      </x:c>
      <x:c r="C1688" s="21" t="str">
        <x:v>float</x:v>
      </x:c>
      <x:c r="D1688" s="21" t="str">
        <x:v>0.1</x:v>
      </x:c>
    </x:row>
    <x:row r="1689" ht="22" customHeight="1">
      <x:c r="A1689" s="21" t="str">
        <x:v>data/boss/bosses.json</x:v>
      </x:c>
      <x:c r="B1689" s="21" t="str">
        <x:v>$/bosses/5/model</x:v>
      </x:c>
      <x:c r="C1689" s="21" t="str">
        <x:v>string</x:v>
      </x:c>
      <x:c r="D1689" s="21" t="str">
        <x:v>"res://assets/models/bosses/boss_blood_demon_animated/boss_blood_demon_animated.tscn"</x:v>
      </x:c>
    </x:row>
    <x:row r="1690" ht="22" customHeight="1">
      <x:c r="A1690" s="21" t="str">
        <x:v>data/boss/bosses.json</x:v>
      </x:c>
      <x:c r="B1690" s="21" t="str">
        <x:v>$/bosses/5/model_visual_scale</x:v>
      </x:c>
      <x:c r="C1690" s="21" t="str">
        <x:v>float</x:v>
      </x:c>
      <x:c r="D1690" s="21" t="str">
        <x:v>2.0</x:v>
      </x:c>
    </x:row>
    <x:row r="1691" ht="22" customHeight="1">
      <x:c r="A1691" s="21" t="str">
        <x:v>data/boss/bosses.json</x:v>
      </x:c>
      <x:c r="B1691" s="21" t="str">
        <x:v>$/bosses/5/model_base_yaw</x:v>
      </x:c>
      <x:c r="C1691" s="21" t="str">
        <x:v>float</x:v>
      </x:c>
      <x:c r="D1691" s="21" t="str">
        <x:v>180.0</x:v>
      </x:c>
    </x:row>
    <x:row r="1692" ht="22" customHeight="1">
      <x:c r="A1692" s="21" t="str">
        <x:v>data/boss/bosses.json</x:v>
      </x:c>
      <x:c r="B1692" s="21" t="str">
        <x:v>$/bosses/5/model_idle_animation_name</x:v>
      </x:c>
      <x:c r="C1692" s="21" t="str">
        <x:v>string</x:v>
      </x:c>
      <x:c r="D1692" s="21" t="str">
        <x:v>"idle"</x:v>
      </x:c>
    </x:row>
    <x:row r="1693" ht="22" customHeight="1">
      <x:c r="A1693" s="21" t="str">
        <x:v>data/boss/bosses.json</x:v>
      </x:c>
      <x:c r="B1693" s="21" t="str">
        <x:v>$/bosses/5/model_attack_animation_name</x:v>
      </x:c>
      <x:c r="C1693" s="21" t="str">
        <x:v>string</x:v>
      </x:c>
      <x:c r="D1693" s="21" t="str">
        <x:v>"attack"</x:v>
      </x:c>
    </x:row>
    <x:row r="1694" ht="22" customHeight="1">
      <x:c r="A1694" s="21" t="str">
        <x:v>data/boss/bosses.json</x:v>
      </x:c>
      <x:c r="B1694" s="21" t="str">
        <x:v>$/bosses/5/model_attack_sync_seek</x:v>
      </x:c>
      <x:c r="C1694" s="21" t="str">
        <x:v>float</x:v>
      </x:c>
      <x:c r="D1694" s="21" t="str">
        <x:v>0.18</x:v>
      </x:c>
    </x:row>
    <x:row r="1695" ht="22" customHeight="1">
      <x:c r="A1695" s="21" t="str">
        <x:v>data/boss/bosses.json</x:v>
      </x:c>
      <x:c r="B1695" s="21" t="str">
        <x:v>$/bosses/5/model_attack_lock_time</x:v>
      </x:c>
      <x:c r="C1695" s="21" t="str">
        <x:v>float</x:v>
      </x:c>
      <x:c r="D1695" s="21" t="str">
        <x:v>0.42</x:v>
      </x:c>
    </x:row>
    <x:row r="1696" ht="22" customHeight="1">
      <x:c r="A1696" s="21" t="str">
        <x:v>data/boss/bosses.json</x:v>
      </x:c>
      <x:c r="B1696" s="21" t="str">
        <x:v>$/bosses/5/model_run_animation_name</x:v>
      </x:c>
      <x:c r="C1696" s="21" t="str">
        <x:v>string</x:v>
      </x:c>
      <x:c r="D1696" s="21" t="str">
        <x:v>"run"</x:v>
      </x:c>
    </x:row>
    <x:row r="1697" ht="22" customHeight="1">
      <x:c r="A1697" s="21" t="str">
        <x:v>data/boss/bosses.json</x:v>
      </x:c>
      <x:c r="B1697" s="21" t="str">
        <x:v>$/bosses/6</x:v>
      </x:c>
      <x:c r="C1697" s="21" t="str">
        <x:v>object</x:v>
      </x:c>
      <x:c r="D1697" s="21" t="str"/>
    </x:row>
    <x:row r="1698" ht="22" customHeight="1">
      <x:c r="A1698" s="21" t="str">
        <x:v>data/boss/bosses.json</x:v>
      </x:c>
      <x:c r="B1698" s="21" t="str">
        <x:v>$/bosses/6/id</x:v>
      </x:c>
      <x:c r="C1698" s="21" t="str">
        <x:v>string</x:v>
      </x:c>
      <x:c r="D1698" s="21" t="str">
        <x:v>"boss_soul_devourer"</x:v>
      </x:c>
    </x:row>
    <x:row r="1699" ht="22" customHeight="1">
      <x:c r="A1699" s="21" t="str">
        <x:v>data/boss/bosses.json</x:v>
      </x:c>
      <x:c r="B1699" s="21" t="str">
        <x:v>$/bosses/6/model_in_place_actions</x:v>
      </x:c>
      <x:c r="C1699" s="21" t="str">
        <x:v>array</x:v>
      </x:c>
      <x:c r="D1699" s="21" t="str"/>
    </x:row>
    <x:row r="1700" ht="22" customHeight="1">
      <x:c r="A1700" s="21" t="str">
        <x:v>data/boss/bosses.json</x:v>
      </x:c>
      <x:c r="B1700" s="21" t="str">
        <x:v>$/bosses/6/model_in_place_actions/0</x:v>
      </x:c>
      <x:c r="C1700" s="21" t="str">
        <x:v>string</x:v>
      </x:c>
      <x:c r="D1700" s="21" t="str">
        <x:v>"run"</x:v>
      </x:c>
    </x:row>
    <x:row r="1701" ht="22" customHeight="1">
      <x:c r="A1701" s="21" t="str">
        <x:v>data/boss/bosses.json</x:v>
      </x:c>
      <x:c r="B1701" s="21" t="str">
        <x:v>$/bosses/6/name</x:v>
      </x:c>
      <x:c r="C1701" s="21" t="str">
        <x:v>string</x:v>
      </x:c>
      <x:c r="D1701" s="21" t="str">
        <x:v>"噬魂领主"</x:v>
      </x:c>
    </x:row>
    <x:row r="1702" ht="22" customHeight="1">
      <x:c r="A1702" s="21" t="str">
        <x:v>data/boss/bosses.json</x:v>
      </x:c>
      <x:c r="B1702" s="21" t="str">
        <x:v>$/bosses/6/name_en</x:v>
      </x:c>
      <x:c r="C1702" s="21" t="str">
        <x:v>string</x:v>
      </x:c>
      <x:c r="D1702" s="21" t="str">
        <x:v>"Soul Devourer"</x:v>
      </x:c>
    </x:row>
    <x:row r="1703" ht="22" customHeight="1">
      <x:c r="A1703" s="21" t="str">
        <x:v>data/boss/bosses.json</x:v>
      </x:c>
      <x:c r="B1703" s="21" t="str">
        <x:v>$/bosses/6/element</x:v>
      </x:c>
      <x:c r="C1703" s="21" t="str">
        <x:v>string</x:v>
      </x:c>
      <x:c r="D1703" s="21" t="str">
        <x:v>"ren"</x:v>
      </x:c>
    </x:row>
    <x:row r="1704" ht="22" customHeight="1">
      <x:c r="A1704" s="21" t="str">
        <x:v>data/boss/bosses.json</x:v>
      </x:c>
      <x:c r="B1704" s="21" t="str">
        <x:v>$/bosses/6/hp</x:v>
      </x:c>
      <x:c r="C1704" s="21" t="str">
        <x:v>int</x:v>
      </x:c>
      <x:c r="D1704" s="21" t="str">
        <x:v>2100</x:v>
      </x:c>
    </x:row>
    <x:row r="1705" ht="22" customHeight="1">
      <x:c r="A1705" s="21" t="str">
        <x:v>data/boss/bosses.json</x:v>
      </x:c>
      <x:c r="B1705" s="21" t="str">
        <x:v>$/bosses/6/atk</x:v>
      </x:c>
      <x:c r="C1705" s="21" t="str">
        <x:v>int</x:v>
      </x:c>
      <x:c r="D1705" s="21" t="str">
        <x:v>79</x:v>
      </x:c>
    </x:row>
    <x:row r="1706" ht="22" customHeight="1">
      <x:c r="A1706" s="21" t="str">
        <x:v>data/boss/bosses.json</x:v>
      </x:c>
      <x:c r="B1706" s="21" t="str">
        <x:v>$/bosses/6/def</x:v>
      </x:c>
      <x:c r="C1706" s="21" t="str">
        <x:v>int</x:v>
      </x:c>
      <x:c r="D1706" s="21" t="str">
        <x:v>10</x:v>
      </x:c>
    </x:row>
    <x:row r="1707" ht="22" customHeight="1">
      <x:c r="A1707" s="21" t="str">
        <x:v>data/boss/bosses.json</x:v>
      </x:c>
      <x:c r="B1707" s="21" t="str">
        <x:v>$/bosses/6/attack_speed</x:v>
      </x:c>
      <x:c r="C1707" s="21" t="str">
        <x:v>float</x:v>
      </x:c>
      <x:c r="D1707" s="21" t="str">
        <x:v>0.9</x:v>
      </x:c>
    </x:row>
    <x:row r="1708" ht="22" customHeight="1">
      <x:c r="A1708" s="21" t="str">
        <x:v>data/boss/bosses.json</x:v>
      </x:c>
      <x:c r="B1708" s="21" t="str">
        <x:v>$/bosses/6/range</x:v>
      </x:c>
      <x:c r="C1708" s="21" t="str">
        <x:v>int</x:v>
      </x:c>
      <x:c r="D1708" s="21" t="str">
        <x:v>1</x:v>
      </x:c>
    </x:row>
    <x:row r="1709" ht="22" customHeight="1">
      <x:c r="A1709" s="21" t="str">
        <x:v>data/boss/bosses.json</x:v>
      </x:c>
      <x:c r="B1709" s="21" t="str">
        <x:v>$/bosses/6/move_speed</x:v>
      </x:c>
      <x:c r="C1709" s="21" t="str">
        <x:v>float</x:v>
      </x:c>
      <x:c r="D1709" s="21" t="str">
        <x:v>3.0</x:v>
      </x:c>
    </x:row>
    <x:row r="1710" ht="22" customHeight="1">
      <x:c r="A1710" s="21" t="str">
        <x:v>data/boss/bosses.json</x:v>
      </x:c>
      <x:c r="B1710" s="21" t="str">
        <x:v>$/bosses/6/footprint_cells</x:v>
      </x:c>
      <x:c r="C1710" s="21" t="str">
        <x:v>int</x:v>
      </x:c>
      <x:c r="D1710" s="21" t="str">
        <x:v>2</x:v>
      </x:c>
    </x:row>
    <x:row r="1711" ht="22" customHeight="1">
      <x:c r="A1711" s="21" t="str">
        <x:v>data/boss/bosses.json</x:v>
      </x:c>
      <x:c r="B1711" s="21" t="str">
        <x:v>$/bosses/6/skill_id</x:v>
      </x:c>
      <x:c r="C1711" s="21" t="str">
        <x:v>string</x:v>
      </x:c>
      <x:c r="D1711" s="21" t="str">
        <x:v>"soul_devour"</x:v>
      </x:c>
    </x:row>
    <x:row r="1712" ht="22" customHeight="1">
      <x:c r="A1712" s="21" t="str">
        <x:v>data/boss/bosses.json</x:v>
      </x:c>
      <x:c r="B1712" s="21" t="str">
        <x:v>$/bosses/6/kill_heal_pct</x:v>
      </x:c>
      <x:c r="C1712" s="21" t="str">
        <x:v>float</x:v>
      </x:c>
      <x:c r="D1712" s="21" t="str">
        <x:v>0.15</x:v>
      </x:c>
    </x:row>
    <x:row r="1713" ht="22" customHeight="1">
      <x:c r="A1713" s="21" t="str">
        <x:v>data/boss/bosses.json</x:v>
      </x:c>
      <x:c r="B1713" s="21" t="str">
        <x:v>$/bosses/6/atk_stack</x:v>
      </x:c>
      <x:c r="C1713" s="21" t="str">
        <x:v>float</x:v>
      </x:c>
      <x:c r="D1713" s="21" t="str">
        <x:v>0.1</x:v>
      </x:c>
    </x:row>
    <x:row r="1714" ht="22" customHeight="1">
      <x:c r="A1714" s="21" t="str">
        <x:v>data/boss/bosses.json</x:v>
      </x:c>
      <x:c r="B1714" s="21" t="str">
        <x:v>$/bosses/6/model</x:v>
      </x:c>
      <x:c r="C1714" s="21" t="str">
        <x:v>string</x:v>
      </x:c>
      <x:c r="D1714" s="21" t="str">
        <x:v>"res://assets/models/bosses/boss_soul_devourer_animated/boss_soul_devourer_animated.tscn"</x:v>
      </x:c>
    </x:row>
    <x:row r="1715" ht="22" customHeight="1">
      <x:c r="A1715" s="21" t="str">
        <x:v>data/boss/bosses.json</x:v>
      </x:c>
      <x:c r="B1715" s="21" t="str">
        <x:v>$/bosses/6/model_visual_scale</x:v>
      </x:c>
      <x:c r="C1715" s="21" t="str">
        <x:v>float</x:v>
      </x:c>
      <x:c r="D1715" s="21" t="str">
        <x:v>2.0</x:v>
      </x:c>
    </x:row>
    <x:row r="1716" ht="22" customHeight="1">
      <x:c r="A1716" s="21" t="str">
        <x:v>data/boss/bosses.json</x:v>
      </x:c>
      <x:c r="B1716" s="21" t="str">
        <x:v>$/bosses/6/model_base_yaw</x:v>
      </x:c>
      <x:c r="C1716" s="21" t="str">
        <x:v>float</x:v>
      </x:c>
      <x:c r="D1716" s="21" t="str">
        <x:v>180.0</x:v>
      </x:c>
    </x:row>
    <x:row r="1717" ht="22" customHeight="1">
      <x:c r="A1717" s="21" t="str">
        <x:v>data/boss/bosses.json</x:v>
      </x:c>
      <x:c r="B1717" s="21" t="str">
        <x:v>$/bosses/6/model_idle_animation_name</x:v>
      </x:c>
      <x:c r="C1717" s="21" t="str">
        <x:v>string</x:v>
      </x:c>
      <x:c r="D1717" s="21" t="str">
        <x:v>"idle"</x:v>
      </x:c>
    </x:row>
    <x:row r="1718" ht="22" customHeight="1">
      <x:c r="A1718" s="21" t="str">
        <x:v>data/boss/bosses.json</x:v>
      </x:c>
      <x:c r="B1718" s="21" t="str">
        <x:v>$/bosses/6/model_attack_animation_name</x:v>
      </x:c>
      <x:c r="C1718" s="21" t="str">
        <x:v>string</x:v>
      </x:c>
      <x:c r="D1718" s="21" t="str">
        <x:v>"attack"</x:v>
      </x:c>
    </x:row>
    <x:row r="1719" ht="22" customHeight="1">
      <x:c r="A1719" s="21" t="str">
        <x:v>data/boss/bosses.json</x:v>
      </x:c>
      <x:c r="B1719" s="21" t="str">
        <x:v>$/bosses/6/model_attack_sync_seek</x:v>
      </x:c>
      <x:c r="C1719" s="21" t="str">
        <x:v>float</x:v>
      </x:c>
      <x:c r="D1719" s="21" t="str">
        <x:v>0.18</x:v>
      </x:c>
    </x:row>
    <x:row r="1720" ht="22" customHeight="1">
      <x:c r="A1720" s="21" t="str">
        <x:v>data/boss/bosses.json</x:v>
      </x:c>
      <x:c r="B1720" s="21" t="str">
        <x:v>$/bosses/6/model_attack_lock_time</x:v>
      </x:c>
      <x:c r="C1720" s="21" t="str">
        <x:v>float</x:v>
      </x:c>
      <x:c r="D1720" s="21" t="str">
        <x:v>0.42</x:v>
      </x:c>
    </x:row>
    <x:row r="1721" ht="22" customHeight="1">
      <x:c r="A1721" s="21" t="str">
        <x:v>data/boss/bosses.json</x:v>
      </x:c>
      <x:c r="B1721" s="21" t="str">
        <x:v>$/bosses/6/model_run_animation_name</x:v>
      </x:c>
      <x:c r="C1721" s="21" t="str">
        <x:v>string</x:v>
      </x:c>
      <x:c r="D1721" s="21" t="str">
        <x:v>"run"</x:v>
      </x:c>
    </x:row>
    <x:row r="1722" ht="22" customHeight="1">
      <x:c r="A1722" s="21" t="str">
        <x:v>data/boss/bosses.json</x:v>
      </x:c>
      <x:c r="B1722" s="21" t="str">
        <x:v>$/bosses/7</x:v>
      </x:c>
      <x:c r="C1722" s="21" t="str">
        <x:v>object</x:v>
      </x:c>
      <x:c r="D1722" s="21" t="str"/>
    </x:row>
    <x:row r="1723" ht="22" customHeight="1">
      <x:c r="A1723" s="21" t="str">
        <x:v>data/boss/bosses.json</x:v>
      </x:c>
      <x:c r="B1723" s="21" t="str">
        <x:v>$/bosses/7/id</x:v>
      </x:c>
      <x:c r="C1723" s="21" t="str">
        <x:v>string</x:v>
      </x:c>
      <x:c r="D1723" s="21" t="str">
        <x:v>"boss_twin_gate"</x:v>
      </x:c>
    </x:row>
    <x:row r="1724" ht="22" customHeight="1">
      <x:c r="A1724" s="21" t="str">
        <x:v>data/boss/bosses.json</x:v>
      </x:c>
      <x:c r="B1724" s="21" t="str">
        <x:v>$/bosses/7/model_in_place_actions</x:v>
      </x:c>
      <x:c r="C1724" s="21" t="str">
        <x:v>array</x:v>
      </x:c>
      <x:c r="D1724" s="21" t="str"/>
    </x:row>
    <x:row r="1725" ht="22" customHeight="1">
      <x:c r="A1725" s="21" t="str">
        <x:v>data/boss/bosses.json</x:v>
      </x:c>
      <x:c r="B1725" s="21" t="str">
        <x:v>$/bosses/7/model_in_place_actions/0</x:v>
      </x:c>
      <x:c r="C1725" s="21" t="str">
        <x:v>string</x:v>
      </x:c>
      <x:c r="D1725" s="21" t="str">
        <x:v>"run"</x:v>
      </x:c>
    </x:row>
    <x:row r="1726" ht="22" customHeight="1">
      <x:c r="A1726" s="21" t="str">
        <x:v>data/boss/bosses.json</x:v>
      </x:c>
      <x:c r="B1726" s="21" t="str">
        <x:v>$/bosses/7/name</x:v>
      </x:c>
      <x:c r="C1726" s="21" t="str">
        <x:v>string</x:v>
      </x:c>
      <x:c r="D1726" s="21" t="str">
        <x:v>"双生守门人"</x:v>
      </x:c>
    </x:row>
    <x:row r="1727" ht="22" customHeight="1">
      <x:c r="A1727" s="21" t="str">
        <x:v>data/boss/bosses.json</x:v>
      </x:c>
      <x:c r="B1727" s="21" t="str">
        <x:v>$/bosses/7/name_en</x:v>
      </x:c>
      <x:c r="C1727" s="21" t="str">
        <x:v>string</x:v>
      </x:c>
      <x:c r="D1727" s="21" t="str">
        <x:v>"Twin Gatekeepers"</x:v>
      </x:c>
    </x:row>
    <x:row r="1728" ht="22" customHeight="1">
      <x:c r="A1728" s="21" t="str">
        <x:v>data/boss/bosses.json</x:v>
      </x:c>
      <x:c r="B1728" s="21" t="str">
        <x:v>$/bosses/7/element</x:v>
      </x:c>
      <x:c r="C1728" s="21" t="str">
        <x:v>string</x:v>
      </x:c>
      <x:c r="D1728" s="21" t="str">
        <x:v>"land"</x:v>
      </x:c>
    </x:row>
    <x:row r="1729" ht="22" customHeight="1">
      <x:c r="A1729" s="21" t="str">
        <x:v>data/boss/bosses.json</x:v>
      </x:c>
      <x:c r="B1729" s="21" t="str">
        <x:v>$/bosses/7/hp</x:v>
      </x:c>
      <x:c r="C1729" s="21" t="str">
        <x:v>int</x:v>
      </x:c>
      <x:c r="D1729" s="21" t="str">
        <x:v>1400</x:v>
      </x:c>
    </x:row>
    <x:row r="1730" ht="22" customHeight="1">
      <x:c r="A1730" s="21" t="str">
        <x:v>data/boss/bosses.json</x:v>
      </x:c>
      <x:c r="B1730" s="21" t="str">
        <x:v>$/bosses/7/atk</x:v>
      </x:c>
      <x:c r="C1730" s="21" t="str">
        <x:v>int</x:v>
      </x:c>
      <x:c r="D1730" s="21" t="str">
        <x:v>64</x:v>
      </x:c>
    </x:row>
    <x:row r="1731" ht="22" customHeight="1">
      <x:c r="A1731" s="21" t="str">
        <x:v>data/boss/bosses.json</x:v>
      </x:c>
      <x:c r="B1731" s="21" t="str">
        <x:v>$/bosses/7/def</x:v>
      </x:c>
      <x:c r="C1731" s="21" t="str">
        <x:v>int</x:v>
      </x:c>
      <x:c r="D1731" s="21" t="str">
        <x:v>10</x:v>
      </x:c>
    </x:row>
    <x:row r="1732" ht="22" customHeight="1">
      <x:c r="A1732" s="21" t="str">
        <x:v>data/boss/bosses.json</x:v>
      </x:c>
      <x:c r="B1732" s="21" t="str">
        <x:v>$/bosses/7/attack_speed</x:v>
      </x:c>
      <x:c r="C1732" s="21" t="str">
        <x:v>float</x:v>
      </x:c>
      <x:c r="D1732" s="21" t="str">
        <x:v>0.9</x:v>
      </x:c>
    </x:row>
    <x:row r="1733" ht="22" customHeight="1">
      <x:c r="A1733" s="21" t="str">
        <x:v>data/boss/bosses.json</x:v>
      </x:c>
      <x:c r="B1733" s="21" t="str">
        <x:v>$/bosses/7/range</x:v>
      </x:c>
      <x:c r="C1733" s="21" t="str">
        <x:v>int</x:v>
      </x:c>
      <x:c r="D1733" s="21" t="str">
        <x:v>1</x:v>
      </x:c>
    </x:row>
    <x:row r="1734" ht="22" customHeight="1">
      <x:c r="A1734" s="21" t="str">
        <x:v>data/boss/bosses.json</x:v>
      </x:c>
      <x:c r="B1734" s="21" t="str">
        <x:v>$/bosses/7/move_speed</x:v>
      </x:c>
      <x:c r="C1734" s="21" t="str">
        <x:v>float</x:v>
      </x:c>
      <x:c r="D1734" s="21" t="str">
        <x:v>3.0</x:v>
      </x:c>
    </x:row>
    <x:row r="1735" ht="22" customHeight="1">
      <x:c r="A1735" s="21" t="str">
        <x:v>data/boss/bosses.json</x:v>
      </x:c>
      <x:c r="B1735" s="21" t="str">
        <x:v>$/bosses/7/footprint_cells</x:v>
      </x:c>
      <x:c r="C1735" s="21" t="str">
        <x:v>int</x:v>
      </x:c>
      <x:c r="D1735" s="21" t="str">
        <x:v>2</x:v>
      </x:c>
    </x:row>
    <x:row r="1736" ht="22" customHeight="1">
      <x:c r="A1736" s="21" t="str">
        <x:v>data/boss/bosses.json</x:v>
      </x:c>
      <x:c r="B1736" s="21" t="str">
        <x:v>$/bosses/7/skill_id</x:v>
      </x:c>
      <x:c r="C1736" s="21" t="str">
        <x:v>string</x:v>
      </x:c>
      <x:c r="D1736" s="21" t="str">
        <x:v>"twin_revive"</x:v>
      </x:c>
    </x:row>
    <x:row r="1737" ht="22" customHeight="1">
      <x:c r="A1737" s="21" t="str">
        <x:v>data/boss/bosses.json</x:v>
      </x:c>
      <x:c r="B1737" s="21" t="str">
        <x:v>$/bosses/7/is_twin</x:v>
      </x:c>
      <x:c r="C1737" s="21" t="str">
        <x:v>bool</x:v>
      </x:c>
      <x:c r="D1737" s="21" t="str">
        <x:v>true</x:v>
      </x:c>
    </x:row>
    <x:row r="1738" ht="22" customHeight="1">
      <x:c r="A1738" s="21" t="str">
        <x:v>data/boss/bosses.json</x:v>
      </x:c>
      <x:c r="B1738" s="21" t="str">
        <x:v>$/bosses/7/revive_delay</x:v>
      </x:c>
      <x:c r="C1738" s="21" t="str">
        <x:v>float</x:v>
      </x:c>
      <x:c r="D1738" s="21" t="str">
        <x:v>5.0</x:v>
      </x:c>
    </x:row>
    <x:row r="1739" ht="22" customHeight="1">
      <x:c r="A1739" s="21" t="str">
        <x:v>data/boss/bosses.json</x:v>
      </x:c>
      <x:c r="B1739" s="21" t="str">
        <x:v>$/bosses/7/revive_hp_pct</x:v>
      </x:c>
      <x:c r="C1739" s="21" t="str">
        <x:v>float</x:v>
      </x:c>
      <x:c r="D1739" s="21" t="str">
        <x:v>0.3</x:v>
      </x:c>
    </x:row>
    <x:row r="1740" ht="22" customHeight="1">
      <x:c r="A1740" s="21" t="str">
        <x:v>data/boss/bosses.json</x:v>
      </x:c>
      <x:c r="B1740" s="21" t="str">
        <x:v>$/bosses/7/revives_per_twin</x:v>
      </x:c>
      <x:c r="C1740" s="21" t="str">
        <x:v>int</x:v>
      </x:c>
      <x:c r="D1740" s="21" t="str">
        <x:v>1</x:v>
      </x:c>
    </x:row>
    <x:row r="1741" ht="22" customHeight="1">
      <x:c r="A1741" s="21" t="str">
        <x:v>data/boss/bosses.json</x:v>
      </x:c>
      <x:c r="B1741" s="21" t="str">
        <x:v>$/bosses/7/twin_second_element</x:v>
      </x:c>
      <x:c r="C1741" s="21" t="str">
        <x:v>string</x:v>
      </x:c>
      <x:c r="D1741" s="21" t="str">
        <x:v>"sky"</x:v>
      </x:c>
    </x:row>
    <x:row r="1742" ht="22" customHeight="1">
      <x:c r="A1742" s="21" t="str">
        <x:v>data/boss/bosses.json</x:v>
      </x:c>
      <x:c r="B1742" s="21" t="str">
        <x:v>$/bosses/7/model</x:v>
      </x:c>
      <x:c r="C1742" s="21" t="str">
        <x:v>string</x:v>
      </x:c>
      <x:c r="D1742" s="21" t="str">
        <x:v>"res://assets/models/bosses/boss_twin_gate_animated/land/boss_twin_gate_land_animated.tscn"</x:v>
      </x:c>
    </x:row>
    <x:row r="1743" ht="22" customHeight="1">
      <x:c r="A1743" s="21" t="str">
        <x:v>data/boss/bosses.json</x:v>
      </x:c>
      <x:c r="B1743" s="21" t="str">
        <x:v>$/bosses/7/model_by_element</x:v>
      </x:c>
      <x:c r="C1743" s="21" t="str">
        <x:v>object</x:v>
      </x:c>
      <x:c r="D1743" s="21" t="str"/>
    </x:row>
    <x:row r="1744" ht="22" customHeight="1">
      <x:c r="A1744" s="21" t="str">
        <x:v>data/boss/bosses.json</x:v>
      </x:c>
      <x:c r="B1744" s="21" t="str">
        <x:v>$/bosses/7/model_by_element/land</x:v>
      </x:c>
      <x:c r="C1744" s="21" t="str">
        <x:v>string</x:v>
      </x:c>
      <x:c r="D1744" s="21" t="str">
        <x:v>"res://assets/models/bosses/boss_twin_gate_animated/land/boss_twin_gate_land_animated.tscn"</x:v>
      </x:c>
    </x:row>
    <x:row r="1745" ht="22" customHeight="1">
      <x:c r="A1745" s="21" t="str">
        <x:v>data/boss/bosses.json</x:v>
      </x:c>
      <x:c r="B1745" s="21" t="str">
        <x:v>$/bosses/7/model_by_element/sky</x:v>
      </x:c>
      <x:c r="C1745" s="21" t="str">
        <x:v>string</x:v>
      </x:c>
      <x:c r="D1745" s="21" t="str">
        <x:v>"res://assets/models/bosses/boss_twin_gate_animated/sky/boss_twin_gate_sky_animated.tscn"</x:v>
      </x:c>
    </x:row>
    <x:row r="1746" ht="22" customHeight="1">
      <x:c r="A1746" s="21" t="str">
        <x:v>data/boss/bosses.json</x:v>
      </x:c>
      <x:c r="B1746" s="21" t="str">
        <x:v>$/bosses/7/model_visual_scale</x:v>
      </x:c>
      <x:c r="C1746" s="21" t="str">
        <x:v>float</x:v>
      </x:c>
      <x:c r="D1746" s="21" t="str">
        <x:v>2.0</x:v>
      </x:c>
    </x:row>
    <x:row r="1747" ht="22" customHeight="1">
      <x:c r="A1747" s="21" t="str">
        <x:v>data/boss/bosses.json</x:v>
      </x:c>
      <x:c r="B1747" s="21" t="str">
        <x:v>$/bosses/7/model_base_yaw</x:v>
      </x:c>
      <x:c r="C1747" s="21" t="str">
        <x:v>float</x:v>
      </x:c>
      <x:c r="D1747" s="21" t="str">
        <x:v>180.0</x:v>
      </x:c>
    </x:row>
    <x:row r="1748" ht="22" customHeight="1">
      <x:c r="A1748" s="21" t="str">
        <x:v>data/boss/bosses.json</x:v>
      </x:c>
      <x:c r="B1748" s="21" t="str">
        <x:v>$/bosses/7/model_idle_animation_name</x:v>
      </x:c>
      <x:c r="C1748" s="21" t="str">
        <x:v>string</x:v>
      </x:c>
      <x:c r="D1748" s="21" t="str">
        <x:v>"idle"</x:v>
      </x:c>
    </x:row>
    <x:row r="1749" ht="22" customHeight="1">
      <x:c r="A1749" s="21" t="str">
        <x:v>data/boss/bosses.json</x:v>
      </x:c>
      <x:c r="B1749" s="21" t="str">
        <x:v>$/bosses/7/model_attack_animation_name</x:v>
      </x:c>
      <x:c r="C1749" s="21" t="str">
        <x:v>string</x:v>
      </x:c>
      <x:c r="D1749" s="21" t="str">
        <x:v>"attack"</x:v>
      </x:c>
    </x:row>
    <x:row r="1750" ht="22" customHeight="1">
      <x:c r="A1750" s="21" t="str">
        <x:v>data/boss/bosses.json</x:v>
      </x:c>
      <x:c r="B1750" s="21" t="str">
        <x:v>$/bosses/7/model_attack_sync_seek</x:v>
      </x:c>
      <x:c r="C1750" s="21" t="str">
        <x:v>float</x:v>
      </x:c>
      <x:c r="D1750" s="21" t="str">
        <x:v>0.18</x:v>
      </x:c>
    </x:row>
    <x:row r="1751" ht="22" customHeight="1">
      <x:c r="A1751" s="21" t="str">
        <x:v>data/boss/bosses.json</x:v>
      </x:c>
      <x:c r="B1751" s="21" t="str">
        <x:v>$/bosses/7/model_attack_lock_time</x:v>
      </x:c>
      <x:c r="C1751" s="21" t="str">
        <x:v>float</x:v>
      </x:c>
      <x:c r="D1751" s="21" t="str">
        <x:v>0.42</x:v>
      </x:c>
    </x:row>
    <x:row r="1752" ht="22" customHeight="1">
      <x:c r="A1752" s="21" t="str">
        <x:v>data/boss/bosses.json</x:v>
      </x:c>
      <x:c r="B1752" s="21" t="str">
        <x:v>$/bosses/7/model_run_animation_name</x:v>
      </x:c>
      <x:c r="C1752" s="21" t="str">
        <x:v>string</x:v>
      </x:c>
      <x:c r="D1752" s="21" t="str">
        <x:v>"run"</x:v>
      </x:c>
    </x:row>
    <x:row r="1753" ht="22" customHeight="1">
      <x:c r="A1753" s="21" t="str">
        <x:v>data/boss/bosses.json</x:v>
      </x:c>
      <x:c r="B1753" s="21" t="str">
        <x:v>$/bosses/8</x:v>
      </x:c>
      <x:c r="C1753" s="21" t="str">
        <x:v>object</x:v>
      </x:c>
      <x:c r="D1753" s="21" t="str"/>
    </x:row>
    <x:row r="1754" ht="22" customHeight="1">
      <x:c r="A1754" s="21" t="str">
        <x:v>data/boss/bosses.json</x:v>
      </x:c>
      <x:c r="B1754" s="21" t="str">
        <x:v>$/bosses/8/id</x:v>
      </x:c>
      <x:c r="C1754" s="21" t="str">
        <x:v>string</x:v>
      </x:c>
      <x:c r="D1754" s="21" t="str">
        <x:v>"boss_apocalypse"</x:v>
      </x:c>
    </x:row>
    <x:row r="1755" ht="22" customHeight="1">
      <x:c r="A1755" s="21" t="str">
        <x:v>data/boss/bosses.json</x:v>
      </x:c>
      <x:c r="B1755" s="21" t="str">
        <x:v>$/bosses/8/model_in_place_actions</x:v>
      </x:c>
      <x:c r="C1755" s="21" t="str">
        <x:v>array</x:v>
      </x:c>
      <x:c r="D1755" s="21" t="str"/>
    </x:row>
    <x:row r="1756" ht="22" customHeight="1">
      <x:c r="A1756" s="21" t="str">
        <x:v>data/boss/bosses.json</x:v>
      </x:c>
      <x:c r="B1756" s="21" t="str">
        <x:v>$/bosses/8/model_in_place_actions/0</x:v>
      </x:c>
      <x:c r="C1756" s="21" t="str">
        <x:v>string</x:v>
      </x:c>
      <x:c r="D1756" s="21" t="str">
        <x:v>"run"</x:v>
      </x:c>
    </x:row>
    <x:row r="1757" ht="22" customHeight="1">
      <x:c r="A1757" s="21" t="str">
        <x:v>data/boss/bosses.json</x:v>
      </x:c>
      <x:c r="B1757" s="21" t="str">
        <x:v>$/bosses/8/name</x:v>
      </x:c>
      <x:c r="C1757" s="21" t="str">
        <x:v>string</x:v>
      </x:c>
      <x:c r="D1757" s="21" t="str">
        <x:v>"灭世裁决者"</x:v>
      </x:c>
    </x:row>
    <x:row r="1758" ht="22" customHeight="1">
      <x:c r="A1758" s="21" t="str">
        <x:v>data/boss/bosses.json</x:v>
      </x:c>
      <x:c r="B1758" s="21" t="str">
        <x:v>$/bosses/8/name_en</x:v>
      </x:c>
      <x:c r="C1758" s="21" t="str">
        <x:v>string</x:v>
      </x:c>
      <x:c r="D1758" s="21" t="str">
        <x:v>"Apocalypse Arbiter"</x:v>
      </x:c>
    </x:row>
    <x:row r="1759" ht="22" customHeight="1">
      <x:c r="A1759" s="21" t="str">
        <x:v>data/boss/bosses.json</x:v>
      </x:c>
      <x:c r="B1759" s="21" t="str">
        <x:v>$/bosses/8/element</x:v>
      </x:c>
      <x:c r="C1759" s="21" t="str">
        <x:v>string</x:v>
      </x:c>
      <x:c r="D1759" s="21" t="str">
        <x:v>"sky"</x:v>
      </x:c>
    </x:row>
    <x:row r="1760" ht="22" customHeight="1">
      <x:c r="A1760" s="21" t="str">
        <x:v>data/boss/bosses.json</x:v>
      </x:c>
      <x:c r="B1760" s="21" t="str">
        <x:v>$/bosses/8/hp</x:v>
      </x:c>
      <x:c r="C1760" s="21" t="str">
        <x:v>int</x:v>
      </x:c>
      <x:c r="D1760" s="21" t="str">
        <x:v>2800</x:v>
      </x:c>
    </x:row>
    <x:row r="1761" ht="22" customHeight="1">
      <x:c r="A1761" s="21" t="str">
        <x:v>data/boss/bosses.json</x:v>
      </x:c>
      <x:c r="B1761" s="21" t="str">
        <x:v>$/bosses/8/atk</x:v>
      </x:c>
      <x:c r="C1761" s="21" t="str">
        <x:v>int</x:v>
      </x:c>
      <x:c r="D1761" s="21" t="str">
        <x:v>66</x:v>
      </x:c>
    </x:row>
    <x:row r="1762" ht="22" customHeight="1">
      <x:c r="A1762" s="21" t="str">
        <x:v>data/boss/bosses.json</x:v>
      </x:c>
      <x:c r="B1762" s="21" t="str">
        <x:v>$/bosses/8/def</x:v>
      </x:c>
      <x:c r="C1762" s="21" t="str">
        <x:v>int</x:v>
      </x:c>
      <x:c r="D1762" s="21" t="str">
        <x:v>14</x:v>
      </x:c>
    </x:row>
    <x:row r="1763" ht="22" customHeight="1">
      <x:c r="A1763" s="21" t="str">
        <x:v>data/boss/bosses.json</x:v>
      </x:c>
      <x:c r="B1763" s="21" t="str">
        <x:v>$/bosses/8/attack_speed</x:v>
      </x:c>
      <x:c r="C1763" s="21" t="str">
        <x:v>float</x:v>
      </x:c>
      <x:c r="D1763" s="21" t="str">
        <x:v>0.75</x:v>
      </x:c>
    </x:row>
    <x:row r="1764" ht="22" customHeight="1">
      <x:c r="A1764" s="21" t="str">
        <x:v>data/boss/bosses.json</x:v>
      </x:c>
      <x:c r="B1764" s="21" t="str">
        <x:v>$/bosses/8/range</x:v>
      </x:c>
      <x:c r="C1764" s="21" t="str">
        <x:v>int</x:v>
      </x:c>
      <x:c r="D1764" s="21" t="str">
        <x:v>4</x:v>
      </x:c>
    </x:row>
    <x:row r="1765" ht="22" customHeight="1">
      <x:c r="A1765" s="21" t="str">
        <x:v>data/boss/bosses.json</x:v>
      </x:c>
      <x:c r="B1765" s="21" t="str">
        <x:v>$/bosses/8/move_speed</x:v>
      </x:c>
      <x:c r="C1765" s="21" t="str">
        <x:v>float</x:v>
      </x:c>
      <x:c r="D1765" s="21" t="str">
        <x:v>2.6</x:v>
      </x:c>
    </x:row>
    <x:row r="1766" ht="22" customHeight="1">
      <x:c r="A1766" s="21" t="str">
        <x:v>data/boss/bosses.json</x:v>
      </x:c>
      <x:c r="B1766" s="21" t="str">
        <x:v>$/bosses/8/footprint_cells</x:v>
      </x:c>
      <x:c r="C1766" s="21" t="str">
        <x:v>int</x:v>
      </x:c>
      <x:c r="D1766" s="21" t="str">
        <x:v>2</x:v>
      </x:c>
    </x:row>
    <x:row r="1767" ht="22" customHeight="1">
      <x:c r="A1767" s="21" t="str">
        <x:v>data/boss/bosses.json</x:v>
      </x:c>
      <x:c r="B1767" s="21" t="str">
        <x:v>$/bosses/8/skill_id</x:v>
      </x:c>
      <x:c r="C1767" s="21" t="str">
        <x:v>string</x:v>
      </x:c>
      <x:c r="D1767" s="21" t="str">
        <x:v>"apocalypse_charge"</x:v>
      </x:c>
    </x:row>
    <x:row r="1768" ht="22" customHeight="1">
      <x:c r="A1768" s="21" t="str">
        <x:v>data/boss/bosses.json</x:v>
      </x:c>
      <x:c r="B1768" s="21" t="str">
        <x:v>$/bosses/8/skill_cd</x:v>
      </x:c>
      <x:c r="C1768" s="21" t="str">
        <x:v>float</x:v>
      </x:c>
      <x:c r="D1768" s="21" t="str">
        <x:v>10.0</x:v>
      </x:c>
    </x:row>
    <x:row r="1769" ht="22" customHeight="1">
      <x:c r="A1769" s="21" t="str">
        <x:v>data/boss/bosses.json</x:v>
      </x:c>
      <x:c r="B1769" s="21" t="str">
        <x:v>$/bosses/8/charge_sec</x:v>
      </x:c>
      <x:c r="C1769" s="21" t="str">
        <x:v>float</x:v>
      </x:c>
      <x:c r="D1769" s="21" t="str">
        <x:v>2.0</x:v>
      </x:c>
    </x:row>
    <x:row r="1770" ht="22" customHeight="1">
      <x:c r="A1770" s="21" t="str">
        <x:v>data/boss/bosses.json</x:v>
      </x:c>
      <x:c r="B1770" s="21" t="str">
        <x:v>$/bosses/8/charge_shield_pct</x:v>
      </x:c>
      <x:c r="C1770" s="21" t="str">
        <x:v>float</x:v>
      </x:c>
      <x:c r="D1770" s="21" t="str">
        <x:v>0.1</x:v>
      </x:c>
    </x:row>
    <x:row r="1771" ht="22" customHeight="1">
      <x:c r="A1771" s="21" t="str">
        <x:v>data/boss/bosses.json</x:v>
      </x:c>
      <x:c r="B1771" s="21" t="str">
        <x:v>$/bosses/8/damage_atk_pct</x:v>
      </x:c>
      <x:c r="C1771" s="21" t="str">
        <x:v>float</x:v>
      </x:c>
      <x:c r="D1771" s="21" t="str">
        <x:v>2.5</x:v>
      </x:c>
    </x:row>
    <x:row r="1772" ht="22" customHeight="1">
      <x:c r="A1772" s="21" t="str">
        <x:v>data/boss/bosses.json</x:v>
      </x:c>
      <x:c r="B1772" s="21" t="str">
        <x:v>$/bosses/8/ignore_def</x:v>
      </x:c>
      <x:c r="C1772" s="21" t="str">
        <x:v>bool</x:v>
      </x:c>
      <x:c r="D1772" s="21" t="str">
        <x:v>true</x:v>
      </x:c>
    </x:row>
    <x:row r="1773" ht="22" customHeight="1">
      <x:c r="A1773" s="21" t="str">
        <x:v>data/boss/bosses.json</x:v>
      </x:c>
      <x:c r="B1773" s="21" t="str">
        <x:v>$/bosses/8/model</x:v>
      </x:c>
      <x:c r="C1773" s="21" t="str">
        <x:v>string</x:v>
      </x:c>
      <x:c r="D1773" s="21" t="str">
        <x:v>"res://assets/models/bosses/boss_apocalypse_animated/boss_apocalypse_animated.tscn"</x:v>
      </x:c>
    </x:row>
    <x:row r="1774" ht="22" customHeight="1">
      <x:c r="A1774" s="21" t="str">
        <x:v>data/boss/bosses.json</x:v>
      </x:c>
      <x:c r="B1774" s="21" t="str">
        <x:v>$/bosses/8/model_visual_scale</x:v>
      </x:c>
      <x:c r="C1774" s="21" t="str">
        <x:v>float</x:v>
      </x:c>
      <x:c r="D1774" s="21" t="str">
        <x:v>2.0</x:v>
      </x:c>
    </x:row>
    <x:row r="1775" ht="22" customHeight="1">
      <x:c r="A1775" s="21" t="str">
        <x:v>data/boss/bosses.json</x:v>
      </x:c>
      <x:c r="B1775" s="21" t="str">
        <x:v>$/bosses/8/model_base_yaw</x:v>
      </x:c>
      <x:c r="C1775" s="21" t="str">
        <x:v>float</x:v>
      </x:c>
      <x:c r="D1775" s="21" t="str">
        <x:v>180.0</x:v>
      </x:c>
    </x:row>
    <x:row r="1776" ht="22" customHeight="1">
      <x:c r="A1776" s="21" t="str">
        <x:v>data/boss/bosses.json</x:v>
      </x:c>
      <x:c r="B1776" s="21" t="str">
        <x:v>$/bosses/8/model_idle_animation_name</x:v>
      </x:c>
      <x:c r="C1776" s="21" t="str">
        <x:v>string</x:v>
      </x:c>
      <x:c r="D1776" s="21" t="str">
        <x:v>"idle"</x:v>
      </x:c>
    </x:row>
    <x:row r="1777" ht="22" customHeight="1">
      <x:c r="A1777" s="21" t="str">
        <x:v>data/boss/bosses.json</x:v>
      </x:c>
      <x:c r="B1777" s="21" t="str">
        <x:v>$/bosses/8/model_attack_animation_name</x:v>
      </x:c>
      <x:c r="C1777" s="21" t="str">
        <x:v>string</x:v>
      </x:c>
      <x:c r="D1777" s="21" t="str">
        <x:v>"attack"</x:v>
      </x:c>
    </x:row>
    <x:row r="1778" ht="22" customHeight="1">
      <x:c r="A1778" s="21" t="str">
        <x:v>data/boss/bosses.json</x:v>
      </x:c>
      <x:c r="B1778" s="21" t="str">
        <x:v>$/bosses/8/model_attack_sync_seek</x:v>
      </x:c>
      <x:c r="C1778" s="21" t="str">
        <x:v>float</x:v>
      </x:c>
      <x:c r="D1778" s="21" t="str">
        <x:v>0.18</x:v>
      </x:c>
    </x:row>
    <x:row r="1779" ht="22" customHeight="1">
      <x:c r="A1779" s="21" t="str">
        <x:v>data/boss/bosses.json</x:v>
      </x:c>
      <x:c r="B1779" s="21" t="str">
        <x:v>$/bosses/8/model_attack_lock_time</x:v>
      </x:c>
      <x:c r="C1779" s="21" t="str">
        <x:v>float</x:v>
      </x:c>
      <x:c r="D1779" s="21" t="str">
        <x:v>0.42</x:v>
      </x:c>
    </x:row>
    <x:row r="1780" ht="22" customHeight="1">
      <x:c r="A1780" s="21" t="str">
        <x:v>data/boss/bosses.json</x:v>
      </x:c>
      <x:c r="B1780" s="21" t="str">
        <x:v>$/bosses/8/model_run_animation_name</x:v>
      </x:c>
      <x:c r="C1780" s="21" t="str">
        <x:v>string</x:v>
      </x:c>
      <x:c r="D1780" s="21" t="str">
        <x:v>"run"</x:v>
      </x:c>
    </x:row>
    <x:row r="1781" ht="22" customHeight="1">
      <x:c r="A1781" s="21" t="str">
        <x:v>data/mercenary/mercenaries.json</x:v>
      </x:c>
      <x:c r="B1781" s="21" t="str">
        <x:v>$</x:v>
      </x:c>
      <x:c r="C1781" s="21" t="str">
        <x:v>object</x:v>
      </x:c>
      <x:c r="D1781" s="21" t="str"/>
    </x:row>
    <x:row r="1782" ht="22" customHeight="1">
      <x:c r="A1782" s="21" t="str">
        <x:v>data/mercenary/mercenaries.json</x:v>
      </x:c>
      <x:c r="B1782" s="21" t="str">
        <x:v>$/rules</x:v>
      </x:c>
      <x:c r="C1782" s="21" t="str">
        <x:v>object</x:v>
      </x:c>
      <x:c r="D1782" s="21" t="str"/>
    </x:row>
    <x:row r="1783" ht="22" customHeight="1">
      <x:c r="A1783" s="21" t="str">
        <x:v>data/mercenary/mercenaries.json</x:v>
      </x:c>
      <x:c r="B1783" s="21" t="str">
        <x:v>$/rules/can_star_up</x:v>
      </x:c>
      <x:c r="C1783" s="21" t="str">
        <x:v>bool</x:v>
      </x:c>
      <x:c r="D1783" s="21" t="str">
        <x:v>false</x:v>
      </x:c>
    </x:row>
    <x:row r="1784" ht="22" customHeight="1">
      <x:c r="A1784" s="21" t="str">
        <x:v>data/mercenary/mercenaries.json</x:v>
      </x:c>
      <x:c r="B1784" s="21" t="str">
        <x:v>$/rules/affected_by_treasure</x:v>
      </x:c>
      <x:c r="C1784" s="21" t="str">
        <x:v>bool</x:v>
      </x:c>
      <x:c r="D1784" s="21" t="str">
        <x:v>false</x:v>
      </x:c>
    </x:row>
    <x:row r="1785" ht="22" customHeight="1">
      <x:c r="A1785" s="21" t="str">
        <x:v>data/mercenary/mercenaries.json</x:v>
      </x:c>
      <x:c r="B1785" s="21" t="str">
        <x:v>$/rules/counts_for_synergy</x:v>
      </x:c>
      <x:c r="C1785" s="21" t="str">
        <x:v>bool</x:v>
      </x:c>
      <x:c r="D1785" s="21" t="str">
        <x:v>false</x:v>
      </x:c>
    </x:row>
    <x:row r="1786" ht="22" customHeight="1">
      <x:c r="A1786" s="21" t="str">
        <x:v>data/mercenary/mercenaries.json</x:v>
      </x:c>
      <x:c r="B1786" s="21" t="str">
        <x:v>$/rules/quantity_cap</x:v>
      </x:c>
      <x:c r="C1786" s="21" t="str">
        <x:v>int</x:v>
      </x:c>
      <x:c r="D1786" s="21" t="str">
        <x:v>0</x:v>
      </x:c>
    </x:row>
    <x:row r="1787" ht="22" customHeight="1">
      <x:c r="A1787" s="21" t="str">
        <x:v>data/mercenary/mercenaries.json</x:v>
      </x:c>
      <x:c r="B1787" s="21" t="str">
        <x:v>$/mercenaries</x:v>
      </x:c>
      <x:c r="C1787" s="21" t="str">
        <x:v>array</x:v>
      </x:c>
      <x:c r="D1787" s="21" t="str"/>
    </x:row>
    <x:row r="1788" ht="22" customHeight="1">
      <x:c r="A1788" s="21" t="str">
        <x:v>data/mercenary/mercenaries.json</x:v>
      </x:c>
      <x:c r="B1788" s="21" t="str">
        <x:v>$/mercenaries/0</x:v>
      </x:c>
      <x:c r="C1788" s="21" t="str">
        <x:v>object</x:v>
      </x:c>
      <x:c r="D1788" s="21" t="str"/>
    </x:row>
    <x:row r="1789" ht="22" customHeight="1">
      <x:c r="A1789" s="21" t="str">
        <x:v>data/mercenary/mercenaries.json</x:v>
      </x:c>
      <x:c r="B1789" s="21" t="str">
        <x:v>$/mercenaries/0/id</x:v>
      </x:c>
      <x:c r="C1789" s="21" t="str">
        <x:v>string</x:v>
      </x:c>
      <x:c r="D1789" s="21" t="str">
        <x:v>"merc_pisces_bubble"</x:v>
      </x:c>
    </x:row>
    <x:row r="1790" ht="22" customHeight="1">
      <x:c r="A1790" s="21" t="str">
        <x:v>data/mercenary/mercenaries.json</x:v>
      </x:c>
      <x:c r="B1790" s="21" t="str">
        <x:v>$/mercenaries/0/model_in_place_actions</x:v>
      </x:c>
      <x:c r="C1790" s="21" t="str">
        <x:v>array</x:v>
      </x:c>
      <x:c r="D1790" s="21" t="str"/>
    </x:row>
    <x:row r="1791" ht="22" customHeight="1">
      <x:c r="A1791" s="21" t="str">
        <x:v>data/mercenary/mercenaries.json</x:v>
      </x:c>
      <x:c r="B1791" s="21" t="str">
        <x:v>$/mercenaries/0/model_in_place_actions/0</x:v>
      </x:c>
      <x:c r="C1791" s="21" t="str">
        <x:v>string</x:v>
      </x:c>
      <x:c r="D1791" s="21" t="str">
        <x:v>"run"</x:v>
      </x:c>
    </x:row>
    <x:row r="1792" ht="22" customHeight="1">
      <x:c r="A1792" s="21" t="str">
        <x:v>data/mercenary/mercenaries.json</x:v>
      </x:c>
      <x:c r="B1792" s="21" t="str">
        <x:v>$/mercenaries/0/name</x:v>
      </x:c>
      <x:c r="C1792" s="21" t="str">
        <x:v>string</x:v>
      </x:c>
      <x:c r="D1792" s="21" t="str">
        <x:v>"泡沫术士"</x:v>
      </x:c>
    </x:row>
    <x:row r="1793" ht="22" customHeight="1">
      <x:c r="A1793" s="21" t="str">
        <x:v>data/mercenary/mercenaries.json</x:v>
      </x:c>
      <x:c r="B1793" s="21" t="str">
        <x:v>$/mercenaries/0/cost</x:v>
      </x:c>
      <x:c r="C1793" s="21" t="str">
        <x:v>int</x:v>
      </x:c>
      <x:c r="D1793" s="21" t="str">
        <x:v>50</x:v>
      </x:c>
    </x:row>
    <x:row r="1794" ht="22" customHeight="1">
      <x:c r="A1794" s="21" t="str">
        <x:v>data/mercenary/mercenaries.json</x:v>
      </x:c>
      <x:c r="B1794" s="21" t="str">
        <x:v>$/mercenaries/0/carrot_cost</x:v>
      </x:c>
      <x:c r="C1794" s="21" t="str">
        <x:v>int</x:v>
      </x:c>
      <x:c r="D1794" s="21" t="str">
        <x:v>3</x:v>
      </x:c>
    </x:row>
    <x:row r="1795" ht="22" customHeight="1">
      <x:c r="A1795" s="21" t="str">
        <x:v>data/mercenary/mercenaries.json</x:v>
      </x:c>
      <x:c r="B1795" s="21" t="str">
        <x:v>$/mercenaries/0/hp</x:v>
      </x:c>
      <x:c r="C1795" s="21" t="str">
        <x:v>int</x:v>
      </x:c>
      <x:c r="D1795" s="21" t="str">
        <x:v>560</x:v>
      </x:c>
    </x:row>
    <x:row r="1796" ht="22" customHeight="1">
      <x:c r="A1796" s="21" t="str">
        <x:v>data/mercenary/mercenaries.json</x:v>
      </x:c>
      <x:c r="B1796" s="21" t="str">
        <x:v>$/mercenaries/0/atk</x:v>
      </x:c>
      <x:c r="C1796" s="21" t="str">
        <x:v>int</x:v>
      </x:c>
      <x:c r="D1796" s="21" t="str">
        <x:v>23</x:v>
      </x:c>
    </x:row>
    <x:row r="1797" ht="22" customHeight="1">
      <x:c r="A1797" s="21" t="str">
        <x:v>data/mercenary/mercenaries.json</x:v>
      </x:c>
      <x:c r="B1797" s="21" t="str">
        <x:v>$/mercenaries/0/def</x:v>
      </x:c>
      <x:c r="C1797" s="21" t="str">
        <x:v>int</x:v>
      </x:c>
      <x:c r="D1797" s="21" t="str">
        <x:v>3</x:v>
      </x:c>
    </x:row>
    <x:row r="1798" ht="22" customHeight="1">
      <x:c r="A1798" s="21" t="str">
        <x:v>data/mercenary/mercenaries.json</x:v>
      </x:c>
      <x:c r="B1798" s="21" t="str">
        <x:v>$/mercenaries/0/attack_speed</x:v>
      </x:c>
      <x:c r="C1798" s="21" t="str">
        <x:v>float</x:v>
      </x:c>
      <x:c r="D1798" s="21" t="str">
        <x:v>1.0</x:v>
      </x:c>
    </x:row>
    <x:row r="1799" ht="22" customHeight="1">
      <x:c r="A1799" s="21" t="str">
        <x:v>data/mercenary/mercenaries.json</x:v>
      </x:c>
      <x:c r="B1799" s="21" t="str">
        <x:v>$/mercenaries/0/range</x:v>
      </x:c>
      <x:c r="C1799" s="21" t="str">
        <x:v>int</x:v>
      </x:c>
      <x:c r="D1799" s="21" t="str">
        <x:v>4</x:v>
      </x:c>
    </x:row>
    <x:row r="1800" ht="22" customHeight="1">
      <x:c r="A1800" s="21" t="str">
        <x:v>data/mercenary/mercenaries.json</x:v>
      </x:c>
      <x:c r="B1800" s="21" t="str">
        <x:v>$/mercenaries/0/move_speed</x:v>
      </x:c>
      <x:c r="C1800" s="21" t="str">
        <x:v>float</x:v>
      </x:c>
      <x:c r="D1800" s="21" t="str">
        <x:v>3.0</x:v>
      </x:c>
    </x:row>
    <x:row r="1801" ht="22" customHeight="1">
      <x:c r="A1801" s="21" t="str">
        <x:v>data/mercenary/mercenaries.json</x:v>
      </x:c>
      <x:c r="B1801" s="21" t="str">
        <x:v>$/mercenaries/0/skill_id</x:v>
      </x:c>
      <x:c r="C1801" s="21" t="str">
        <x:v>string</x:v>
      </x:c>
      <x:c r="D1801" s="21" t="str">
        <x:v>"bubble_dream"</x:v>
      </x:c>
    </x:row>
    <x:row r="1802" ht="22" customHeight="1">
      <x:c r="A1802" s="21" t="str">
        <x:v>data/mercenary/mercenaries.json</x:v>
      </x:c>
      <x:c r="B1802" s="21" t="str">
        <x:v>$/mercenaries/0/skill_cd</x:v>
      </x:c>
      <x:c r="C1802" s="21" t="str">
        <x:v>float</x:v>
      </x:c>
      <x:c r="D1802" s="21" t="str">
        <x:v>6.0</x:v>
      </x:c>
    </x:row>
    <x:row r="1803" ht="22" customHeight="1">
      <x:c r="A1803" s="21" t="str">
        <x:v>data/mercenary/mercenaries.json</x:v>
      </x:c>
      <x:c r="B1803" s="21" t="str">
        <x:v>$/mercenaries/0/heal</x:v>
      </x:c>
      <x:c r="C1803" s="21" t="str">
        <x:v>int</x:v>
      </x:c>
      <x:c r="D1803" s="21" t="str">
        <x:v>160</x:v>
      </x:c>
    </x:row>
    <x:row r="1804" ht="22" customHeight="1">
      <x:c r="A1804" s="21" t="str">
        <x:v>data/mercenary/mercenaries.json</x:v>
      </x:c>
      <x:c r="B1804" s="21" t="str">
        <x:v>$/mercenaries/0/slow_pct</x:v>
      </x:c>
      <x:c r="C1804" s="21" t="str">
        <x:v>float</x:v>
      </x:c>
      <x:c r="D1804" s="21" t="str">
        <x:v>0.3</x:v>
      </x:c>
    </x:row>
    <x:row r="1805" ht="22" customHeight="1">
      <x:c r="A1805" s="21" t="str">
        <x:v>data/mercenary/mercenaries.json</x:v>
      </x:c>
      <x:c r="B1805" s="21" t="str">
        <x:v>$/mercenaries/0/burst_damage</x:v>
      </x:c>
      <x:c r="C1805" s="21" t="str">
        <x:v>int</x:v>
      </x:c>
      <x:c r="D1805" s="21" t="str">
        <x:v>140</x:v>
      </x:c>
    </x:row>
    <x:row r="1806" ht="22" customHeight="1">
      <x:c r="A1806" s="21" t="str">
        <x:v>data/mercenary/mercenaries.json</x:v>
      </x:c>
      <x:c r="B1806" s="21" t="str">
        <x:v>$/mercenaries/0/crit</x:v>
      </x:c>
      <x:c r="C1806" s="21" t="str">
        <x:v>float</x:v>
      </x:c>
      <x:c r="D1806" s="21" t="str">
        <x:v>0.05</x:v>
      </x:c>
    </x:row>
    <x:row r="1807" ht="22" customHeight="1">
      <x:c r="A1807" s="21" t="str">
        <x:v>data/mercenary/mercenaries.json</x:v>
      </x:c>
      <x:c r="B1807" s="21" t="str">
        <x:v>$/mercenaries/0/crit_dmg</x:v>
      </x:c>
      <x:c r="C1807" s="21" t="str">
        <x:v>float</x:v>
      </x:c>
      <x:c r="D1807" s="21" t="str">
        <x:v>1.5</x:v>
      </x:c>
    </x:row>
    <x:row r="1808" ht="22" customHeight="1">
      <x:c r="A1808" s="21" t="str">
        <x:v>data/mercenary/mercenaries.json</x:v>
      </x:c>
      <x:c r="B1808" s="21" t="str">
        <x:v>$/mercenaries/0/model</x:v>
      </x:c>
      <x:c r="C1808" s="21" t="str">
        <x:v>string</x:v>
      </x:c>
      <x:c r="D1808" s="21" t="str">
        <x:v>"res://assets/models/mercenaries/merc_pisces_bubble_animated/merc_pisces_bubble_animated.tscn"</x:v>
      </x:c>
    </x:row>
    <x:row r="1809" ht="22" customHeight="1">
      <x:c r="A1809" s="21" t="str">
        <x:v>data/mercenary/mercenaries.json</x:v>
      </x:c>
      <x:c r="B1809" s="21" t="str">
        <x:v>$/mercenaries/0/model_visual_scale</x:v>
      </x:c>
      <x:c r="C1809" s="21" t="str">
        <x:v>float</x:v>
      </x:c>
      <x:c r="D1809" s="21" t="str">
        <x:v>1.0</x:v>
      </x:c>
    </x:row>
    <x:row r="1810" ht="22" customHeight="1">
      <x:c r="A1810" s="21" t="str">
        <x:v>data/mercenary/mercenaries.json</x:v>
      </x:c>
      <x:c r="B1810" s="21" t="str">
        <x:v>$/mercenaries/0/model_base_yaw</x:v>
      </x:c>
      <x:c r="C1810" s="21" t="str">
        <x:v>float</x:v>
      </x:c>
      <x:c r="D1810" s="21" t="str">
        <x:v>180.0</x:v>
      </x:c>
    </x:row>
    <x:row r="1811" ht="22" customHeight="1">
      <x:c r="A1811" s="21" t="str">
        <x:v>data/mercenary/mercenaries.json</x:v>
      </x:c>
      <x:c r="B1811" s="21" t="str">
        <x:v>$/mercenaries/0/model_idle_animation_name</x:v>
      </x:c>
      <x:c r="C1811" s="21" t="str">
        <x:v>string</x:v>
      </x:c>
      <x:c r="D1811" s="21" t="str">
        <x:v>"idle"</x:v>
      </x:c>
    </x:row>
    <x:row r="1812" ht="22" customHeight="1">
      <x:c r="A1812" s="21" t="str">
        <x:v>data/mercenary/mercenaries.json</x:v>
      </x:c>
      <x:c r="B1812" s="21" t="str">
        <x:v>$/mercenaries/0/model_attack_animation_name</x:v>
      </x:c>
      <x:c r="C1812" s="21" t="str">
        <x:v>string</x:v>
      </x:c>
      <x:c r="D1812" s="21" t="str">
        <x:v>"attack"</x:v>
      </x:c>
    </x:row>
    <x:row r="1813" ht="22" customHeight="1">
      <x:c r="A1813" s="21" t="str">
        <x:v>data/mercenary/mercenaries.json</x:v>
      </x:c>
      <x:c r="B1813" s="21" t="str">
        <x:v>$/mercenaries/0/model_attack_sync_seek</x:v>
      </x:c>
      <x:c r="C1813" s="21" t="str">
        <x:v>float</x:v>
      </x:c>
      <x:c r="D1813" s="21" t="str">
        <x:v>0.18</x:v>
      </x:c>
    </x:row>
    <x:row r="1814" ht="22" customHeight="1">
      <x:c r="A1814" s="21" t="str">
        <x:v>data/mercenary/mercenaries.json</x:v>
      </x:c>
      <x:c r="B1814" s="21" t="str">
        <x:v>$/mercenaries/0/model_attack_lock_time</x:v>
      </x:c>
      <x:c r="C1814" s="21" t="str">
        <x:v>float</x:v>
      </x:c>
      <x:c r="D1814" s="21" t="str">
        <x:v>0.42</x:v>
      </x:c>
    </x:row>
    <x:row r="1815" ht="22" customHeight="1">
      <x:c r="A1815" s="21" t="str">
        <x:v>data/mercenary/mercenaries.json</x:v>
      </x:c>
      <x:c r="B1815" s="21" t="str">
        <x:v>$/mercenaries/0/model_run_animation_name</x:v>
      </x:c>
      <x:c r="C1815" s="21" t="str">
        <x:v>string</x:v>
      </x:c>
      <x:c r="D1815" s="21" t="str">
        <x:v>"run"</x:v>
      </x:c>
    </x:row>
    <x:row r="1816" ht="22" customHeight="1">
      <x:c r="A1816" s="21" t="str">
        <x:v>data/mercenary/mercenaries.json</x:v>
      </x:c>
      <x:c r="B1816" s="21" t="str">
        <x:v>$/mercenaries/0/name_en</x:v>
      </x:c>
      <x:c r="C1816" s="21" t="str">
        <x:v>string</x:v>
      </x:c>
      <x:c r="D1816" s="21" t="str">
        <x:v>"Bubble Mage"</x:v>
      </x:c>
    </x:row>
    <x:row r="1817" ht="22" customHeight="1">
      <x:c r="A1817" s="21" t="str">
        <x:v>data/mercenary/mercenaries.json</x:v>
      </x:c>
      <x:c r="B1817" s="21" t="str">
        <x:v>$/mercenaries/1</x:v>
      </x:c>
      <x:c r="C1817" s="21" t="str">
        <x:v>object</x:v>
      </x:c>
      <x:c r="D1817" s="21" t="str"/>
    </x:row>
    <x:row r="1818" ht="22" customHeight="1">
      <x:c r="A1818" s="21" t="str">
        <x:v>data/mercenary/mercenaries.json</x:v>
      </x:c>
      <x:c r="B1818" s="21" t="str">
        <x:v>$/mercenaries/1/id</x:v>
      </x:c>
      <x:c r="C1818" s="21" t="str">
        <x:v>string</x:v>
      </x:c>
      <x:c r="D1818" s="21" t="str">
        <x:v>"merc_cancer_shell"</x:v>
      </x:c>
    </x:row>
    <x:row r="1819" ht="22" customHeight="1">
      <x:c r="A1819" s="21" t="str">
        <x:v>data/mercenary/mercenaries.json</x:v>
      </x:c>
      <x:c r="B1819" s="21" t="str">
        <x:v>$/mercenaries/1/name</x:v>
      </x:c>
      <x:c r="C1819" s="21" t="str">
        <x:v>string</x:v>
      </x:c>
      <x:c r="D1819" s="21" t="str">
        <x:v>"甲壳守卫"</x:v>
      </x:c>
    </x:row>
    <x:row r="1820" ht="22" customHeight="1">
      <x:c r="A1820" s="21" t="str">
        <x:v>data/mercenary/mercenaries.json</x:v>
      </x:c>
      <x:c r="B1820" s="21" t="str">
        <x:v>$/mercenaries/1/cost</x:v>
      </x:c>
      <x:c r="C1820" s="21" t="str">
        <x:v>int</x:v>
      </x:c>
      <x:c r="D1820" s="21" t="str">
        <x:v>100</x:v>
      </x:c>
    </x:row>
    <x:row r="1821" ht="22" customHeight="1">
      <x:c r="A1821" s="21" t="str">
        <x:v>data/mercenary/mercenaries.json</x:v>
      </x:c>
      <x:c r="B1821" s="21" t="str">
        <x:v>$/mercenaries/1/carrot_cost</x:v>
      </x:c>
      <x:c r="C1821" s="21" t="str">
        <x:v>int</x:v>
      </x:c>
      <x:c r="D1821" s="21" t="str">
        <x:v>6</x:v>
      </x:c>
    </x:row>
    <x:row r="1822" ht="22" customHeight="1">
      <x:c r="A1822" s="21" t="str">
        <x:v>data/mercenary/mercenaries.json</x:v>
      </x:c>
      <x:c r="B1822" s="21" t="str">
        <x:v>$/mercenaries/1/hp</x:v>
      </x:c>
      <x:c r="C1822" s="21" t="str">
        <x:v>int</x:v>
      </x:c>
      <x:c r="D1822" s="21" t="str">
        <x:v>1200</x:v>
      </x:c>
    </x:row>
    <x:row r="1823" ht="22" customHeight="1">
      <x:c r="A1823" s="21" t="str">
        <x:v>data/mercenary/mercenaries.json</x:v>
      </x:c>
      <x:c r="B1823" s="21" t="str">
        <x:v>$/mercenaries/1/atk</x:v>
      </x:c>
      <x:c r="C1823" s="21" t="str">
        <x:v>int</x:v>
      </x:c>
      <x:c r="D1823" s="21" t="str">
        <x:v>28</x:v>
      </x:c>
    </x:row>
    <x:row r="1824" ht="22" customHeight="1">
      <x:c r="A1824" s="21" t="str">
        <x:v>data/mercenary/mercenaries.json</x:v>
      </x:c>
      <x:c r="B1824" s="21" t="str">
        <x:v>$/mercenaries/1/def</x:v>
      </x:c>
      <x:c r="C1824" s="21" t="str">
        <x:v>int</x:v>
      </x:c>
      <x:c r="D1824" s="21" t="str">
        <x:v>5</x:v>
      </x:c>
    </x:row>
    <x:row r="1825" ht="22" customHeight="1">
      <x:c r="A1825" s="21" t="str">
        <x:v>data/mercenary/mercenaries.json</x:v>
      </x:c>
      <x:c r="B1825" s="21" t="str">
        <x:v>$/mercenaries/1/attack_speed</x:v>
      </x:c>
      <x:c r="C1825" s="21" t="str">
        <x:v>float</x:v>
      </x:c>
      <x:c r="D1825" s="21" t="str">
        <x:v>0.85</x:v>
      </x:c>
    </x:row>
    <x:row r="1826" ht="22" customHeight="1">
      <x:c r="A1826" s="21" t="str">
        <x:v>data/mercenary/mercenaries.json</x:v>
      </x:c>
      <x:c r="B1826" s="21" t="str">
        <x:v>$/mercenaries/1/range</x:v>
      </x:c>
      <x:c r="C1826" s="21" t="str">
        <x:v>int</x:v>
      </x:c>
      <x:c r="D1826" s="21" t="str">
        <x:v>1</x:v>
      </x:c>
    </x:row>
    <x:row r="1827" ht="22" customHeight="1">
      <x:c r="A1827" s="21" t="str">
        <x:v>data/mercenary/mercenaries.json</x:v>
      </x:c>
      <x:c r="B1827" s="21" t="str">
        <x:v>$/mercenaries/1/move_speed</x:v>
      </x:c>
      <x:c r="C1827" s="21" t="str">
        <x:v>float</x:v>
      </x:c>
      <x:c r="D1827" s="21" t="str">
        <x:v>2.8</x:v>
      </x:c>
    </x:row>
    <x:row r="1828" ht="22" customHeight="1">
      <x:c r="A1828" s="21" t="str">
        <x:v>data/mercenary/mercenaries.json</x:v>
      </x:c>
      <x:c r="B1828" s="21" t="str">
        <x:v>$/mercenaries/1/skill_id</x:v>
      </x:c>
      <x:c r="C1828" s="21" t="str">
        <x:v>string</x:v>
      </x:c>
      <x:c r="D1828" s="21" t="str">
        <x:v>"shell_guard"</x:v>
      </x:c>
    </x:row>
    <x:row r="1829" ht="22" customHeight="1">
      <x:c r="A1829" s="21" t="str">
        <x:v>data/mercenary/mercenaries.json</x:v>
      </x:c>
      <x:c r="B1829" s="21" t="str">
        <x:v>$/mercenaries/1/reduction</x:v>
      </x:c>
      <x:c r="C1829" s="21" t="str">
        <x:v>float</x:v>
      </x:c>
      <x:c r="D1829" s="21" t="str">
        <x:v>0.5</x:v>
      </x:c>
    </x:row>
    <x:row r="1830" ht="22" customHeight="1">
      <x:c r="A1830" s="21" t="str">
        <x:v>data/mercenary/mercenaries.json</x:v>
      </x:c>
      <x:c r="B1830" s="21" t="str">
        <x:v>$/mercenaries/1/duration</x:v>
      </x:c>
      <x:c r="C1830" s="21" t="str">
        <x:v>float</x:v>
      </x:c>
      <x:c r="D1830" s="21" t="str">
        <x:v>5.0</x:v>
      </x:c>
    </x:row>
    <x:row r="1831" ht="22" customHeight="1">
      <x:c r="A1831" s="21" t="str">
        <x:v>data/mercenary/mercenaries.json</x:v>
      </x:c>
      <x:c r="B1831" s="21" t="str">
        <x:v>$/mercenaries/1/crit</x:v>
      </x:c>
      <x:c r="C1831" s="21" t="str">
        <x:v>float</x:v>
      </x:c>
      <x:c r="D1831" s="21" t="str">
        <x:v>0.05</x:v>
      </x:c>
    </x:row>
    <x:row r="1832" ht="22" customHeight="1">
      <x:c r="A1832" s="21" t="str">
        <x:v>data/mercenary/mercenaries.json</x:v>
      </x:c>
      <x:c r="B1832" s="21" t="str">
        <x:v>$/mercenaries/1/crit_dmg</x:v>
      </x:c>
      <x:c r="C1832" s="21" t="str">
        <x:v>float</x:v>
      </x:c>
      <x:c r="D1832" s="21" t="str">
        <x:v>1.5</x:v>
      </x:c>
    </x:row>
    <x:row r="1833" ht="22" customHeight="1">
      <x:c r="A1833" s="21" t="str">
        <x:v>data/mercenary/mercenaries.json</x:v>
      </x:c>
      <x:c r="B1833" s="21" t="str">
        <x:v>$/mercenaries/1/model</x:v>
      </x:c>
      <x:c r="C1833" s="21" t="str">
        <x:v>string</x:v>
      </x:c>
      <x:c r="D1833" s="21" t="str">
        <x:v>"res://assets/models/mercenaries/merc_cancer_shell_animated/merc_cancer_shell_animated.tscn"</x:v>
      </x:c>
    </x:row>
    <x:row r="1834" ht="22" customHeight="1">
      <x:c r="A1834" s="21" t="str">
        <x:v>data/mercenary/mercenaries.json</x:v>
      </x:c>
      <x:c r="B1834" s="21" t="str">
        <x:v>$/mercenaries/1/model_visual_scale</x:v>
      </x:c>
      <x:c r="C1834" s="21" t="str">
        <x:v>float</x:v>
      </x:c>
      <x:c r="D1834" s="21" t="str">
        <x:v>2.0</x:v>
      </x:c>
    </x:row>
    <x:row r="1835" ht="22" customHeight="1">
      <x:c r="A1835" s="21" t="str">
        <x:v>data/mercenary/mercenaries.json</x:v>
      </x:c>
      <x:c r="B1835" s="21" t="str">
        <x:v>$/mercenaries/1/model_base_yaw</x:v>
      </x:c>
      <x:c r="C1835" s="21" t="str">
        <x:v>float</x:v>
      </x:c>
      <x:c r="D1835" s="21" t="str">
        <x:v>180.0</x:v>
      </x:c>
    </x:row>
    <x:row r="1836" ht="22" customHeight="1">
      <x:c r="A1836" s="21" t="str">
        <x:v>data/mercenary/mercenaries.json</x:v>
      </x:c>
      <x:c r="B1836" s="21" t="str">
        <x:v>$/mercenaries/1/model_idle_animation_name</x:v>
      </x:c>
      <x:c r="C1836" s="21" t="str">
        <x:v>string</x:v>
      </x:c>
      <x:c r="D1836" s="21" t="str">
        <x:v>"idle"</x:v>
      </x:c>
    </x:row>
    <x:row r="1837" ht="22" customHeight="1">
      <x:c r="A1837" s="21" t="str">
        <x:v>data/mercenary/mercenaries.json</x:v>
      </x:c>
      <x:c r="B1837" s="21" t="str">
        <x:v>$/mercenaries/1/model_attack_animation_name</x:v>
      </x:c>
      <x:c r="C1837" s="21" t="str">
        <x:v>string</x:v>
      </x:c>
      <x:c r="D1837" s="21" t="str">
        <x:v>"attack"</x:v>
      </x:c>
    </x:row>
    <x:row r="1838" ht="22" customHeight="1">
      <x:c r="A1838" s="21" t="str">
        <x:v>data/mercenary/mercenaries.json</x:v>
      </x:c>
      <x:c r="B1838" s="21" t="str">
        <x:v>$/mercenaries/1/model_attack_sync_seek</x:v>
      </x:c>
      <x:c r="C1838" s="21" t="str">
        <x:v>float</x:v>
      </x:c>
      <x:c r="D1838" s="21" t="str">
        <x:v>0.18</x:v>
      </x:c>
    </x:row>
    <x:row r="1839" ht="22" customHeight="1">
      <x:c r="A1839" s="21" t="str">
        <x:v>data/mercenary/mercenaries.json</x:v>
      </x:c>
      <x:c r="B1839" s="21" t="str">
        <x:v>$/mercenaries/1/model_attack_lock_time</x:v>
      </x:c>
      <x:c r="C1839" s="21" t="str">
        <x:v>float</x:v>
      </x:c>
      <x:c r="D1839" s="21" t="str">
        <x:v>0.42</x:v>
      </x:c>
    </x:row>
    <x:row r="1840" ht="22" customHeight="1">
      <x:c r="A1840" s="21" t="str">
        <x:v>data/mercenary/mercenaries.json</x:v>
      </x:c>
      <x:c r="B1840" s="21" t="str">
        <x:v>$/mercenaries/1/model_run_animation_name</x:v>
      </x:c>
      <x:c r="C1840" s="21" t="str">
        <x:v>string</x:v>
      </x:c>
      <x:c r="D1840" s="21" t="str">
        <x:v>"run"</x:v>
      </x:c>
    </x:row>
    <x:row r="1841" ht="22" customHeight="1">
      <x:c r="A1841" s="21" t="str">
        <x:v>data/mercenary/mercenaries.json</x:v>
      </x:c>
      <x:c r="B1841" s="21" t="str">
        <x:v>$/mercenaries/1/name_en</x:v>
      </x:c>
      <x:c r="C1841" s="21" t="str">
        <x:v>string</x:v>
      </x:c>
      <x:c r="D1841" s="21" t="str">
        <x:v>"Shell Guard"</x:v>
      </x:c>
    </x:row>
    <x:row r="1842" ht="22" customHeight="1">
      <x:c r="A1842" s="21" t="str">
        <x:v>data/mercenary/mercenaries.json</x:v>
      </x:c>
      <x:c r="B1842" s="21" t="str">
        <x:v>$/mercenaries/2</x:v>
      </x:c>
      <x:c r="C1842" s="21" t="str">
        <x:v>object</x:v>
      </x:c>
      <x:c r="D1842" s="21" t="str"/>
    </x:row>
    <x:row r="1843" ht="22" customHeight="1">
      <x:c r="A1843" s="21" t="str">
        <x:v>data/mercenary/mercenaries.json</x:v>
      </x:c>
      <x:c r="B1843" s="21" t="str">
        <x:v>$/mercenaries/2/id</x:v>
      </x:c>
      <x:c r="C1843" s="21" t="str">
        <x:v>string</x:v>
      </x:c>
      <x:c r="D1843" s="21" t="str">
        <x:v>"merc_libra_judge"</x:v>
      </x:c>
    </x:row>
    <x:row r="1844" ht="22" customHeight="1">
      <x:c r="A1844" s="21" t="str">
        <x:v>data/mercenary/mercenaries.json</x:v>
      </x:c>
      <x:c r="B1844" s="21" t="str">
        <x:v>$/mercenaries/2/model_in_place_actions</x:v>
      </x:c>
      <x:c r="C1844" s="21" t="str">
        <x:v>array</x:v>
      </x:c>
      <x:c r="D1844" s="21" t="str"/>
    </x:row>
    <x:row r="1845" ht="22" customHeight="1">
      <x:c r="A1845" s="21" t="str">
        <x:v>data/mercenary/mercenaries.json</x:v>
      </x:c>
      <x:c r="B1845" s="21" t="str">
        <x:v>$/mercenaries/2/model_in_place_actions/0</x:v>
      </x:c>
      <x:c r="C1845" s="21" t="str">
        <x:v>string</x:v>
      </x:c>
      <x:c r="D1845" s="21" t="str">
        <x:v>"run"</x:v>
      </x:c>
    </x:row>
    <x:row r="1846" ht="22" customHeight="1">
      <x:c r="A1846" s="21" t="str">
        <x:v>data/mercenary/mercenaries.json</x:v>
      </x:c>
      <x:c r="B1846" s="21" t="str">
        <x:v>$/mercenaries/2/name</x:v>
      </x:c>
      <x:c r="C1846" s="21" t="str">
        <x:v>string</x:v>
      </x:c>
      <x:c r="D1846" s="21" t="str">
        <x:v>"审判剑士"</x:v>
      </x:c>
    </x:row>
    <x:row r="1847" ht="22" customHeight="1">
      <x:c r="A1847" s="21" t="str">
        <x:v>data/mercenary/mercenaries.json</x:v>
      </x:c>
      <x:c r="B1847" s="21" t="str">
        <x:v>$/mercenaries/2/cost</x:v>
      </x:c>
      <x:c r="C1847" s="21" t="str">
        <x:v>int</x:v>
      </x:c>
      <x:c r="D1847" s="21" t="str">
        <x:v>150</x:v>
      </x:c>
    </x:row>
    <x:row r="1848" ht="22" customHeight="1">
      <x:c r="A1848" s="21" t="str">
        <x:v>data/mercenary/mercenaries.json</x:v>
      </x:c>
      <x:c r="B1848" s="21" t="str">
        <x:v>$/mercenaries/2/carrot_cost</x:v>
      </x:c>
      <x:c r="C1848" s="21" t="str">
        <x:v>int</x:v>
      </x:c>
      <x:c r="D1848" s="21" t="str">
        <x:v>9</x:v>
      </x:c>
    </x:row>
    <x:row r="1849" ht="22" customHeight="1">
      <x:c r="A1849" s="21" t="str">
        <x:v>data/mercenary/mercenaries.json</x:v>
      </x:c>
      <x:c r="B1849" s="21" t="str">
        <x:v>$/mercenaries/2/hp</x:v>
      </x:c>
      <x:c r="C1849" s="21" t="str">
        <x:v>int</x:v>
      </x:c>
      <x:c r="D1849" s="21" t="str">
        <x:v>960</x:v>
      </x:c>
    </x:row>
    <x:row r="1850" ht="22" customHeight="1">
      <x:c r="A1850" s="21" t="str">
        <x:v>data/mercenary/mercenaries.json</x:v>
      </x:c>
      <x:c r="B1850" s="21" t="str">
        <x:v>$/mercenaries/2/atk</x:v>
      </x:c>
      <x:c r="C1850" s="21" t="str">
        <x:v>int</x:v>
      </x:c>
      <x:c r="D1850" s="21" t="str">
        <x:v>52</x:v>
      </x:c>
    </x:row>
    <x:row r="1851" ht="22" customHeight="1">
      <x:c r="A1851" s="21" t="str">
        <x:v>data/mercenary/mercenaries.json</x:v>
      </x:c>
      <x:c r="B1851" s="21" t="str">
        <x:v>$/mercenaries/2/def</x:v>
      </x:c>
      <x:c r="C1851" s="21" t="str">
        <x:v>int</x:v>
      </x:c>
      <x:c r="D1851" s="21" t="str">
        <x:v>7</x:v>
      </x:c>
    </x:row>
    <x:row r="1852" ht="22" customHeight="1">
      <x:c r="A1852" s="21" t="str">
        <x:v>data/mercenary/mercenaries.json</x:v>
      </x:c>
      <x:c r="B1852" s="21" t="str">
        <x:v>$/mercenaries/2/attack_speed</x:v>
      </x:c>
      <x:c r="C1852" s="21" t="str">
        <x:v>float</x:v>
      </x:c>
      <x:c r="D1852" s="21" t="str">
        <x:v>1.0</x:v>
      </x:c>
    </x:row>
    <x:row r="1853" ht="22" customHeight="1">
      <x:c r="A1853" s="21" t="str">
        <x:v>data/mercenary/mercenaries.json</x:v>
      </x:c>
      <x:c r="B1853" s="21" t="str">
        <x:v>$/mercenaries/2/range</x:v>
      </x:c>
      <x:c r="C1853" s="21" t="str">
        <x:v>int</x:v>
      </x:c>
      <x:c r="D1853" s="21" t="str">
        <x:v>1</x:v>
      </x:c>
    </x:row>
    <x:row r="1854" ht="22" customHeight="1">
      <x:c r="A1854" s="21" t="str">
        <x:v>data/mercenary/mercenaries.json</x:v>
      </x:c>
      <x:c r="B1854" s="21" t="str">
        <x:v>$/mercenaries/2/move_speed</x:v>
      </x:c>
      <x:c r="C1854" s="21" t="str">
        <x:v>float</x:v>
      </x:c>
      <x:c r="D1854" s="21" t="str">
        <x:v>3.1</x:v>
      </x:c>
    </x:row>
    <x:row r="1855" ht="22" customHeight="1">
      <x:c r="A1855" s="21" t="str">
        <x:v>data/mercenary/mercenaries.json</x:v>
      </x:c>
      <x:c r="B1855" s="21" t="str">
        <x:v>$/mercenaries/2/skill_id</x:v>
      </x:c>
      <x:c r="C1855" s="21" t="str">
        <x:v>string</x:v>
      </x:c>
      <x:c r="D1855" s="21" t="str">
        <x:v>"balance_judge"</x:v>
      </x:c>
    </x:row>
    <x:row r="1856" ht="22" customHeight="1">
      <x:c r="A1856" s="21" t="str">
        <x:v>data/mercenary/mercenaries.json</x:v>
      </x:c>
      <x:c r="B1856" s="21" t="str">
        <x:v>$/mercenaries/2/bonus_vs_higher_hp</x:v>
      </x:c>
      <x:c r="C1856" s="21" t="str">
        <x:v>float</x:v>
      </x:c>
      <x:c r="D1856" s="21" t="str">
        <x:v>0.4</x:v>
      </x:c>
    </x:row>
    <x:row r="1857" ht="22" customHeight="1">
      <x:c r="A1857" s="21" t="str">
        <x:v>data/mercenary/mercenaries.json</x:v>
      </x:c>
      <x:c r="B1857" s="21" t="str">
        <x:v>$/mercenaries/2/crit</x:v>
      </x:c>
      <x:c r="C1857" s="21" t="str">
        <x:v>float</x:v>
      </x:c>
      <x:c r="D1857" s="21" t="str">
        <x:v>0.05</x:v>
      </x:c>
    </x:row>
    <x:row r="1858" ht="22" customHeight="1">
      <x:c r="A1858" s="21" t="str">
        <x:v>data/mercenary/mercenaries.json</x:v>
      </x:c>
      <x:c r="B1858" s="21" t="str">
        <x:v>$/mercenaries/2/crit_dmg</x:v>
      </x:c>
      <x:c r="C1858" s="21" t="str">
        <x:v>float</x:v>
      </x:c>
      <x:c r="D1858" s="21" t="str">
        <x:v>1.5</x:v>
      </x:c>
    </x:row>
    <x:row r="1859" ht="22" customHeight="1">
      <x:c r="A1859" s="21" t="str">
        <x:v>data/mercenary/mercenaries.json</x:v>
      </x:c>
      <x:c r="B1859" s="21" t="str">
        <x:v>$/mercenaries/2/model</x:v>
      </x:c>
      <x:c r="C1859" s="21" t="str">
        <x:v>string</x:v>
      </x:c>
      <x:c r="D1859" s="21" t="str">
        <x:v>"res://assets/models/mercenaries/merc_libra_judge_animated/merc_libra_judge_animated.tscn"</x:v>
      </x:c>
    </x:row>
    <x:row r="1860" ht="22" customHeight="1">
      <x:c r="A1860" s="21" t="str">
        <x:v>data/mercenary/mercenaries.json</x:v>
      </x:c>
      <x:c r="B1860" s="21" t="str">
        <x:v>$/mercenaries/2/model_visual_scale</x:v>
      </x:c>
      <x:c r="C1860" s="21" t="str">
        <x:v>float</x:v>
      </x:c>
      <x:c r="D1860" s="21" t="str">
        <x:v>1.0</x:v>
      </x:c>
    </x:row>
    <x:row r="1861" ht="22" customHeight="1">
      <x:c r="A1861" s="21" t="str">
        <x:v>data/mercenary/mercenaries.json</x:v>
      </x:c>
      <x:c r="B1861" s="21" t="str">
        <x:v>$/mercenaries/2/model_base_yaw</x:v>
      </x:c>
      <x:c r="C1861" s="21" t="str">
        <x:v>float</x:v>
      </x:c>
      <x:c r="D1861" s="21" t="str">
        <x:v>180.0</x:v>
      </x:c>
    </x:row>
    <x:row r="1862" ht="22" customHeight="1">
      <x:c r="A1862" s="21" t="str">
        <x:v>data/mercenary/mercenaries.json</x:v>
      </x:c>
      <x:c r="B1862" s="21" t="str">
        <x:v>$/mercenaries/2/model_idle_animation_name</x:v>
      </x:c>
      <x:c r="C1862" s="21" t="str">
        <x:v>string</x:v>
      </x:c>
      <x:c r="D1862" s="21" t="str">
        <x:v>"idle"</x:v>
      </x:c>
    </x:row>
    <x:row r="1863" ht="22" customHeight="1">
      <x:c r="A1863" s="21" t="str">
        <x:v>data/mercenary/mercenaries.json</x:v>
      </x:c>
      <x:c r="B1863" s="21" t="str">
        <x:v>$/mercenaries/2/model_attack_animation_name</x:v>
      </x:c>
      <x:c r="C1863" s="21" t="str">
        <x:v>string</x:v>
      </x:c>
      <x:c r="D1863" s="21" t="str">
        <x:v>"attack"</x:v>
      </x:c>
    </x:row>
    <x:row r="1864" ht="22" customHeight="1">
      <x:c r="A1864" s="21" t="str">
        <x:v>data/mercenary/mercenaries.json</x:v>
      </x:c>
      <x:c r="B1864" s="21" t="str">
        <x:v>$/mercenaries/2/model_attack_sync_seek</x:v>
      </x:c>
      <x:c r="C1864" s="21" t="str">
        <x:v>float</x:v>
      </x:c>
      <x:c r="D1864" s="21" t="str">
        <x:v>0.18</x:v>
      </x:c>
    </x:row>
    <x:row r="1865" ht="22" customHeight="1">
      <x:c r="A1865" s="21" t="str">
        <x:v>data/mercenary/mercenaries.json</x:v>
      </x:c>
      <x:c r="B1865" s="21" t="str">
        <x:v>$/mercenaries/2/model_attack_lock_time</x:v>
      </x:c>
      <x:c r="C1865" s="21" t="str">
        <x:v>float</x:v>
      </x:c>
      <x:c r="D1865" s="21" t="str">
        <x:v>0.42</x:v>
      </x:c>
    </x:row>
    <x:row r="1866" ht="22" customHeight="1">
      <x:c r="A1866" s="21" t="str">
        <x:v>data/mercenary/mercenaries.json</x:v>
      </x:c>
      <x:c r="B1866" s="21" t="str">
        <x:v>$/mercenaries/2/model_run_animation_name</x:v>
      </x:c>
      <x:c r="C1866" s="21" t="str">
        <x:v>string</x:v>
      </x:c>
      <x:c r="D1866" s="21" t="str">
        <x:v>"run"</x:v>
      </x:c>
    </x:row>
    <x:row r="1867" ht="22" customHeight="1">
      <x:c r="A1867" s="21" t="str">
        <x:v>data/mercenary/mercenaries.json</x:v>
      </x:c>
      <x:c r="B1867" s="21" t="str">
        <x:v>$/mercenaries/2/name_en</x:v>
      </x:c>
      <x:c r="C1867" s="21" t="str">
        <x:v>string</x:v>
      </x:c>
      <x:c r="D1867" s="21" t="str">
        <x:v>"Balance Judge"</x:v>
      </x:c>
    </x:row>
    <x:row r="1868" ht="22" customHeight="1">
      <x:c r="A1868" s="21" t="str">
        <x:v>data/mercenary/mercenaries.json</x:v>
      </x:c>
      <x:c r="B1868" s="21" t="str">
        <x:v>$/mercenaries/3</x:v>
      </x:c>
      <x:c r="C1868" s="21" t="str">
        <x:v>object</x:v>
      </x:c>
      <x:c r="D1868" s="21" t="str"/>
    </x:row>
    <x:row r="1869" ht="22" customHeight="1">
      <x:c r="A1869" s="21" t="str">
        <x:v>data/mercenary/mercenaries.json</x:v>
      </x:c>
      <x:c r="B1869" s="21" t="str">
        <x:v>$/mercenaries/3/id</x:v>
      </x:c>
      <x:c r="C1869" s="21" t="str">
        <x:v>string</x:v>
      </x:c>
      <x:c r="D1869" s="21" t="str">
        <x:v>"merc_taurus_charge"</x:v>
      </x:c>
    </x:row>
    <x:row r="1870" ht="22" customHeight="1">
      <x:c r="A1870" s="21" t="str">
        <x:v>data/mercenary/mercenaries.json</x:v>
      </x:c>
      <x:c r="B1870" s="21" t="str">
        <x:v>$/mercenaries/3/model_in_place_actions</x:v>
      </x:c>
      <x:c r="C1870" s="21" t="str">
        <x:v>array</x:v>
      </x:c>
      <x:c r="D1870" s="21" t="str"/>
    </x:row>
    <x:row r="1871" ht="22" customHeight="1">
      <x:c r="A1871" s="21" t="str">
        <x:v>data/mercenary/mercenaries.json</x:v>
      </x:c>
      <x:c r="B1871" s="21" t="str">
        <x:v>$/mercenaries/3/model_in_place_actions/0</x:v>
      </x:c>
      <x:c r="C1871" s="21" t="str">
        <x:v>string</x:v>
      </x:c>
      <x:c r="D1871" s="21" t="str">
        <x:v>"run"</x:v>
      </x:c>
    </x:row>
    <x:row r="1872" ht="22" customHeight="1">
      <x:c r="A1872" s="21" t="str">
        <x:v>data/mercenary/mercenaries.json</x:v>
      </x:c>
      <x:c r="B1872" s="21" t="str">
        <x:v>$/mercenaries/3/name</x:v>
      </x:c>
      <x:c r="C1872" s="21" t="str">
        <x:v>string</x:v>
      </x:c>
      <x:c r="D1872" s="21" t="str">
        <x:v>"黄金重骑"</x:v>
      </x:c>
    </x:row>
    <x:row r="1873" ht="22" customHeight="1">
      <x:c r="A1873" s="21" t="str">
        <x:v>data/mercenary/mercenaries.json</x:v>
      </x:c>
      <x:c r="B1873" s="21" t="str">
        <x:v>$/mercenaries/3/cost</x:v>
      </x:c>
      <x:c r="C1873" s="21" t="str">
        <x:v>int</x:v>
      </x:c>
      <x:c r="D1873" s="21" t="str">
        <x:v>200</x:v>
      </x:c>
    </x:row>
    <x:row r="1874" ht="22" customHeight="1">
      <x:c r="A1874" s="21" t="str">
        <x:v>data/mercenary/mercenaries.json</x:v>
      </x:c>
      <x:c r="B1874" s="21" t="str">
        <x:v>$/mercenaries/3/carrot_cost</x:v>
      </x:c>
      <x:c r="C1874" s="21" t="str">
        <x:v>int</x:v>
      </x:c>
      <x:c r="D1874" s="21" t="str">
        <x:v>12</x:v>
      </x:c>
    </x:row>
    <x:row r="1875" ht="22" customHeight="1">
      <x:c r="A1875" s="21" t="str">
        <x:v>data/mercenary/mercenaries.json</x:v>
      </x:c>
      <x:c r="B1875" s="21" t="str">
        <x:v>$/mercenaries/3/hp</x:v>
      </x:c>
      <x:c r="C1875" s="21" t="str">
        <x:v>int</x:v>
      </x:c>
      <x:c r="D1875" s="21" t="str">
        <x:v>1400</x:v>
      </x:c>
    </x:row>
    <x:row r="1876" ht="22" customHeight="1">
      <x:c r="A1876" s="21" t="str">
        <x:v>data/mercenary/mercenaries.json</x:v>
      </x:c>
      <x:c r="B1876" s="21" t="str">
        <x:v>$/mercenaries/3/atk</x:v>
      </x:c>
      <x:c r="C1876" s="21" t="str">
        <x:v>int</x:v>
      </x:c>
      <x:c r="D1876" s="21" t="str">
        <x:v>57</x:v>
      </x:c>
    </x:row>
    <x:row r="1877" ht="22" customHeight="1">
      <x:c r="A1877" s="21" t="str">
        <x:v>data/mercenary/mercenaries.json</x:v>
      </x:c>
      <x:c r="B1877" s="21" t="str">
        <x:v>$/mercenaries/3/def</x:v>
      </x:c>
      <x:c r="C1877" s="21" t="str">
        <x:v>int</x:v>
      </x:c>
      <x:c r="D1877" s="21" t="str">
        <x:v>8</x:v>
      </x:c>
    </x:row>
    <x:row r="1878" ht="22" customHeight="1">
      <x:c r="A1878" s="21" t="str">
        <x:v>data/mercenary/mercenaries.json</x:v>
      </x:c>
      <x:c r="B1878" s="21" t="str">
        <x:v>$/mercenaries/3/attack_speed</x:v>
      </x:c>
      <x:c r="C1878" s="21" t="str">
        <x:v>float</x:v>
      </x:c>
      <x:c r="D1878" s="21" t="str">
        <x:v>0.9</x:v>
      </x:c>
    </x:row>
    <x:row r="1879" ht="22" customHeight="1">
      <x:c r="A1879" s="21" t="str">
        <x:v>data/mercenary/mercenaries.json</x:v>
      </x:c>
      <x:c r="B1879" s="21" t="str">
        <x:v>$/mercenaries/3/range</x:v>
      </x:c>
      <x:c r="C1879" s="21" t="str">
        <x:v>int</x:v>
      </x:c>
      <x:c r="D1879" s="21" t="str">
        <x:v>1</x:v>
      </x:c>
    </x:row>
    <x:row r="1880" ht="22" customHeight="1">
      <x:c r="A1880" s="21" t="str">
        <x:v>data/mercenary/mercenaries.json</x:v>
      </x:c>
      <x:c r="B1880" s="21" t="str">
        <x:v>$/mercenaries/3/move_speed</x:v>
      </x:c>
      <x:c r="C1880" s="21" t="str">
        <x:v>float</x:v>
      </x:c>
      <x:c r="D1880" s="21" t="str">
        <x:v>3.4</x:v>
      </x:c>
    </x:row>
    <x:row r="1881" ht="22" customHeight="1">
      <x:c r="A1881" s="21" t="str">
        <x:v>data/mercenary/mercenaries.json</x:v>
      </x:c>
      <x:c r="B1881" s="21" t="str">
        <x:v>$/mercenaries/3/skill_id</x:v>
      </x:c>
      <x:c r="C1881" s="21" t="str">
        <x:v>string</x:v>
      </x:c>
      <x:c r="D1881" s="21" t="str">
        <x:v>"gold_charge"</x:v>
      </x:c>
    </x:row>
    <x:row r="1882" ht="22" customHeight="1">
      <x:c r="A1882" s="21" t="str">
        <x:v>data/mercenary/mercenaries.json</x:v>
      </x:c>
      <x:c r="B1882" s="21" t="str">
        <x:v>$/mercenaries/3/skill_damage</x:v>
      </x:c>
      <x:c r="C1882" s="21" t="str">
        <x:v>int</x:v>
      </x:c>
      <x:c r="D1882" s="21" t="str">
        <x:v>240</x:v>
      </x:c>
    </x:row>
    <x:row r="1883" ht="22" customHeight="1">
      <x:c r="A1883" s="21" t="str">
        <x:v>data/mercenary/mercenaries.json</x:v>
      </x:c>
      <x:c r="B1883" s="21" t="str">
        <x:v>$/mercenaries/3/stun_sec</x:v>
      </x:c>
      <x:c r="C1883" s="21" t="str">
        <x:v>float</x:v>
      </x:c>
      <x:c r="D1883" s="21" t="str">
        <x:v>1.2</x:v>
      </x:c>
    </x:row>
    <x:row r="1884" ht="22" customHeight="1">
      <x:c r="A1884" s="21" t="str">
        <x:v>data/mercenary/mercenaries.json</x:v>
      </x:c>
      <x:c r="B1884" s="21" t="str">
        <x:v>$/mercenaries/3/crit</x:v>
      </x:c>
      <x:c r="C1884" s="21" t="str">
        <x:v>float</x:v>
      </x:c>
      <x:c r="D1884" s="21" t="str">
        <x:v>0.05</x:v>
      </x:c>
    </x:row>
    <x:row r="1885" ht="22" customHeight="1">
      <x:c r="A1885" s="21" t="str">
        <x:v>data/mercenary/mercenaries.json</x:v>
      </x:c>
      <x:c r="B1885" s="21" t="str">
        <x:v>$/mercenaries/3/crit_dmg</x:v>
      </x:c>
      <x:c r="C1885" s="21" t="str">
        <x:v>float</x:v>
      </x:c>
      <x:c r="D1885" s="21" t="str">
        <x:v>1.5</x:v>
      </x:c>
    </x:row>
    <x:row r="1886" ht="22" customHeight="1">
      <x:c r="A1886" s="21" t="str">
        <x:v>data/mercenary/mercenaries.json</x:v>
      </x:c>
      <x:c r="B1886" s="21" t="str">
        <x:v>$/mercenaries/3/bonus_vs_higher_hp</x:v>
      </x:c>
      <x:c r="C1886" s="21" t="str">
        <x:v>float</x:v>
      </x:c>
      <x:c r="D1886" s="21" t="str">
        <x:v>0.4</x:v>
      </x:c>
    </x:row>
    <x:row r="1887" ht="22" customHeight="1">
      <x:c r="A1887" s="21" t="str">
        <x:v>data/mercenary/mercenaries.json</x:v>
      </x:c>
      <x:c r="B1887" s="21" t="str">
        <x:v>$/mercenaries/3/model</x:v>
      </x:c>
      <x:c r="C1887" s="21" t="str">
        <x:v>string</x:v>
      </x:c>
      <x:c r="D1887" s="21" t="str">
        <x:v>"res://assets/models/mercenaries/merc_taurus_charge_animated/merc_taurus_charge_animated.tscn"</x:v>
      </x:c>
    </x:row>
    <x:row r="1888" ht="22" customHeight="1">
      <x:c r="A1888" s="21" t="str">
        <x:v>data/mercenary/mercenaries.json</x:v>
      </x:c>
      <x:c r="B1888" s="21" t="str">
        <x:v>$/mercenaries/3/model_visual_scale</x:v>
      </x:c>
      <x:c r="C1888" s="21" t="str">
        <x:v>float</x:v>
      </x:c>
      <x:c r="D1888" s="21" t="str">
        <x:v>1.0</x:v>
      </x:c>
    </x:row>
    <x:row r="1889" ht="22" customHeight="1">
      <x:c r="A1889" s="21" t="str">
        <x:v>data/mercenary/mercenaries.json</x:v>
      </x:c>
      <x:c r="B1889" s="21" t="str">
        <x:v>$/mercenaries/3/model_base_yaw</x:v>
      </x:c>
      <x:c r="C1889" s="21" t="str">
        <x:v>float</x:v>
      </x:c>
      <x:c r="D1889" s="21" t="str">
        <x:v>180.0</x:v>
      </x:c>
    </x:row>
    <x:row r="1890" ht="22" customHeight="1">
      <x:c r="A1890" s="21" t="str">
        <x:v>data/mercenary/mercenaries.json</x:v>
      </x:c>
      <x:c r="B1890" s="21" t="str">
        <x:v>$/mercenaries/3/model_idle_animation_name</x:v>
      </x:c>
      <x:c r="C1890" s="21" t="str">
        <x:v>string</x:v>
      </x:c>
      <x:c r="D1890" s="21" t="str">
        <x:v>"idle"</x:v>
      </x:c>
    </x:row>
    <x:row r="1891" ht="22" customHeight="1">
      <x:c r="A1891" s="21" t="str">
        <x:v>data/mercenary/mercenaries.json</x:v>
      </x:c>
      <x:c r="B1891" s="21" t="str">
        <x:v>$/mercenaries/3/model_attack_animation_name</x:v>
      </x:c>
      <x:c r="C1891" s="21" t="str">
        <x:v>string</x:v>
      </x:c>
      <x:c r="D1891" s="21" t="str">
        <x:v>"attack"</x:v>
      </x:c>
    </x:row>
    <x:row r="1892" ht="22" customHeight="1">
      <x:c r="A1892" s="21" t="str">
        <x:v>data/mercenary/mercenaries.json</x:v>
      </x:c>
      <x:c r="B1892" s="21" t="str">
        <x:v>$/mercenaries/3/model_attack_sync_seek</x:v>
      </x:c>
      <x:c r="C1892" s="21" t="str">
        <x:v>float</x:v>
      </x:c>
      <x:c r="D1892" s="21" t="str">
        <x:v>0.18</x:v>
      </x:c>
    </x:row>
    <x:row r="1893" ht="22" customHeight="1">
      <x:c r="A1893" s="21" t="str">
        <x:v>data/mercenary/mercenaries.json</x:v>
      </x:c>
      <x:c r="B1893" s="21" t="str">
        <x:v>$/mercenaries/3/model_attack_lock_time</x:v>
      </x:c>
      <x:c r="C1893" s="21" t="str">
        <x:v>float</x:v>
      </x:c>
      <x:c r="D1893" s="21" t="str">
        <x:v>0.42</x:v>
      </x:c>
    </x:row>
    <x:row r="1894" ht="22" customHeight="1">
      <x:c r="A1894" s="21" t="str">
        <x:v>data/mercenary/mercenaries.json</x:v>
      </x:c>
      <x:c r="B1894" s="21" t="str">
        <x:v>$/mercenaries/3/model_run_animation_name</x:v>
      </x:c>
      <x:c r="C1894" s="21" t="str">
        <x:v>string</x:v>
      </x:c>
      <x:c r="D1894" s="21" t="str">
        <x:v>"run"</x:v>
      </x:c>
    </x:row>
    <x:row r="1895" ht="22" customHeight="1">
      <x:c r="A1895" s="21" t="str">
        <x:v>data/mercenary/mercenaries.json</x:v>
      </x:c>
      <x:c r="B1895" s="21" t="str">
        <x:v>$/mercenaries/3/name_en</x:v>
      </x:c>
      <x:c r="C1895" s="21" t="str">
        <x:v>string</x:v>
      </x:c>
      <x:c r="D1895" s="21" t="str">
        <x:v>"Gold Charger"</x:v>
      </x:c>
    </x:row>
    <x:row r="1896" ht="22" customHeight="1">
      <x:c r="A1896" s="21" t="str">
        <x:v>data/mercenary/mercenaries.json</x:v>
      </x:c>
      <x:c r="B1896" s="21" t="str">
        <x:v>$/mercenaries/4</x:v>
      </x:c>
      <x:c r="C1896" s="21" t="str">
        <x:v>object</x:v>
      </x:c>
      <x:c r="D1896" s="21" t="str"/>
    </x:row>
    <x:row r="1897" ht="22" customHeight="1">
      <x:c r="A1897" s="21" t="str">
        <x:v>data/mercenary/mercenaries.json</x:v>
      </x:c>
      <x:c r="B1897" s="21" t="str">
        <x:v>$/mercenaries/4/id</x:v>
      </x:c>
      <x:c r="C1897" s="21" t="str">
        <x:v>string</x:v>
      </x:c>
      <x:c r="D1897" s="21" t="str">
        <x:v>"merc_virgo_heal"</x:v>
      </x:c>
    </x:row>
    <x:row r="1898" ht="22" customHeight="1">
      <x:c r="A1898" s="21" t="str">
        <x:v>data/mercenary/mercenaries.json</x:v>
      </x:c>
      <x:c r="B1898" s="21" t="str">
        <x:v>$/mercenaries/4/name</x:v>
      </x:c>
      <x:c r="C1898" s="21" t="str">
        <x:v>string</x:v>
      </x:c>
      <x:c r="D1898" s="21" t="str">
        <x:v>"圣愈修女"</x:v>
      </x:c>
    </x:row>
    <x:row r="1899" ht="22" customHeight="1">
      <x:c r="A1899" s="21" t="str">
        <x:v>data/mercenary/mercenaries.json</x:v>
      </x:c>
      <x:c r="B1899" s="21" t="str">
        <x:v>$/mercenaries/4/cost</x:v>
      </x:c>
      <x:c r="C1899" s="21" t="str">
        <x:v>int</x:v>
      </x:c>
      <x:c r="D1899" s="21" t="str">
        <x:v>250</x:v>
      </x:c>
    </x:row>
    <x:row r="1900" ht="22" customHeight="1">
      <x:c r="A1900" s="21" t="str">
        <x:v>data/mercenary/mercenaries.json</x:v>
      </x:c>
      <x:c r="B1900" s="21" t="str">
        <x:v>$/mercenaries/4/carrot_cost</x:v>
      </x:c>
      <x:c r="C1900" s="21" t="str">
        <x:v>int</x:v>
      </x:c>
      <x:c r="D1900" s="21" t="str">
        <x:v>15</x:v>
      </x:c>
    </x:row>
    <x:row r="1901" ht="22" customHeight="1">
      <x:c r="A1901" s="21" t="str">
        <x:v>data/mercenary/mercenaries.json</x:v>
      </x:c>
      <x:c r="B1901" s="21" t="str">
        <x:v>$/mercenaries/4/hp</x:v>
      </x:c>
      <x:c r="C1901" s="21" t="str">
        <x:v>int</x:v>
      </x:c>
      <x:c r="D1901" s="21" t="str">
        <x:v>1040</x:v>
      </x:c>
    </x:row>
    <x:row r="1902" ht="22" customHeight="1">
      <x:c r="A1902" s="21" t="str">
        <x:v>data/mercenary/mercenaries.json</x:v>
      </x:c>
      <x:c r="B1902" s="21" t="str">
        <x:v>$/mercenaries/4/atk</x:v>
      </x:c>
      <x:c r="C1902" s="21" t="str">
        <x:v>int</x:v>
      </x:c>
      <x:c r="D1902" s="21" t="str">
        <x:v>33</x:v>
      </x:c>
    </x:row>
    <x:row r="1903" ht="22" customHeight="1">
      <x:c r="A1903" s="21" t="str">
        <x:v>data/mercenary/mercenaries.json</x:v>
      </x:c>
      <x:c r="B1903" s="21" t="str">
        <x:v>$/mercenaries/4/def</x:v>
      </x:c>
      <x:c r="C1903" s="21" t="str">
        <x:v>int</x:v>
      </x:c>
      <x:c r="D1903" s="21" t="str">
        <x:v>7</x:v>
      </x:c>
    </x:row>
    <x:row r="1904" ht="22" customHeight="1">
      <x:c r="A1904" s="21" t="str">
        <x:v>data/mercenary/mercenaries.json</x:v>
      </x:c>
      <x:c r="B1904" s="21" t="str">
        <x:v>$/mercenaries/4/attack_speed</x:v>
      </x:c>
      <x:c r="C1904" s="21" t="str">
        <x:v>float</x:v>
      </x:c>
      <x:c r="D1904" s="21" t="str">
        <x:v>0.9</x:v>
      </x:c>
    </x:row>
    <x:row r="1905" ht="22" customHeight="1">
      <x:c r="A1905" s="21" t="str">
        <x:v>data/mercenary/mercenaries.json</x:v>
      </x:c>
      <x:c r="B1905" s="21" t="str">
        <x:v>$/mercenaries/4/range</x:v>
      </x:c>
      <x:c r="C1905" s="21" t="str">
        <x:v>int</x:v>
      </x:c>
      <x:c r="D1905" s="21" t="str">
        <x:v>4</x:v>
      </x:c>
    </x:row>
    <x:row r="1906" ht="22" customHeight="1">
      <x:c r="A1906" s="21" t="str">
        <x:v>data/mercenary/mercenaries.json</x:v>
      </x:c>
      <x:c r="B1906" s="21" t="str">
        <x:v>$/mercenaries/4/move_speed</x:v>
      </x:c>
      <x:c r="C1906" s="21" t="str">
        <x:v>float</x:v>
      </x:c>
      <x:c r="D1906" s="21" t="str">
        <x:v>3.0</x:v>
      </x:c>
    </x:row>
    <x:row r="1907" ht="22" customHeight="1">
      <x:c r="A1907" s="21" t="str">
        <x:v>data/mercenary/mercenaries.json</x:v>
      </x:c>
      <x:c r="B1907" s="21" t="str">
        <x:v>$/mercenaries/4/skill_id</x:v>
      </x:c>
      <x:c r="C1907" s="21" t="str">
        <x:v>string</x:v>
      </x:c>
      <x:c r="D1907" s="21" t="str">
        <x:v>"holy_song"</x:v>
      </x:c>
    </x:row>
    <x:row r="1908" ht="22" customHeight="1">
      <x:c r="A1908" s="21" t="str">
        <x:v>data/mercenary/mercenaries.json</x:v>
      </x:c>
      <x:c r="B1908" s="21" t="str">
        <x:v>$/mercenaries/4/skill_cd</x:v>
      </x:c>
      <x:c r="C1908" s="21" t="str">
        <x:v>float</x:v>
      </x:c>
      <x:c r="D1908" s="21" t="str">
        <x:v>10.0</x:v>
      </x:c>
    </x:row>
    <x:row r="1909" ht="22" customHeight="1">
      <x:c r="A1909" s="21" t="str">
        <x:v>data/mercenary/mercenaries.json</x:v>
      </x:c>
      <x:c r="B1909" s="21" t="str">
        <x:v>$/mercenaries/4/heal_pct</x:v>
      </x:c>
      <x:c r="C1909" s="21" t="str">
        <x:v>float</x:v>
      </x:c>
      <x:c r="D1909" s="21" t="str">
        <x:v>0.15</x:v>
      </x:c>
    </x:row>
    <x:row r="1910" ht="22" customHeight="1">
      <x:c r="A1910" s="21" t="str">
        <x:v>data/mercenary/mercenaries.json</x:v>
      </x:c>
      <x:c r="B1910" s="21" t="str">
        <x:v>$/mercenaries/4/cleanse_control</x:v>
      </x:c>
      <x:c r="C1910" s="21" t="str">
        <x:v>bool</x:v>
      </x:c>
      <x:c r="D1910" s="21" t="str">
        <x:v>true</x:v>
      </x:c>
    </x:row>
    <x:row r="1911" ht="22" customHeight="1">
      <x:c r="A1911" s="21" t="str">
        <x:v>data/mercenary/mercenaries.json</x:v>
      </x:c>
      <x:c r="B1911" s="21" t="str">
        <x:v>$/mercenaries/4/crit</x:v>
      </x:c>
      <x:c r="C1911" s="21" t="str">
        <x:v>float</x:v>
      </x:c>
      <x:c r="D1911" s="21" t="str">
        <x:v>0.05</x:v>
      </x:c>
    </x:row>
    <x:row r="1912" ht="22" customHeight="1">
      <x:c r="A1912" s="21" t="str">
        <x:v>data/mercenary/mercenaries.json</x:v>
      </x:c>
      <x:c r="B1912" s="21" t="str">
        <x:v>$/mercenaries/4/crit_dmg</x:v>
      </x:c>
      <x:c r="C1912" s="21" t="str">
        <x:v>float</x:v>
      </x:c>
      <x:c r="D1912" s="21" t="str">
        <x:v>1.5</x:v>
      </x:c>
    </x:row>
    <x:row r="1913" ht="22" customHeight="1">
      <x:c r="A1913" s="21" t="str">
        <x:v>data/mercenary/mercenaries.json</x:v>
      </x:c>
      <x:c r="B1913" s="21" t="str">
        <x:v>$/mercenaries/4/model</x:v>
      </x:c>
      <x:c r="C1913" s="21" t="str">
        <x:v>string</x:v>
      </x:c>
      <x:c r="D1913" s="21" t="str">
        <x:v>"res://assets/models/mercenaries/merc_virgo_heal_animated/merc_virgo_heal_animated.tscn"</x:v>
      </x:c>
    </x:row>
    <x:row r="1914" ht="22" customHeight="1">
      <x:c r="A1914" s="21" t="str">
        <x:v>data/mercenary/mercenaries.json</x:v>
      </x:c>
      <x:c r="B1914" s="21" t="str">
        <x:v>$/mercenaries/4/model_visual_scale</x:v>
      </x:c>
      <x:c r="C1914" s="21" t="str">
        <x:v>float</x:v>
      </x:c>
      <x:c r="D1914" s="21" t="str">
        <x:v>1.0</x:v>
      </x:c>
    </x:row>
    <x:row r="1915" ht="22" customHeight="1">
      <x:c r="A1915" s="21" t="str">
        <x:v>data/mercenary/mercenaries.json</x:v>
      </x:c>
      <x:c r="B1915" s="21" t="str">
        <x:v>$/mercenaries/4/model_base_yaw</x:v>
      </x:c>
      <x:c r="C1915" s="21" t="str">
        <x:v>float</x:v>
      </x:c>
      <x:c r="D1915" s="21" t="str">
        <x:v>180.0</x:v>
      </x:c>
    </x:row>
    <x:row r="1916" ht="22" customHeight="1">
      <x:c r="A1916" s="21" t="str">
        <x:v>data/mercenary/mercenaries.json</x:v>
      </x:c>
      <x:c r="B1916" s="21" t="str">
        <x:v>$/mercenaries/4/model_idle_animation_name</x:v>
      </x:c>
      <x:c r="C1916" s="21" t="str">
        <x:v>string</x:v>
      </x:c>
      <x:c r="D1916" s="21" t="str">
        <x:v>"idle"</x:v>
      </x:c>
    </x:row>
    <x:row r="1917" ht="22" customHeight="1">
      <x:c r="A1917" s="21" t="str">
        <x:v>data/mercenary/mercenaries.json</x:v>
      </x:c>
      <x:c r="B1917" s="21" t="str">
        <x:v>$/mercenaries/4/model_attack_animation_name</x:v>
      </x:c>
      <x:c r="C1917" s="21" t="str">
        <x:v>string</x:v>
      </x:c>
      <x:c r="D1917" s="21" t="str">
        <x:v>"attack"</x:v>
      </x:c>
    </x:row>
    <x:row r="1918" ht="22" customHeight="1">
      <x:c r="A1918" s="21" t="str">
        <x:v>data/mercenary/mercenaries.json</x:v>
      </x:c>
      <x:c r="B1918" s="21" t="str">
        <x:v>$/mercenaries/4/model_attack_sync_seek</x:v>
      </x:c>
      <x:c r="C1918" s="21" t="str">
        <x:v>float</x:v>
      </x:c>
      <x:c r="D1918" s="21" t="str">
        <x:v>0.18</x:v>
      </x:c>
    </x:row>
    <x:row r="1919" ht="22" customHeight="1">
      <x:c r="A1919" s="21" t="str">
        <x:v>data/mercenary/mercenaries.json</x:v>
      </x:c>
      <x:c r="B1919" s="21" t="str">
        <x:v>$/mercenaries/4/model_attack_lock_time</x:v>
      </x:c>
      <x:c r="C1919" s="21" t="str">
        <x:v>float</x:v>
      </x:c>
      <x:c r="D1919" s="21" t="str">
        <x:v>0.42</x:v>
      </x:c>
    </x:row>
    <x:row r="1920" ht="22" customHeight="1">
      <x:c r="A1920" s="21" t="str">
        <x:v>data/mercenary/mercenaries.json</x:v>
      </x:c>
      <x:c r="B1920" s="21" t="str">
        <x:v>$/mercenaries/4/model_run_animation_name</x:v>
      </x:c>
      <x:c r="C1920" s="21" t="str">
        <x:v>string</x:v>
      </x:c>
      <x:c r="D1920" s="21" t="str">
        <x:v>"run"</x:v>
      </x:c>
    </x:row>
    <x:row r="1921" ht="22" customHeight="1">
      <x:c r="A1921" s="21" t="str">
        <x:v>data/mercenary/mercenaries.json</x:v>
      </x:c>
      <x:c r="B1921" s="21" t="str">
        <x:v>$/mercenaries/4/name_en</x:v>
      </x:c>
      <x:c r="C1921" s="21" t="str">
        <x:v>string</x:v>
      </x:c>
      <x:c r="D1921" s="21" t="str">
        <x:v>"Holy Sister"</x:v>
      </x:c>
    </x:row>
    <x:row r="1922" ht="22" customHeight="1">
      <x:c r="A1922" s="21" t="str">
        <x:v>data/mercenary/mercenaries.json</x:v>
      </x:c>
      <x:c r="B1922" s="21" t="str">
        <x:v>$/mercenaries/5</x:v>
      </x:c>
      <x:c r="C1922" s="21" t="str">
        <x:v>object</x:v>
      </x:c>
      <x:c r="D1922" s="21" t="str"/>
    </x:row>
    <x:row r="1923" ht="22" customHeight="1">
      <x:c r="A1923" s="21" t="str">
        <x:v>data/mercenary/mercenaries.json</x:v>
      </x:c>
      <x:c r="B1923" s="21" t="str">
        <x:v>$/mercenaries/5/id</x:v>
      </x:c>
      <x:c r="C1923" s="21" t="str">
        <x:v>string</x:v>
      </x:c>
      <x:c r="D1923" s="21" t="str">
        <x:v>"merc_gemini_assassin"</x:v>
      </x:c>
    </x:row>
    <x:row r="1924" ht="22" customHeight="1">
      <x:c r="A1924" s="21" t="str">
        <x:v>data/mercenary/mercenaries.json</x:v>
      </x:c>
      <x:c r="B1924" s="21" t="str">
        <x:v>$/mercenaries/5/name</x:v>
      </x:c>
      <x:c r="C1924" s="21" t="str">
        <x:v>string</x:v>
      </x:c>
      <x:c r="D1924" s="21" t="str">
        <x:v>"镜像刺客"</x:v>
      </x:c>
    </x:row>
    <x:row r="1925" ht="22" customHeight="1">
      <x:c r="A1925" s="21" t="str">
        <x:v>data/mercenary/mercenaries.json</x:v>
      </x:c>
      <x:c r="B1925" s="21" t="str">
        <x:v>$/mercenaries/5/cost</x:v>
      </x:c>
      <x:c r="C1925" s="21" t="str">
        <x:v>int</x:v>
      </x:c>
      <x:c r="D1925" s="21" t="str">
        <x:v>300</x:v>
      </x:c>
    </x:row>
    <x:row r="1926" ht="22" customHeight="1">
      <x:c r="A1926" s="21" t="str">
        <x:v>data/mercenary/mercenaries.json</x:v>
      </x:c>
      <x:c r="B1926" s="21" t="str">
        <x:v>$/mercenaries/5/carrot_cost</x:v>
      </x:c>
      <x:c r="C1926" s="21" t="str">
        <x:v>int</x:v>
      </x:c>
      <x:c r="D1926" s="21" t="str">
        <x:v>18</x:v>
      </x:c>
    </x:row>
    <x:row r="1927" ht="22" customHeight="1">
      <x:c r="A1927" s="21" t="str">
        <x:v>data/mercenary/mercenaries.json</x:v>
      </x:c>
      <x:c r="B1927" s="21" t="str">
        <x:v>$/mercenaries/5/hp</x:v>
      </x:c>
      <x:c r="C1927" s="21" t="str">
        <x:v>int</x:v>
      </x:c>
      <x:c r="D1927" s="21" t="str">
        <x:v>1014</x:v>
      </x:c>
    </x:row>
    <x:row r="1928" ht="22" customHeight="1">
      <x:c r="A1928" s="21" t="str">
        <x:v>data/mercenary/mercenaries.json</x:v>
      </x:c>
      <x:c r="B1928" s="21" t="str">
        <x:v>$/mercenaries/5/atk</x:v>
      </x:c>
      <x:c r="C1928" s="21" t="str">
        <x:v>int</x:v>
      </x:c>
      <x:c r="D1928" s="21" t="str">
        <x:v>77</x:v>
      </x:c>
    </x:row>
    <x:row r="1929" ht="22" customHeight="1">
      <x:c r="A1929" s="21" t="str">
        <x:v>data/mercenary/mercenaries.json</x:v>
      </x:c>
      <x:c r="B1929" s="21" t="str">
        <x:v>$/mercenaries/5/def</x:v>
      </x:c>
      <x:c r="C1929" s="21" t="str">
        <x:v>int</x:v>
      </x:c>
      <x:c r="D1929" s="21" t="str">
        <x:v>6</x:v>
      </x:c>
    </x:row>
    <x:row r="1930" ht="22" customHeight="1">
      <x:c r="A1930" s="21" t="str">
        <x:v>data/mercenary/mercenaries.json</x:v>
      </x:c>
      <x:c r="B1930" s="21" t="str">
        <x:v>$/mercenaries/5/attack_speed</x:v>
      </x:c>
      <x:c r="C1930" s="21" t="str">
        <x:v>float</x:v>
      </x:c>
      <x:c r="D1930" s="21" t="str">
        <x:v>1.35</x:v>
      </x:c>
    </x:row>
    <x:row r="1931" ht="22" customHeight="1">
      <x:c r="A1931" s="21" t="str">
        <x:v>data/mercenary/mercenaries.json</x:v>
      </x:c>
      <x:c r="B1931" s="21" t="str">
        <x:v>$/mercenaries/5/range</x:v>
      </x:c>
      <x:c r="C1931" s="21" t="str">
        <x:v>int</x:v>
      </x:c>
      <x:c r="D1931" s="21" t="str">
        <x:v>1</x:v>
      </x:c>
    </x:row>
    <x:row r="1932" ht="22" customHeight="1">
      <x:c r="A1932" s="21" t="str">
        <x:v>data/mercenary/mercenaries.json</x:v>
      </x:c>
      <x:c r="B1932" s="21" t="str">
        <x:v>$/mercenaries/5/move_speed</x:v>
      </x:c>
      <x:c r="C1932" s="21" t="str">
        <x:v>float</x:v>
      </x:c>
      <x:c r="D1932" s="21" t="str">
        <x:v>3.6</x:v>
      </x:c>
    </x:row>
    <x:row r="1933" ht="22" customHeight="1">
      <x:c r="A1933" s="21" t="str">
        <x:v>data/mercenary/mercenaries.json</x:v>
      </x:c>
      <x:c r="B1933" s="21" t="str">
        <x:v>$/mercenaries/5/skill_id</x:v>
      </x:c>
      <x:c r="C1933" s="21" t="str">
        <x:v>string</x:v>
      </x:c>
      <x:c r="D1933" s="21" t="str">
        <x:v>"twin_strike"</x:v>
      </x:c>
    </x:row>
    <x:row r="1934" ht="22" customHeight="1">
      <x:c r="A1934" s="21" t="str">
        <x:v>data/mercenary/mercenaries.json</x:v>
      </x:c>
      <x:c r="B1934" s="21" t="str">
        <x:v>$/mercenaries/5/skill_cd</x:v>
      </x:c>
      <x:c r="C1934" s="21" t="str">
        <x:v>float</x:v>
      </x:c>
      <x:c r="D1934" s="21" t="str">
        <x:v>10.0</x:v>
      </x:c>
    </x:row>
    <x:row r="1935" ht="22" customHeight="1">
      <x:c r="A1935" s="21" t="str">
        <x:v>data/mercenary/mercenaries.json</x:v>
      </x:c>
      <x:c r="B1935" s="21" t="str">
        <x:v>$/mercenaries/5/clone_hp_pct</x:v>
      </x:c>
      <x:c r="C1935" s="21" t="str">
        <x:v>float</x:v>
      </x:c>
      <x:c r="D1935" s="21" t="str">
        <x:v>0.3</x:v>
      </x:c>
    </x:row>
    <x:row r="1936" ht="22" customHeight="1">
      <x:c r="A1936" s="21" t="str">
        <x:v>data/mercenary/mercenaries.json</x:v>
      </x:c>
      <x:c r="B1936" s="21" t="str">
        <x:v>$/mercenaries/5/clone_atk_pct</x:v>
      </x:c>
      <x:c r="C1936" s="21" t="str">
        <x:v>float</x:v>
      </x:c>
      <x:c r="D1936" s="21" t="str">
        <x:v>0.4</x:v>
      </x:c>
    </x:row>
    <x:row r="1937" ht="22" customHeight="1">
      <x:c r="A1937" s="21" t="str">
        <x:v>data/mercenary/mercenaries.json</x:v>
      </x:c>
      <x:c r="B1937" s="21" t="str">
        <x:v>$/mercenaries/5/crit</x:v>
      </x:c>
      <x:c r="C1937" s="21" t="str">
        <x:v>float</x:v>
      </x:c>
      <x:c r="D1937" s="21" t="str">
        <x:v>0.05</x:v>
      </x:c>
    </x:row>
    <x:row r="1938" ht="22" customHeight="1">
      <x:c r="A1938" s="21" t="str">
        <x:v>data/mercenary/mercenaries.json</x:v>
      </x:c>
      <x:c r="B1938" s="21" t="str">
        <x:v>$/mercenaries/5/crit_dmg</x:v>
      </x:c>
      <x:c r="C1938" s="21" t="str">
        <x:v>float</x:v>
      </x:c>
      <x:c r="D1938" s="21" t="str">
        <x:v>1.5</x:v>
      </x:c>
    </x:row>
    <x:row r="1939" ht="22" customHeight="1">
      <x:c r="A1939" s="21" t="str">
        <x:v>data/mercenary/mercenaries.json</x:v>
      </x:c>
      <x:c r="B1939" s="21" t="str">
        <x:v>$/mercenaries/5/model</x:v>
      </x:c>
      <x:c r="C1939" s="21" t="str">
        <x:v>string</x:v>
      </x:c>
      <x:c r="D1939" s="21" t="str">
        <x:v>"res://assets/models/mercenaries/merc_gemini_assassin_animated/merc_gemini_assassin_animated.tscn"</x:v>
      </x:c>
    </x:row>
    <x:row r="1940" ht="22" customHeight="1">
      <x:c r="A1940" s="21" t="str">
        <x:v>data/mercenary/mercenaries.json</x:v>
      </x:c>
      <x:c r="B1940" s="21" t="str">
        <x:v>$/mercenaries/5/model_visual_scale</x:v>
      </x:c>
      <x:c r="C1940" s="21" t="str">
        <x:v>float</x:v>
      </x:c>
      <x:c r="D1940" s="21" t="str">
        <x:v>1.0</x:v>
      </x:c>
    </x:row>
    <x:row r="1941" ht="22" customHeight="1">
      <x:c r="A1941" s="21" t="str">
        <x:v>data/mercenary/mercenaries.json</x:v>
      </x:c>
      <x:c r="B1941" s="21" t="str">
        <x:v>$/mercenaries/5/model_base_yaw</x:v>
      </x:c>
      <x:c r="C1941" s="21" t="str">
        <x:v>float</x:v>
      </x:c>
      <x:c r="D1941" s="21" t="str">
        <x:v>180.0</x:v>
      </x:c>
    </x:row>
    <x:row r="1942" ht="22" customHeight="1">
      <x:c r="A1942" s="21" t="str">
        <x:v>data/mercenary/mercenaries.json</x:v>
      </x:c>
      <x:c r="B1942" s="21" t="str">
        <x:v>$/mercenaries/5/model_idle_animation_name</x:v>
      </x:c>
      <x:c r="C1942" s="21" t="str">
        <x:v>string</x:v>
      </x:c>
      <x:c r="D1942" s="21" t="str">
        <x:v>"idle"</x:v>
      </x:c>
    </x:row>
    <x:row r="1943" ht="22" customHeight="1">
      <x:c r="A1943" s="21" t="str">
        <x:v>data/mercenary/mercenaries.json</x:v>
      </x:c>
      <x:c r="B1943" s="21" t="str">
        <x:v>$/mercenaries/5/model_attack_animation_name</x:v>
      </x:c>
      <x:c r="C1943" s="21" t="str">
        <x:v>string</x:v>
      </x:c>
      <x:c r="D1943" s="21" t="str">
        <x:v>"attack"</x:v>
      </x:c>
    </x:row>
    <x:row r="1944" ht="22" customHeight="1">
      <x:c r="A1944" s="21" t="str">
        <x:v>data/mercenary/mercenaries.json</x:v>
      </x:c>
      <x:c r="B1944" s="21" t="str">
        <x:v>$/mercenaries/5/model_attack_sync_seek</x:v>
      </x:c>
      <x:c r="C1944" s="21" t="str">
        <x:v>float</x:v>
      </x:c>
      <x:c r="D1944" s="21" t="str">
        <x:v>0.18</x:v>
      </x:c>
    </x:row>
    <x:row r="1945" ht="22" customHeight="1">
      <x:c r="A1945" s="21" t="str">
        <x:v>data/mercenary/mercenaries.json</x:v>
      </x:c>
      <x:c r="B1945" s="21" t="str">
        <x:v>$/mercenaries/5/model_attack_lock_time</x:v>
      </x:c>
      <x:c r="C1945" s="21" t="str">
        <x:v>float</x:v>
      </x:c>
      <x:c r="D1945" s="21" t="str">
        <x:v>0.42</x:v>
      </x:c>
    </x:row>
    <x:row r="1946" ht="22" customHeight="1">
      <x:c r="A1946" s="21" t="str">
        <x:v>data/mercenary/mercenaries.json</x:v>
      </x:c>
      <x:c r="B1946" s="21" t="str">
        <x:v>$/mercenaries/5/model_run_animation_name</x:v>
      </x:c>
      <x:c r="C1946" s="21" t="str">
        <x:v>string</x:v>
      </x:c>
      <x:c r="D1946" s="21" t="str">
        <x:v>"run"</x:v>
      </x:c>
    </x:row>
    <x:row r="1947" ht="22" customHeight="1">
      <x:c r="A1947" s="21" t="str">
        <x:v>data/mercenary/mercenaries.json</x:v>
      </x:c>
      <x:c r="B1947" s="21" t="str">
        <x:v>$/mercenaries/5/name_en</x:v>
      </x:c>
      <x:c r="C1947" s="21" t="str">
        <x:v>string</x:v>
      </x:c>
      <x:c r="D1947" s="21" t="str">
        <x:v>"Mirror Assassin"</x:v>
      </x:c>
    </x:row>
    <x:row r="1948" ht="22" customHeight="1">
      <x:c r="A1948" s="21" t="str">
        <x:v>data/mercenary/mercenaries.json</x:v>
      </x:c>
      <x:c r="B1948" s="21" t="str">
        <x:v>$/mercenaries/6</x:v>
      </x:c>
      <x:c r="C1948" s="21" t="str">
        <x:v>object</x:v>
      </x:c>
      <x:c r="D1948" s="21" t="str"/>
    </x:row>
    <x:row r="1949" ht="22" customHeight="1">
      <x:c r="A1949" s="21" t="str">
        <x:v>data/mercenary/mercenaries.json</x:v>
      </x:c>
      <x:c r="B1949" s="21" t="str">
        <x:v>$/mercenaries/6/id</x:v>
      </x:c>
      <x:c r="C1949" s="21" t="str">
        <x:v>string</x:v>
      </x:c>
      <x:c r="D1949" s="21" t="str">
        <x:v>"merc_leo_sun"</x:v>
      </x:c>
    </x:row>
    <x:row r="1950" ht="22" customHeight="1">
      <x:c r="A1950" s="21" t="str">
        <x:v>data/mercenary/mercenaries.json</x:v>
      </x:c>
      <x:c r="B1950" s="21" t="str">
        <x:v>$/mercenaries/6/model_in_place_actions</x:v>
      </x:c>
      <x:c r="C1950" s="21" t="str">
        <x:v>array</x:v>
      </x:c>
      <x:c r="D1950" s="21" t="str"/>
    </x:row>
    <x:row r="1951" ht="22" customHeight="1">
      <x:c r="A1951" s="21" t="str">
        <x:v>data/mercenary/mercenaries.json</x:v>
      </x:c>
      <x:c r="B1951" s="21" t="str">
        <x:v>$/mercenaries/6/model_in_place_actions/0</x:v>
      </x:c>
      <x:c r="C1951" s="21" t="str">
        <x:v>string</x:v>
      </x:c>
      <x:c r="D1951" s="21" t="str">
        <x:v>"run"</x:v>
      </x:c>
    </x:row>
    <x:row r="1952" ht="22" customHeight="1">
      <x:c r="A1952" s="21" t="str">
        <x:v>data/mercenary/mercenaries.json</x:v>
      </x:c>
      <x:c r="B1952" s="21" t="str">
        <x:v>$/mercenaries/6/model_in_place_actions/1</x:v>
      </x:c>
      <x:c r="C1952" s="21" t="str">
        <x:v>string</x:v>
      </x:c>
      <x:c r="D1952" s="21" t="str">
        <x:v>"attack"</x:v>
      </x:c>
    </x:row>
    <x:row r="1953" ht="22" customHeight="1">
      <x:c r="A1953" s="21" t="str">
        <x:v>data/mercenary/mercenaries.json</x:v>
      </x:c>
      <x:c r="B1953" s="21" t="str">
        <x:v>$/mercenaries/6/name</x:v>
      </x:c>
      <x:c r="C1953" s="21" t="str">
        <x:v>string</x:v>
      </x:c>
      <x:c r="D1953" s="21" t="str">
        <x:v>"炎阳王者"</x:v>
      </x:c>
    </x:row>
    <x:row r="1954" ht="22" customHeight="1">
      <x:c r="A1954" s="21" t="str">
        <x:v>data/mercenary/mercenaries.json</x:v>
      </x:c>
      <x:c r="B1954" s="21" t="str">
        <x:v>$/mercenaries/6/cost</x:v>
      </x:c>
      <x:c r="C1954" s="21" t="str">
        <x:v>int</x:v>
      </x:c>
      <x:c r="D1954" s="21" t="str">
        <x:v>350</x:v>
      </x:c>
    </x:row>
    <x:row r="1955" ht="22" customHeight="1">
      <x:c r="A1955" s="21" t="str">
        <x:v>data/mercenary/mercenaries.json</x:v>
      </x:c>
      <x:c r="B1955" s="21" t="str">
        <x:v>$/mercenaries/6/carrot_cost</x:v>
      </x:c>
      <x:c r="C1955" s="21" t="str">
        <x:v>int</x:v>
      </x:c>
      <x:c r="D1955" s="21" t="str">
        <x:v>21</x:v>
      </x:c>
    </x:row>
    <x:row r="1956" ht="22" customHeight="1">
      <x:c r="A1956" s="21" t="str">
        <x:v>data/mercenary/mercenaries.json</x:v>
      </x:c>
      <x:c r="B1956" s="21" t="str">
        <x:v>$/mercenaries/6/hp</x:v>
      </x:c>
      <x:c r="C1956" s="21" t="str">
        <x:v>int</x:v>
      </x:c>
      <x:c r="D1956" s="21" t="str">
        <x:v>1734</x:v>
      </x:c>
    </x:row>
    <x:row r="1957" ht="22" customHeight="1">
      <x:c r="A1957" s="21" t="str">
        <x:v>data/mercenary/mercenaries.json</x:v>
      </x:c>
      <x:c r="B1957" s="21" t="str">
        <x:v>$/mercenaries/6/atk</x:v>
      </x:c>
      <x:c r="C1957" s="21" t="str">
        <x:v>int</x:v>
      </x:c>
      <x:c r="D1957" s="21" t="str">
        <x:v>74</x:v>
      </x:c>
    </x:row>
    <x:row r="1958" ht="22" customHeight="1">
      <x:c r="A1958" s="21" t="str">
        <x:v>data/mercenary/mercenaries.json</x:v>
      </x:c>
      <x:c r="B1958" s="21" t="str">
        <x:v>$/mercenaries/6/def</x:v>
      </x:c>
      <x:c r="C1958" s="21" t="str">
        <x:v>int</x:v>
      </x:c>
      <x:c r="D1958" s="21" t="str">
        <x:v>11</x:v>
      </x:c>
    </x:row>
    <x:row r="1959" ht="22" customHeight="1">
      <x:c r="A1959" s="21" t="str">
        <x:v>data/mercenary/mercenaries.json</x:v>
      </x:c>
      <x:c r="B1959" s="21" t="str">
        <x:v>$/mercenaries/6/attack_speed</x:v>
      </x:c>
      <x:c r="C1959" s="21" t="str">
        <x:v>float</x:v>
      </x:c>
      <x:c r="D1959" s="21" t="str">
        <x:v>0.95</x:v>
      </x:c>
    </x:row>
    <x:row r="1960" ht="22" customHeight="1">
      <x:c r="A1960" s="21" t="str">
        <x:v>data/mercenary/mercenaries.json</x:v>
      </x:c>
      <x:c r="B1960" s="21" t="str">
        <x:v>$/mercenaries/6/range</x:v>
      </x:c>
      <x:c r="C1960" s="21" t="str">
        <x:v>int</x:v>
      </x:c>
      <x:c r="D1960" s="21" t="str">
        <x:v>1</x:v>
      </x:c>
    </x:row>
    <x:row r="1961" ht="22" customHeight="1">
      <x:c r="A1961" s="21" t="str">
        <x:v>data/mercenary/mercenaries.json</x:v>
      </x:c>
      <x:c r="B1961" s="21" t="str">
        <x:v>$/mercenaries/6/move_speed</x:v>
      </x:c>
      <x:c r="C1961" s="21" t="str">
        <x:v>float</x:v>
      </x:c>
      <x:c r="D1961" s="21" t="str">
        <x:v>3.0</x:v>
      </x:c>
    </x:row>
    <x:row r="1962" ht="22" customHeight="1">
      <x:c r="A1962" s="21" t="str">
        <x:v>data/mercenary/mercenaries.json</x:v>
      </x:c>
      <x:c r="B1962" s="21" t="str">
        <x:v>$/mercenaries/6/skill_id</x:v>
      </x:c>
      <x:c r="C1962" s="21" t="str">
        <x:v>string</x:v>
      </x:c>
      <x:c r="D1962" s="21" t="str">
        <x:v>"king_aura"</x:v>
      </x:c>
    </x:row>
    <x:row r="1963" ht="22" customHeight="1">
      <x:c r="A1963" s="21" t="str">
        <x:v>data/mercenary/mercenaries.json</x:v>
      </x:c>
      <x:c r="B1963" s="21" t="str">
        <x:v>$/mercenaries/6/aura_radius</x:v>
      </x:c>
      <x:c r="C1963" s="21" t="str">
        <x:v>int</x:v>
      </x:c>
      <x:c r="D1963" s="21" t="str">
        <x:v>2</x:v>
      </x:c>
    </x:row>
    <x:row r="1964" ht="22" customHeight="1">
      <x:c r="A1964" s="21" t="str">
        <x:v>data/mercenary/mercenaries.json</x:v>
      </x:c>
      <x:c r="B1964" s="21" t="str">
        <x:v>$/mercenaries/6/ally_aspd_bonus</x:v>
      </x:c>
      <x:c r="C1964" s="21" t="str">
        <x:v>float</x:v>
      </x:c>
      <x:c r="D1964" s="21" t="str">
        <x:v>0.25</x:v>
      </x:c>
    </x:row>
    <x:row r="1965" ht="22" customHeight="1">
      <x:c r="A1965" s="21" t="str">
        <x:v>data/mercenary/mercenaries.json</x:v>
      </x:c>
      <x:c r="B1965" s="21" t="str">
        <x:v>$/mercenaries/6/ally_crit_bonus</x:v>
      </x:c>
      <x:c r="C1965" s="21" t="str">
        <x:v>float</x:v>
      </x:c>
      <x:c r="D1965" s="21" t="str">
        <x:v>0.25</x:v>
      </x:c>
    </x:row>
    <x:row r="1966" ht="22" customHeight="1">
      <x:c r="A1966" s="21" t="str">
        <x:v>data/mercenary/mercenaries.json</x:v>
      </x:c>
      <x:c r="B1966" s="21" t="str">
        <x:v>$/mercenaries/6/crit</x:v>
      </x:c>
      <x:c r="C1966" s="21" t="str">
        <x:v>float</x:v>
      </x:c>
      <x:c r="D1966" s="21" t="str">
        <x:v>0.05</x:v>
      </x:c>
    </x:row>
    <x:row r="1967" ht="22" customHeight="1">
      <x:c r="A1967" s="21" t="str">
        <x:v>data/mercenary/mercenaries.json</x:v>
      </x:c>
      <x:c r="B1967" s="21" t="str">
        <x:v>$/mercenaries/6/crit_dmg</x:v>
      </x:c>
      <x:c r="C1967" s="21" t="str">
        <x:v>float</x:v>
      </x:c>
      <x:c r="D1967" s="21" t="str">
        <x:v>1.5</x:v>
      </x:c>
    </x:row>
    <x:row r="1968" ht="22" customHeight="1">
      <x:c r="A1968" s="21" t="str">
        <x:v>data/mercenary/mercenaries.json</x:v>
      </x:c>
      <x:c r="B1968" s="21" t="str">
        <x:v>$/mercenaries/6/model</x:v>
      </x:c>
      <x:c r="C1968" s="21" t="str">
        <x:v>string</x:v>
      </x:c>
      <x:c r="D1968" s="21" t="str">
        <x:v>"res://assets/models/mercenaries/merc_leo_sun_animated/merc_leo_sun_animated.tscn"</x:v>
      </x:c>
    </x:row>
    <x:row r="1969" ht="22" customHeight="1">
      <x:c r="A1969" s="21" t="str">
        <x:v>data/mercenary/mercenaries.json</x:v>
      </x:c>
      <x:c r="B1969" s="21" t="str">
        <x:v>$/mercenaries/6/model_visual_scale</x:v>
      </x:c>
      <x:c r="C1969" s="21" t="str">
        <x:v>float</x:v>
      </x:c>
      <x:c r="D1969" s="21" t="str">
        <x:v>1.0</x:v>
      </x:c>
    </x:row>
    <x:row r="1970" ht="22" customHeight="1">
      <x:c r="A1970" s="21" t="str">
        <x:v>data/mercenary/mercenaries.json</x:v>
      </x:c>
      <x:c r="B1970" s="21" t="str">
        <x:v>$/mercenaries/6/model_base_yaw</x:v>
      </x:c>
      <x:c r="C1970" s="21" t="str">
        <x:v>float</x:v>
      </x:c>
      <x:c r="D1970" s="21" t="str">
        <x:v>180.0</x:v>
      </x:c>
    </x:row>
    <x:row r="1971" ht="22" customHeight="1">
      <x:c r="A1971" s="21" t="str">
        <x:v>data/mercenary/mercenaries.json</x:v>
      </x:c>
      <x:c r="B1971" s="21" t="str">
        <x:v>$/mercenaries/6/model_idle_animation_name</x:v>
      </x:c>
      <x:c r="C1971" s="21" t="str">
        <x:v>string</x:v>
      </x:c>
      <x:c r="D1971" s="21" t="str">
        <x:v>"idle"</x:v>
      </x:c>
    </x:row>
    <x:row r="1972" ht="22" customHeight="1">
      <x:c r="A1972" s="21" t="str">
        <x:v>data/mercenary/mercenaries.json</x:v>
      </x:c>
      <x:c r="B1972" s="21" t="str">
        <x:v>$/mercenaries/6/model_attack_animation_name</x:v>
      </x:c>
      <x:c r="C1972" s="21" t="str">
        <x:v>string</x:v>
      </x:c>
      <x:c r="D1972" s="21" t="str">
        <x:v>"attack"</x:v>
      </x:c>
    </x:row>
    <x:row r="1973" ht="22" customHeight="1">
      <x:c r="A1973" s="21" t="str">
        <x:v>data/mercenary/mercenaries.json</x:v>
      </x:c>
      <x:c r="B1973" s="21" t="str">
        <x:v>$/mercenaries/6/model_attack_sync_seek</x:v>
      </x:c>
      <x:c r="C1973" s="21" t="str">
        <x:v>float</x:v>
      </x:c>
      <x:c r="D1973" s="21" t="str">
        <x:v>0.18</x:v>
      </x:c>
    </x:row>
    <x:row r="1974" ht="22" customHeight="1">
      <x:c r="A1974" s="21" t="str">
        <x:v>data/mercenary/mercenaries.json</x:v>
      </x:c>
      <x:c r="B1974" s="21" t="str">
        <x:v>$/mercenaries/6/model_attack_lock_time</x:v>
      </x:c>
      <x:c r="C1974" s="21" t="str">
        <x:v>float</x:v>
      </x:c>
      <x:c r="D1974" s="21" t="str">
        <x:v>0.42</x:v>
      </x:c>
    </x:row>
    <x:row r="1975" ht="22" customHeight="1">
      <x:c r="A1975" s="21" t="str">
        <x:v>data/mercenary/mercenaries.json</x:v>
      </x:c>
      <x:c r="B1975" s="21" t="str">
        <x:v>$/mercenaries/6/model_run_animation_name</x:v>
      </x:c>
      <x:c r="C1975" s="21" t="str">
        <x:v>string</x:v>
      </x:c>
      <x:c r="D1975" s="21" t="str">
        <x:v>"run"</x:v>
      </x:c>
    </x:row>
    <x:row r="1976" ht="22" customHeight="1">
      <x:c r="A1976" s="21" t="str">
        <x:v>data/mercenary/mercenaries.json</x:v>
      </x:c>
      <x:c r="B1976" s="21" t="str">
        <x:v>$/mercenaries/6/name_en</x:v>
      </x:c>
      <x:c r="C1976" s="21" t="str">
        <x:v>string</x:v>
      </x:c>
      <x:c r="D1976" s="21" t="str">
        <x:v>"Sun King"</x:v>
      </x:c>
    </x:row>
    <x:row r="1977" ht="22" customHeight="1">
      <x:c r="A1977" s="21" t="str">
        <x:v>data/mercenary/mercenaries.json</x:v>
      </x:c>
      <x:c r="B1977" s="21" t="str">
        <x:v>$/mercenaries/7</x:v>
      </x:c>
      <x:c r="C1977" s="21" t="str">
        <x:v>object</x:v>
      </x:c>
      <x:c r="D1977" s="21" t="str"/>
    </x:row>
    <x:row r="1978" ht="22" customHeight="1">
      <x:c r="A1978" s="21" t="str">
        <x:v>data/mercenary/mercenaries.json</x:v>
      </x:c>
      <x:c r="B1978" s="21" t="str">
        <x:v>$/mercenaries/7/id</x:v>
      </x:c>
      <x:c r="C1978" s="21" t="str">
        <x:v>string</x:v>
      </x:c>
      <x:c r="D1978" s="21" t="str">
        <x:v>"merc_sagittarius_rain"</x:v>
      </x:c>
    </x:row>
    <x:row r="1979" ht="22" customHeight="1">
      <x:c r="A1979" s="21" t="str">
        <x:v>data/mercenary/mercenaries.json</x:v>
      </x:c>
      <x:c r="B1979" s="21" t="str">
        <x:v>$/mercenaries/7/name</x:v>
      </x:c>
      <x:c r="C1979" s="21" t="str">
        <x:v>string</x:v>
      </x:c>
      <x:c r="D1979" s="21" t="str">
        <x:v>"星轨猎人"</x:v>
      </x:c>
    </x:row>
    <x:row r="1980" ht="22" customHeight="1">
      <x:c r="A1980" s="21" t="str">
        <x:v>data/mercenary/mercenaries.json</x:v>
      </x:c>
      <x:c r="B1980" s="21" t="str">
        <x:v>$/mercenaries/7/cost</x:v>
      </x:c>
      <x:c r="C1980" s="21" t="str">
        <x:v>int</x:v>
      </x:c>
      <x:c r="D1980" s="21" t="str">
        <x:v>400</x:v>
      </x:c>
    </x:row>
    <x:row r="1981" ht="22" customHeight="1">
      <x:c r="A1981" s="21" t="str">
        <x:v>data/mercenary/mercenaries.json</x:v>
      </x:c>
      <x:c r="B1981" s="21" t="str">
        <x:v>$/mercenaries/7/carrot_cost</x:v>
      </x:c>
      <x:c r="C1981" s="21" t="str">
        <x:v>int</x:v>
      </x:c>
      <x:c r="D1981" s="21" t="str">
        <x:v>24</x:v>
      </x:c>
    </x:row>
    <x:row r="1982" ht="22" customHeight="1">
      <x:c r="A1982" s="21" t="str">
        <x:v>data/mercenary/mercenaries.json</x:v>
      </x:c>
      <x:c r="B1982" s="21" t="str">
        <x:v>$/mercenaries/7/hp</x:v>
      </x:c>
      <x:c r="C1982" s="21" t="str">
        <x:v>int</x:v>
      </x:c>
      <x:c r="D1982" s="21" t="str">
        <x:v>1266</x:v>
      </x:c>
    </x:row>
    <x:row r="1983" ht="22" customHeight="1">
      <x:c r="A1983" s="21" t="str">
        <x:v>data/mercenary/mercenaries.json</x:v>
      </x:c>
      <x:c r="B1983" s="21" t="str">
        <x:v>$/mercenaries/7/atk</x:v>
      </x:c>
      <x:c r="C1983" s="21" t="str">
        <x:v>int</x:v>
      </x:c>
      <x:c r="D1983" s="21" t="str">
        <x:v>88</x:v>
      </x:c>
    </x:row>
    <x:row r="1984" ht="22" customHeight="1">
      <x:c r="A1984" s="21" t="str">
        <x:v>data/mercenary/mercenaries.json</x:v>
      </x:c>
      <x:c r="B1984" s="21" t="str">
        <x:v>$/mercenaries/7/def</x:v>
      </x:c>
      <x:c r="C1984" s="21" t="str">
        <x:v>int</x:v>
      </x:c>
      <x:c r="D1984" s="21" t="str">
        <x:v>7</x:v>
      </x:c>
    </x:row>
    <x:row r="1985" ht="22" customHeight="1">
      <x:c r="A1985" s="21" t="str">
        <x:v>data/mercenary/mercenaries.json</x:v>
      </x:c>
      <x:c r="B1985" s="21" t="str">
        <x:v>$/mercenaries/7/attack_speed</x:v>
      </x:c>
      <x:c r="C1985" s="21" t="str">
        <x:v>float</x:v>
      </x:c>
      <x:c r="D1985" s="21" t="str">
        <x:v>1.25</x:v>
      </x:c>
    </x:row>
    <x:row r="1986" ht="22" customHeight="1">
      <x:c r="A1986" s="21" t="str">
        <x:v>data/mercenary/mercenaries.json</x:v>
      </x:c>
      <x:c r="B1986" s="21" t="str">
        <x:v>$/mercenaries/7/range</x:v>
      </x:c>
      <x:c r="C1986" s="21" t="str">
        <x:v>int</x:v>
      </x:c>
      <x:c r="D1986" s="21" t="str">
        <x:v>4</x:v>
      </x:c>
    </x:row>
    <x:row r="1987" ht="22" customHeight="1">
      <x:c r="A1987" s="21" t="str">
        <x:v>data/mercenary/mercenaries.json</x:v>
      </x:c>
      <x:c r="B1987" s="21" t="str">
        <x:v>$/mercenaries/7/move_speed</x:v>
      </x:c>
      <x:c r="C1987" s="21" t="str">
        <x:v>float</x:v>
      </x:c>
      <x:c r="D1987" s="21" t="str">
        <x:v>3.2</x:v>
      </x:c>
    </x:row>
    <x:row r="1988" ht="22" customHeight="1">
      <x:c r="A1988" s="21" t="str">
        <x:v>data/mercenary/mercenaries.json</x:v>
      </x:c>
      <x:c r="B1988" s="21" t="str">
        <x:v>$/mercenaries/7/skill_id</x:v>
      </x:c>
      <x:c r="C1988" s="21" t="str">
        <x:v>string</x:v>
      </x:c>
      <x:c r="D1988" s="21" t="str">
        <x:v>"arrow_rain"</x:v>
      </x:c>
    </x:row>
    <x:row r="1989" ht="22" customHeight="1">
      <x:c r="A1989" s="21" t="str">
        <x:v>data/mercenary/mercenaries.json</x:v>
      </x:c>
      <x:c r="B1989" s="21" t="str">
        <x:v>$/mercenaries/7/skill_cd</x:v>
      </x:c>
      <x:c r="C1989" s="21" t="str">
        <x:v>float</x:v>
      </x:c>
      <x:c r="D1989" s="21" t="str">
        <x:v>6.0</x:v>
      </x:c>
    </x:row>
    <x:row r="1990" ht="22" customHeight="1">
      <x:c r="A1990" s="21" t="str">
        <x:v>data/mercenary/mercenaries.json</x:v>
      </x:c>
      <x:c r="B1990" s="21" t="str">
        <x:v>$/mercenaries/7/targets</x:v>
      </x:c>
      <x:c r="C1990" s="21" t="str">
        <x:v>int</x:v>
      </x:c>
      <x:c r="D1990" s="21" t="str">
        <x:v>5</x:v>
      </x:c>
    </x:row>
    <x:row r="1991" ht="22" customHeight="1">
      <x:c r="A1991" s="21" t="str">
        <x:v>data/mercenary/mercenaries.json</x:v>
      </x:c>
      <x:c r="B1991" s="21" t="str">
        <x:v>$/mercenaries/7/crit</x:v>
      </x:c>
      <x:c r="C1991" s="21" t="str">
        <x:v>float</x:v>
      </x:c>
      <x:c r="D1991" s="21" t="str">
        <x:v>0.25</x:v>
      </x:c>
    </x:row>
    <x:row r="1992" ht="22" customHeight="1">
      <x:c r="A1992" s="21" t="str">
        <x:v>data/mercenary/mercenaries.json</x:v>
      </x:c>
      <x:c r="B1992" s="21" t="str">
        <x:v>$/mercenaries/7/crit_dmg</x:v>
      </x:c>
      <x:c r="C1992" s="21" t="str">
        <x:v>float</x:v>
      </x:c>
      <x:c r="D1992" s="21" t="str">
        <x:v>1.5</x:v>
      </x:c>
    </x:row>
    <x:row r="1993" ht="22" customHeight="1">
      <x:c r="A1993" s="21" t="str">
        <x:v>data/mercenary/mercenaries.json</x:v>
      </x:c>
      <x:c r="B1993" s="21" t="str">
        <x:v>$/mercenaries/7/model</x:v>
      </x:c>
      <x:c r="C1993" s="21" t="str">
        <x:v>string</x:v>
      </x:c>
      <x:c r="D1993" s="21" t="str">
        <x:v>"res://assets/models/mercenaries/merc_sagittarius_rain_animated/merc_sagittarius_rain_animated.tscn"</x:v>
      </x:c>
    </x:row>
    <x:row r="1994" ht="22" customHeight="1">
      <x:c r="A1994" s="21" t="str">
        <x:v>data/mercenary/mercenaries.json</x:v>
      </x:c>
      <x:c r="B1994" s="21" t="str">
        <x:v>$/mercenaries/7/model_visual_scale</x:v>
      </x:c>
      <x:c r="C1994" s="21" t="str">
        <x:v>float</x:v>
      </x:c>
      <x:c r="D1994" s="21" t="str">
        <x:v>1.0</x:v>
      </x:c>
    </x:row>
    <x:row r="1995" ht="22" customHeight="1">
      <x:c r="A1995" s="21" t="str">
        <x:v>data/mercenary/mercenaries.json</x:v>
      </x:c>
      <x:c r="B1995" s="21" t="str">
        <x:v>$/mercenaries/7/model_base_yaw</x:v>
      </x:c>
      <x:c r="C1995" s="21" t="str">
        <x:v>float</x:v>
      </x:c>
      <x:c r="D1995" s="21" t="str">
        <x:v>180.0</x:v>
      </x:c>
    </x:row>
    <x:row r="1996" ht="22" customHeight="1">
      <x:c r="A1996" s="21" t="str">
        <x:v>data/mercenary/mercenaries.json</x:v>
      </x:c>
      <x:c r="B1996" s="21" t="str">
        <x:v>$/mercenaries/7/model_idle_animation_name</x:v>
      </x:c>
      <x:c r="C1996" s="21" t="str">
        <x:v>string</x:v>
      </x:c>
      <x:c r="D1996" s="21" t="str">
        <x:v>"idle"</x:v>
      </x:c>
    </x:row>
    <x:row r="1997" ht="22" customHeight="1">
      <x:c r="A1997" s="21" t="str">
        <x:v>data/mercenary/mercenaries.json</x:v>
      </x:c>
      <x:c r="B1997" s="21" t="str">
        <x:v>$/mercenaries/7/model_attack_animation_name</x:v>
      </x:c>
      <x:c r="C1997" s="21" t="str">
        <x:v>string</x:v>
      </x:c>
      <x:c r="D1997" s="21" t="str">
        <x:v>"attack"</x:v>
      </x:c>
    </x:row>
    <x:row r="1998" ht="22" customHeight="1">
      <x:c r="A1998" s="21" t="str">
        <x:v>data/mercenary/mercenaries.json</x:v>
      </x:c>
      <x:c r="B1998" s="21" t="str">
        <x:v>$/mercenaries/7/model_attack_sync_seek</x:v>
      </x:c>
      <x:c r="C1998" s="21" t="str">
        <x:v>float</x:v>
      </x:c>
      <x:c r="D1998" s="21" t="str">
        <x:v>0.18</x:v>
      </x:c>
    </x:row>
    <x:row r="1999" ht="22" customHeight="1">
      <x:c r="A1999" s="21" t="str">
        <x:v>data/mercenary/mercenaries.json</x:v>
      </x:c>
      <x:c r="B1999" s="21" t="str">
        <x:v>$/mercenaries/7/model_attack_lock_time</x:v>
      </x:c>
      <x:c r="C1999" s="21" t="str">
        <x:v>float</x:v>
      </x:c>
      <x:c r="D1999" s="21" t="str">
        <x:v>0.42</x:v>
      </x:c>
    </x:row>
    <x:row r="2000" ht="22" customHeight="1">
      <x:c r="A2000" s="21" t="str">
        <x:v>data/mercenary/mercenaries.json</x:v>
      </x:c>
      <x:c r="B2000" s="21" t="str">
        <x:v>$/mercenaries/7/model_run_animation_name</x:v>
      </x:c>
      <x:c r="C2000" s="21" t="str">
        <x:v>string</x:v>
      </x:c>
      <x:c r="D2000" s="21" t="str">
        <x:v>"run"</x:v>
      </x:c>
    </x:row>
    <x:row r="2001" ht="22" customHeight="1">
      <x:c r="A2001" s="21" t="str">
        <x:v>data/mercenary/mercenaries.json</x:v>
      </x:c>
      <x:c r="B2001" s="21" t="str">
        <x:v>$/mercenaries/7/name_en</x:v>
      </x:c>
      <x:c r="C2001" s="21" t="str">
        <x:v>string</x:v>
      </x:c>
      <x:c r="D2001" s="21" t="str">
        <x:v>"Star Hunter"</x:v>
      </x:c>
    </x:row>
    <x:row r="2002" ht="22" customHeight="1">
      <x:c r="A2002" s="21" t="str">
        <x:v>data/mercenary/mercenaries.json</x:v>
      </x:c>
      <x:c r="B2002" s="21" t="str">
        <x:v>$/mercenaries/8</x:v>
      </x:c>
      <x:c r="C2002" s="21" t="str">
        <x:v>object</x:v>
      </x:c>
      <x:c r="D2002" s="21" t="str"/>
    </x:row>
    <x:row r="2003" ht="22" customHeight="1">
      <x:c r="A2003" s="21" t="str">
        <x:v>data/mercenary/mercenaries.json</x:v>
      </x:c>
      <x:c r="B2003" s="21" t="str">
        <x:v>$/mercenaries/8/id</x:v>
      </x:c>
      <x:c r="C2003" s="21" t="str">
        <x:v>string</x:v>
      </x:c>
      <x:c r="D2003" s="21" t="str">
        <x:v>"merc_aries_blood"</x:v>
      </x:c>
    </x:row>
    <x:row r="2004" ht="22" customHeight="1">
      <x:c r="A2004" s="21" t="str">
        <x:v>data/mercenary/mercenaries.json</x:v>
      </x:c>
      <x:c r="B2004" s="21" t="str">
        <x:v>$/mercenaries/8/model_in_place_actions</x:v>
      </x:c>
      <x:c r="C2004" s="21" t="str">
        <x:v>array</x:v>
      </x:c>
      <x:c r="D2004" s="21" t="str"/>
    </x:row>
    <x:row r="2005" ht="22" customHeight="1">
      <x:c r="A2005" s="21" t="str">
        <x:v>data/mercenary/mercenaries.json</x:v>
      </x:c>
      <x:c r="B2005" s="21" t="str">
        <x:v>$/mercenaries/8/model_in_place_actions/0</x:v>
      </x:c>
      <x:c r="C2005" s="21" t="str">
        <x:v>string</x:v>
      </x:c>
      <x:c r="D2005" s="21" t="str">
        <x:v>"run"</x:v>
      </x:c>
    </x:row>
    <x:row r="2006" ht="22" customHeight="1">
      <x:c r="A2006" s="21" t="str">
        <x:v>data/mercenary/mercenaries.json</x:v>
      </x:c>
      <x:c r="B2006" s="21" t="str">
        <x:v>$/mercenaries/8/name</x:v>
      </x:c>
      <x:c r="C2006" s="21" t="str">
        <x:v>string</x:v>
      </x:c>
      <x:c r="D2006" s="21" t="str">
        <x:v>"狂战先锋"</x:v>
      </x:c>
    </x:row>
    <x:row r="2007" ht="22" customHeight="1">
      <x:c r="A2007" s="21" t="str">
        <x:v>data/mercenary/mercenaries.json</x:v>
      </x:c>
      <x:c r="B2007" s="21" t="str">
        <x:v>$/mercenaries/8/cost</x:v>
      </x:c>
      <x:c r="C2007" s="21" t="str">
        <x:v>int</x:v>
      </x:c>
      <x:c r="D2007" s="21" t="str">
        <x:v>450</x:v>
      </x:c>
    </x:row>
    <x:row r="2008" ht="22" customHeight="1">
      <x:c r="A2008" s="21" t="str">
        <x:v>data/mercenary/mercenaries.json</x:v>
      </x:c>
      <x:c r="B2008" s="21" t="str">
        <x:v>$/mercenaries/8/carrot_cost</x:v>
      </x:c>
      <x:c r="C2008" s="21" t="str">
        <x:v>int</x:v>
      </x:c>
      <x:c r="D2008" s="21" t="str">
        <x:v>27</x:v>
      </x:c>
    </x:row>
    <x:row r="2009" ht="22" customHeight="1">
      <x:c r="A2009" s="21" t="str">
        <x:v>data/mercenary/mercenaries.json</x:v>
      </x:c>
      <x:c r="B2009" s="21" t="str">
        <x:v>$/mercenaries/8/hp</x:v>
      </x:c>
      <x:c r="C2009" s="21" t="str">
        <x:v>int</x:v>
      </x:c>
      <x:c r="D2009" s="21" t="str">
        <x:v>2266</x:v>
      </x:c>
    </x:row>
    <x:row r="2010" ht="22" customHeight="1">
      <x:c r="A2010" s="21" t="str">
        <x:v>data/mercenary/mercenaries.json</x:v>
      </x:c>
      <x:c r="B2010" s="21" t="str">
        <x:v>$/mercenaries/8/atk</x:v>
      </x:c>
      <x:c r="C2010" s="21" t="str">
        <x:v>int</x:v>
      </x:c>
      <x:c r="D2010" s="21" t="str">
        <x:v>85</x:v>
      </x:c>
    </x:row>
    <x:row r="2011" ht="22" customHeight="1">
      <x:c r="A2011" s="21" t="str">
        <x:v>data/mercenary/mercenaries.json</x:v>
      </x:c>
      <x:c r="B2011" s="21" t="str">
        <x:v>$/mercenaries/8/def</x:v>
      </x:c>
      <x:c r="C2011" s="21" t="str">
        <x:v>int</x:v>
      </x:c>
      <x:c r="D2011" s="21" t="str">
        <x:v>12</x:v>
      </x:c>
    </x:row>
    <x:row r="2012" ht="22" customHeight="1">
      <x:c r="A2012" s="21" t="str">
        <x:v>data/mercenary/mercenaries.json</x:v>
      </x:c>
      <x:c r="B2012" s="21" t="str">
        <x:v>$/mercenaries/8/attack_speed</x:v>
      </x:c>
      <x:c r="C2012" s="21" t="str">
        <x:v>float</x:v>
      </x:c>
      <x:c r="D2012" s="21" t="str">
        <x:v>1.0</x:v>
      </x:c>
    </x:row>
    <x:row r="2013" ht="22" customHeight="1">
      <x:c r="A2013" s="21" t="str">
        <x:v>data/mercenary/mercenaries.json</x:v>
      </x:c>
      <x:c r="B2013" s="21" t="str">
        <x:v>$/mercenaries/8/range</x:v>
      </x:c>
      <x:c r="C2013" s="21" t="str">
        <x:v>int</x:v>
      </x:c>
      <x:c r="D2013" s="21" t="str">
        <x:v>1</x:v>
      </x:c>
    </x:row>
    <x:row r="2014" ht="22" customHeight="1">
      <x:c r="A2014" s="21" t="str">
        <x:v>data/mercenary/mercenaries.json</x:v>
      </x:c>
      <x:c r="B2014" s="21" t="str">
        <x:v>$/mercenaries/8/move_speed</x:v>
      </x:c>
      <x:c r="C2014" s="21" t="str">
        <x:v>float</x:v>
      </x:c>
      <x:c r="D2014" s="21" t="str">
        <x:v>3.2</x:v>
      </x:c>
    </x:row>
    <x:row r="2015" ht="22" customHeight="1">
      <x:c r="A2015" s="21" t="str">
        <x:v>data/mercenary/mercenaries.json</x:v>
      </x:c>
      <x:c r="B2015" s="21" t="str">
        <x:v>$/mercenaries/8/skill_id</x:v>
      </x:c>
      <x:c r="C2015" s="21" t="str">
        <x:v>string</x:v>
      </x:c>
      <x:c r="D2015" s="21" t="str">
        <x:v>"blood_rampage"</x:v>
      </x:c>
    </x:row>
    <x:row r="2016" ht="22" customHeight="1">
      <x:c r="A2016" s="21" t="str">
        <x:v>data/mercenary/mercenaries.json</x:v>
      </x:c>
      <x:c r="B2016" s="21" t="str">
        <x:v>$/mercenaries/8/hp_step</x:v>
      </x:c>
      <x:c r="C2016" s="21" t="str">
        <x:v>float</x:v>
      </x:c>
      <x:c r="D2016" s="21" t="str">
        <x:v>0.1</x:v>
      </x:c>
    </x:row>
    <x:row r="2017" ht="22" customHeight="1">
      <x:c r="A2017" s="21" t="str">
        <x:v>data/mercenary/mercenaries.json</x:v>
      </x:c>
      <x:c r="B2017" s="21" t="str">
        <x:v>$/mercenaries/8/aspd_per_step</x:v>
      </x:c>
      <x:c r="C2017" s="21" t="str">
        <x:v>float</x:v>
      </x:c>
      <x:c r="D2017" s="21" t="str">
        <x:v>0.1</x:v>
      </x:c>
    </x:row>
    <x:row r="2018" ht="22" customHeight="1">
      <x:c r="A2018" s="21" t="str">
        <x:v>data/mercenary/mercenaries.json</x:v>
      </x:c>
      <x:c r="B2018" s="21" t="str">
        <x:v>$/mercenaries/8/lifesteal_per_step</x:v>
      </x:c>
      <x:c r="C2018" s="21" t="str">
        <x:v>float</x:v>
      </x:c>
      <x:c r="D2018" s="21" t="str">
        <x:v>0.05</x:v>
      </x:c>
    </x:row>
    <x:row r="2019" ht="22" customHeight="1">
      <x:c r="A2019" s="21" t="str">
        <x:v>data/mercenary/mercenaries.json</x:v>
      </x:c>
      <x:c r="B2019" s="21" t="str">
        <x:v>$/mercenaries/8/crit</x:v>
      </x:c>
      <x:c r="C2019" s="21" t="str">
        <x:v>float</x:v>
      </x:c>
      <x:c r="D2019" s="21" t="str">
        <x:v>0.05</x:v>
      </x:c>
    </x:row>
    <x:row r="2020" ht="22" customHeight="1">
      <x:c r="A2020" s="21" t="str">
        <x:v>data/mercenary/mercenaries.json</x:v>
      </x:c>
      <x:c r="B2020" s="21" t="str">
        <x:v>$/mercenaries/8/crit_dmg</x:v>
      </x:c>
      <x:c r="C2020" s="21" t="str">
        <x:v>float</x:v>
      </x:c>
      <x:c r="D2020" s="21" t="str">
        <x:v>1.5</x:v>
      </x:c>
    </x:row>
    <x:row r="2021" ht="22" customHeight="1">
      <x:c r="A2021" s="21" t="str">
        <x:v>data/mercenary/mercenaries.json</x:v>
      </x:c>
      <x:c r="B2021" s="21" t="str">
        <x:v>$/mercenaries/8/model</x:v>
      </x:c>
      <x:c r="C2021" s="21" t="str">
        <x:v>string</x:v>
      </x:c>
      <x:c r="D2021" s="21" t="str">
        <x:v>"res://assets/models/mercenaries/merc_aries_blood_animated/merc_aries_blood_animated.tscn"</x:v>
      </x:c>
    </x:row>
    <x:row r="2022" ht="22" customHeight="1">
      <x:c r="A2022" s="21" t="str">
        <x:v>data/mercenary/mercenaries.json</x:v>
      </x:c>
      <x:c r="B2022" s="21" t="str">
        <x:v>$/mercenaries/8/model_visual_scale</x:v>
      </x:c>
      <x:c r="C2022" s="21" t="str">
        <x:v>float</x:v>
      </x:c>
      <x:c r="D2022" s="21" t="str">
        <x:v>1.0</x:v>
      </x:c>
    </x:row>
    <x:row r="2023" ht="22" customHeight="1">
      <x:c r="A2023" s="21" t="str">
        <x:v>data/mercenary/mercenaries.json</x:v>
      </x:c>
      <x:c r="B2023" s="21" t="str">
        <x:v>$/mercenaries/8/model_base_yaw</x:v>
      </x:c>
      <x:c r="C2023" s="21" t="str">
        <x:v>float</x:v>
      </x:c>
      <x:c r="D2023" s="21" t="str">
        <x:v>180.0</x:v>
      </x:c>
    </x:row>
    <x:row r="2024" ht="22" customHeight="1">
      <x:c r="A2024" s="21" t="str">
        <x:v>data/mercenary/mercenaries.json</x:v>
      </x:c>
      <x:c r="B2024" s="21" t="str">
        <x:v>$/mercenaries/8/model_idle_animation_name</x:v>
      </x:c>
      <x:c r="C2024" s="21" t="str">
        <x:v>string</x:v>
      </x:c>
      <x:c r="D2024" s="21" t="str">
        <x:v>"idle"</x:v>
      </x:c>
    </x:row>
    <x:row r="2025" ht="22" customHeight="1">
      <x:c r="A2025" s="21" t="str">
        <x:v>data/mercenary/mercenaries.json</x:v>
      </x:c>
      <x:c r="B2025" s="21" t="str">
        <x:v>$/mercenaries/8/model_attack_animation_name</x:v>
      </x:c>
      <x:c r="C2025" s="21" t="str">
        <x:v>string</x:v>
      </x:c>
      <x:c r="D2025" s="21" t="str">
        <x:v>"attack"</x:v>
      </x:c>
    </x:row>
    <x:row r="2026" ht="22" customHeight="1">
      <x:c r="A2026" s="21" t="str">
        <x:v>data/mercenary/mercenaries.json</x:v>
      </x:c>
      <x:c r="B2026" s="21" t="str">
        <x:v>$/mercenaries/8/model_attack_sync_seek</x:v>
      </x:c>
      <x:c r="C2026" s="21" t="str">
        <x:v>float</x:v>
      </x:c>
      <x:c r="D2026" s="21" t="str">
        <x:v>0.18</x:v>
      </x:c>
    </x:row>
    <x:row r="2027" ht="22" customHeight="1">
      <x:c r="A2027" s="21" t="str">
        <x:v>data/mercenary/mercenaries.json</x:v>
      </x:c>
      <x:c r="B2027" s="21" t="str">
        <x:v>$/mercenaries/8/model_attack_lock_time</x:v>
      </x:c>
      <x:c r="C2027" s="21" t="str">
        <x:v>float</x:v>
      </x:c>
      <x:c r="D2027" s="21" t="str">
        <x:v>0.42</x:v>
      </x:c>
    </x:row>
    <x:row r="2028" ht="22" customHeight="1">
      <x:c r="A2028" s="21" t="str">
        <x:v>data/mercenary/mercenaries.json</x:v>
      </x:c>
      <x:c r="B2028" s="21" t="str">
        <x:v>$/mercenaries/8/model_run_animation_name</x:v>
      </x:c>
      <x:c r="C2028" s="21" t="str">
        <x:v>string</x:v>
      </x:c>
      <x:c r="D2028" s="21" t="str">
        <x:v>"run"</x:v>
      </x:c>
    </x:row>
    <x:row r="2029" ht="22" customHeight="1">
      <x:c r="A2029" s="21" t="str">
        <x:v>data/mercenary/mercenaries.json</x:v>
      </x:c>
      <x:c r="B2029" s="21" t="str">
        <x:v>$/mercenaries/8/name_en</x:v>
      </x:c>
      <x:c r="C2029" s="21" t="str">
        <x:v>string</x:v>
      </x:c>
      <x:c r="D2029" s="21" t="str">
        <x:v>"Blood Vanguard"</x:v>
      </x:c>
    </x:row>
    <x:row r="2030" ht="22" customHeight="1">
      <x:c r="A2030" s="21" t="str">
        <x:v>data/mercenary/mercenaries.json</x:v>
      </x:c>
      <x:c r="B2030" s="21" t="str">
        <x:v>$/mercenaries/9</x:v>
      </x:c>
      <x:c r="C2030" s="21" t="str">
        <x:v>object</x:v>
      </x:c>
      <x:c r="D2030" s="21" t="str"/>
    </x:row>
    <x:row r="2031" ht="22" customHeight="1">
      <x:c r="A2031" s="21" t="str">
        <x:v>data/mercenary/mercenaries.json</x:v>
      </x:c>
      <x:c r="B2031" s="21" t="str">
        <x:v>$/mercenaries/9/id</x:v>
      </x:c>
      <x:c r="C2031" s="21" t="str">
        <x:v>string</x:v>
      </x:c>
      <x:c r="D2031" s="21" t="str">
        <x:v>"merc_capricorn_steel"</x:v>
      </x:c>
    </x:row>
    <x:row r="2032" ht="22" customHeight="1">
      <x:c r="A2032" s="21" t="str">
        <x:v>data/mercenary/mercenaries.json</x:v>
      </x:c>
      <x:c r="B2032" s="21" t="str">
        <x:v>$/mercenaries/9/model_in_place_actions</x:v>
      </x:c>
      <x:c r="C2032" s="21" t="str">
        <x:v>array</x:v>
      </x:c>
      <x:c r="D2032" s="21" t="str"/>
    </x:row>
    <x:row r="2033" ht="22" customHeight="1">
      <x:c r="A2033" s="21" t="str">
        <x:v>data/mercenary/mercenaries.json</x:v>
      </x:c>
      <x:c r="B2033" s="21" t="str">
        <x:v>$/mercenaries/9/model_in_place_actions/0</x:v>
      </x:c>
      <x:c r="C2033" s="21" t="str">
        <x:v>string</x:v>
      </x:c>
      <x:c r="D2033" s="21" t="str">
        <x:v>"attack"</x:v>
      </x:c>
    </x:row>
    <x:row r="2034" ht="22" customHeight="1">
      <x:c r="A2034" s="21" t="str">
        <x:v>data/mercenary/mercenaries.json</x:v>
      </x:c>
      <x:c r="B2034" s="21" t="str">
        <x:v>$/mercenaries/9/name</x:v>
      </x:c>
      <x:c r="C2034" s="21" t="str">
        <x:v>string</x:v>
      </x:c>
      <x:c r="D2034" s="21" t="str">
        <x:v>"黑钢统帅"</x:v>
      </x:c>
    </x:row>
    <x:row r="2035" ht="22" customHeight="1">
      <x:c r="A2035" s="21" t="str">
        <x:v>data/mercenary/mercenaries.json</x:v>
      </x:c>
      <x:c r="B2035" s="21" t="str">
        <x:v>$/mercenaries/9/cost</x:v>
      </x:c>
      <x:c r="C2035" s="21" t="str">
        <x:v>int</x:v>
      </x:c>
      <x:c r="D2035" s="21" t="str">
        <x:v>500</x:v>
      </x:c>
    </x:row>
    <x:row r="2036" ht="22" customHeight="1">
      <x:c r="A2036" s="21" t="str">
        <x:v>data/mercenary/mercenaries.json</x:v>
      </x:c>
      <x:c r="B2036" s="21" t="str">
        <x:v>$/mercenaries/9/carrot_cost</x:v>
      </x:c>
      <x:c r="C2036" s="21" t="str">
        <x:v>int</x:v>
      </x:c>
      <x:c r="D2036" s="21" t="str">
        <x:v>30</x:v>
      </x:c>
    </x:row>
    <x:row r="2037" ht="22" customHeight="1">
      <x:c r="A2037" s="21" t="str">
        <x:v>data/mercenary/mercenaries.json</x:v>
      </x:c>
      <x:c r="B2037" s="21" t="str">
        <x:v>$/mercenaries/9/hp</x:v>
      </x:c>
      <x:c r="C2037" s="21" t="str">
        <x:v>int</x:v>
      </x:c>
      <x:c r="D2037" s="21" t="str">
        <x:v>1820</x:v>
      </x:c>
    </x:row>
    <x:row r="2038" ht="22" customHeight="1">
      <x:c r="A2038" s="21" t="str">
        <x:v>data/mercenary/mercenaries.json</x:v>
      </x:c>
      <x:c r="B2038" s="21" t="str">
        <x:v>$/mercenaries/9/atk</x:v>
      </x:c>
      <x:c r="C2038" s="21" t="str">
        <x:v>int</x:v>
      </x:c>
      <x:c r="D2038" s="21" t="str">
        <x:v>77</x:v>
      </x:c>
    </x:row>
    <x:row r="2039" ht="22" customHeight="1">
      <x:c r="A2039" s="21" t="str">
        <x:v>data/mercenary/mercenaries.json</x:v>
      </x:c>
      <x:c r="B2039" s="21" t="str">
        <x:v>$/mercenaries/9/def</x:v>
      </x:c>
      <x:c r="C2039" s="21" t="str">
        <x:v>int</x:v>
      </x:c>
      <x:c r="D2039" s="21" t="str">
        <x:v>10</x:v>
      </x:c>
    </x:row>
    <x:row r="2040" ht="22" customHeight="1">
      <x:c r="A2040" s="21" t="str">
        <x:v>data/mercenary/mercenaries.json</x:v>
      </x:c>
      <x:c r="B2040" s="21" t="str">
        <x:v>$/mercenaries/9/attack_speed</x:v>
      </x:c>
      <x:c r="C2040" s="21" t="str">
        <x:v>float</x:v>
      </x:c>
      <x:c r="D2040" s="21" t="str">
        <x:v>0.9</x:v>
      </x:c>
    </x:row>
    <x:row r="2041" ht="22" customHeight="1">
      <x:c r="A2041" s="21" t="str">
        <x:v>data/mercenary/mercenaries.json</x:v>
      </x:c>
      <x:c r="B2041" s="21" t="str">
        <x:v>$/mercenaries/9/range</x:v>
      </x:c>
      <x:c r="C2041" s="21" t="str">
        <x:v>int</x:v>
      </x:c>
      <x:c r="D2041" s="21" t="str">
        <x:v>1</x:v>
      </x:c>
    </x:row>
    <x:row r="2042" ht="22" customHeight="1">
      <x:c r="A2042" s="21" t="str">
        <x:v>data/mercenary/mercenaries.json</x:v>
      </x:c>
      <x:c r="B2042" s="21" t="str">
        <x:v>$/mercenaries/9/move_speed</x:v>
      </x:c>
      <x:c r="C2042" s="21" t="str">
        <x:v>float</x:v>
      </x:c>
      <x:c r="D2042" s="21" t="str">
        <x:v>2.9</x:v>
      </x:c>
    </x:row>
    <x:row r="2043" ht="22" customHeight="1">
      <x:c r="A2043" s="21" t="str">
        <x:v>data/mercenary/mercenaries.json</x:v>
      </x:c>
      <x:c r="B2043" s="21" t="str">
        <x:v>$/mercenaries/9/skill_id</x:v>
      </x:c>
      <x:c r="C2043" s="21" t="str">
        <x:v>string</x:v>
      </x:c>
      <x:c r="D2043" s="21" t="str">
        <x:v>"steel_order"</x:v>
      </x:c>
    </x:row>
    <x:row r="2044" ht="22" customHeight="1">
      <x:c r="A2044" s="21" t="str">
        <x:v>data/mercenary/mercenaries.json</x:v>
      </x:c>
      <x:c r="B2044" s="21" t="str">
        <x:v>$/mercenaries/9/skill_cd</x:v>
      </x:c>
      <x:c r="C2044" s="21" t="str">
        <x:v>float</x:v>
      </x:c>
      <x:c r="D2044" s="21" t="str">
        <x:v>8.0</x:v>
      </x:c>
    </x:row>
    <x:row r="2045" ht="22" customHeight="1">
      <x:c r="A2045" s="21" t="str">
        <x:v>data/mercenary/mercenaries.json</x:v>
      </x:c>
      <x:c r="B2045" s="21" t="str">
        <x:v>$/mercenaries/9/buff_targets</x:v>
      </x:c>
      <x:c r="C2045" s="21" t="str">
        <x:v>int</x:v>
      </x:c>
      <x:c r="D2045" s="21" t="str">
        <x:v>3</x:v>
      </x:c>
    </x:row>
    <x:row r="2046" ht="22" customHeight="1">
      <x:c r="A2046" s="21" t="str">
        <x:v>data/mercenary/mercenaries.json</x:v>
      </x:c>
      <x:c r="B2046" s="21" t="str">
        <x:v>$/mercenaries/9/damage_reduction</x:v>
      </x:c>
      <x:c r="C2046" s="21" t="str">
        <x:v>float</x:v>
      </x:c>
      <x:c r="D2046" s="21" t="str">
        <x:v>0.2</x:v>
      </x:c>
    </x:row>
    <x:row r="2047" ht="22" customHeight="1">
      <x:c r="A2047" s="21" t="str">
        <x:v>data/mercenary/mercenaries.json</x:v>
      </x:c>
      <x:c r="B2047" s="21" t="str">
        <x:v>$/mercenaries/9/aspd_bonus</x:v>
      </x:c>
      <x:c r="C2047" s="21" t="str">
        <x:v>float</x:v>
      </x:c>
      <x:c r="D2047" s="21" t="str">
        <x:v>0.3</x:v>
      </x:c>
    </x:row>
    <x:row r="2048" ht="22" customHeight="1">
      <x:c r="A2048" s="21" t="str">
        <x:v>data/mercenary/mercenaries.json</x:v>
      </x:c>
      <x:c r="B2048" s="21" t="str">
        <x:v>$/mercenaries/9/duration</x:v>
      </x:c>
      <x:c r="C2048" s="21" t="str">
        <x:v>float</x:v>
      </x:c>
      <x:c r="D2048" s="21" t="str">
        <x:v>8.0</x:v>
      </x:c>
    </x:row>
    <x:row r="2049" ht="22" customHeight="1">
      <x:c r="A2049" s="21" t="str">
        <x:v>data/mercenary/mercenaries.json</x:v>
      </x:c>
      <x:c r="B2049" s="21" t="str">
        <x:v>$/mercenaries/9/control_time_reduction</x:v>
      </x:c>
      <x:c r="C2049" s="21" t="str">
        <x:v>float</x:v>
      </x:c>
      <x:c r="D2049" s="21" t="str">
        <x:v>0.3</x:v>
      </x:c>
    </x:row>
    <x:row r="2050" ht="22" customHeight="1">
      <x:c r="A2050" s="21" t="str">
        <x:v>data/mercenary/mercenaries.json</x:v>
      </x:c>
      <x:c r="B2050" s="21" t="str">
        <x:v>$/mercenaries/9/crit</x:v>
      </x:c>
      <x:c r="C2050" s="21" t="str">
        <x:v>float</x:v>
      </x:c>
      <x:c r="D2050" s="21" t="str">
        <x:v>0.05</x:v>
      </x:c>
    </x:row>
    <x:row r="2051" ht="22" customHeight="1">
      <x:c r="A2051" s="21" t="str">
        <x:v>data/mercenary/mercenaries.json</x:v>
      </x:c>
      <x:c r="B2051" s="21" t="str">
        <x:v>$/mercenaries/9/crit_dmg</x:v>
      </x:c>
      <x:c r="C2051" s="21" t="str">
        <x:v>float</x:v>
      </x:c>
      <x:c r="D2051" s="21" t="str">
        <x:v>1.5</x:v>
      </x:c>
    </x:row>
    <x:row r="2052" ht="22" customHeight="1">
      <x:c r="A2052" s="21" t="str">
        <x:v>data/mercenary/mercenaries.json</x:v>
      </x:c>
      <x:c r="B2052" s="21" t="str">
        <x:v>$/mercenaries/9/model</x:v>
      </x:c>
      <x:c r="C2052" s="21" t="str">
        <x:v>string</x:v>
      </x:c>
      <x:c r="D2052" s="21" t="str">
        <x:v>"res://assets/models/mercenaries/merc_capricorn_steel_animated/merc_capricorn_steel_animated.tscn"</x:v>
      </x:c>
    </x:row>
    <x:row r="2053" ht="22" customHeight="1">
      <x:c r="A2053" s="21" t="str">
        <x:v>data/mercenary/mercenaries.json</x:v>
      </x:c>
      <x:c r="B2053" s="21" t="str">
        <x:v>$/mercenaries/9/model_visual_scale</x:v>
      </x:c>
      <x:c r="C2053" s="21" t="str">
        <x:v>float</x:v>
      </x:c>
      <x:c r="D2053" s="21" t="str">
        <x:v>1.0</x:v>
      </x:c>
    </x:row>
    <x:row r="2054" ht="22" customHeight="1">
      <x:c r="A2054" s="21" t="str">
        <x:v>data/mercenary/mercenaries.json</x:v>
      </x:c>
      <x:c r="B2054" s="21" t="str">
        <x:v>$/mercenaries/9/model_base_yaw</x:v>
      </x:c>
      <x:c r="C2054" s="21" t="str">
        <x:v>float</x:v>
      </x:c>
      <x:c r="D2054" s="21" t="str">
        <x:v>180.0</x:v>
      </x:c>
    </x:row>
    <x:row r="2055" ht="22" customHeight="1">
      <x:c r="A2055" s="21" t="str">
        <x:v>data/mercenary/mercenaries.json</x:v>
      </x:c>
      <x:c r="B2055" s="21" t="str">
        <x:v>$/mercenaries/9/model_idle_animation_name</x:v>
      </x:c>
      <x:c r="C2055" s="21" t="str">
        <x:v>string</x:v>
      </x:c>
      <x:c r="D2055" s="21" t="str">
        <x:v>"idle"</x:v>
      </x:c>
    </x:row>
    <x:row r="2056" ht="22" customHeight="1">
      <x:c r="A2056" s="21" t="str">
        <x:v>data/mercenary/mercenaries.json</x:v>
      </x:c>
      <x:c r="B2056" s="21" t="str">
        <x:v>$/mercenaries/9/model_attack_animation_name</x:v>
      </x:c>
      <x:c r="C2056" s="21" t="str">
        <x:v>string</x:v>
      </x:c>
      <x:c r="D2056" s="21" t="str">
        <x:v>"attack"</x:v>
      </x:c>
    </x:row>
    <x:row r="2057" ht="22" customHeight="1">
      <x:c r="A2057" s="21" t="str">
        <x:v>data/mercenary/mercenaries.json</x:v>
      </x:c>
      <x:c r="B2057" s="21" t="str">
        <x:v>$/mercenaries/9/model_attack_sync_seek</x:v>
      </x:c>
      <x:c r="C2057" s="21" t="str">
        <x:v>float</x:v>
      </x:c>
      <x:c r="D2057" s="21" t="str">
        <x:v>0.18</x:v>
      </x:c>
    </x:row>
    <x:row r="2058" ht="22" customHeight="1">
      <x:c r="A2058" s="21" t="str">
        <x:v>data/mercenary/mercenaries.json</x:v>
      </x:c>
      <x:c r="B2058" s="21" t="str">
        <x:v>$/mercenaries/9/model_attack_lock_time</x:v>
      </x:c>
      <x:c r="C2058" s="21" t="str">
        <x:v>float</x:v>
      </x:c>
      <x:c r="D2058" s="21" t="str">
        <x:v>0.42</x:v>
      </x:c>
    </x:row>
    <x:row r="2059" ht="22" customHeight="1">
      <x:c r="A2059" s="21" t="str">
        <x:v>data/mercenary/mercenaries.json</x:v>
      </x:c>
      <x:c r="B2059" s="21" t="str">
        <x:v>$/mercenaries/9/model_run_animation_name</x:v>
      </x:c>
      <x:c r="C2059" s="21" t="str">
        <x:v>string</x:v>
      </x:c>
      <x:c r="D2059" s="21" t="str">
        <x:v>"run"</x:v>
      </x:c>
    </x:row>
    <x:row r="2060" ht="22" customHeight="1">
      <x:c r="A2060" s="21" t="str">
        <x:v>data/mercenary/mercenaries.json</x:v>
      </x:c>
      <x:c r="B2060" s="21" t="str">
        <x:v>$/mercenaries/9/name_en</x:v>
      </x:c>
      <x:c r="C2060" s="21" t="str">
        <x:v>string</x:v>
      </x:c>
      <x:c r="D2060" s="21" t="str">
        <x:v>"Steel Marshal"</x:v>
      </x:c>
    </x:row>
    <x:row r="2061" ht="22" customHeight="1">
      <x:c r="A2061" s="21" t="str">
        <x:v>data/mercenary/mercenaries.json</x:v>
      </x:c>
      <x:c r="B2061" s="21" t="str">
        <x:v>$/mercenaries/10</x:v>
      </x:c>
      <x:c r="C2061" s="21" t="str">
        <x:v>object</x:v>
      </x:c>
      <x:c r="D2061" s="21" t="str"/>
    </x:row>
    <x:row r="2062" ht="22" customHeight="1">
      <x:c r="A2062" s="21" t="str">
        <x:v>data/mercenary/mercenaries.json</x:v>
      </x:c>
      <x:c r="B2062" s="21" t="str">
        <x:v>$/mercenaries/10/id</x:v>
      </x:c>
      <x:c r="C2062" s="21" t="str">
        <x:v>string</x:v>
      </x:c>
      <x:c r="D2062" s="21" t="str">
        <x:v>"merc_aquarius_time"</x:v>
      </x:c>
    </x:row>
    <x:row r="2063" ht="22" customHeight="1">
      <x:c r="A2063" s="21" t="str">
        <x:v>data/mercenary/mercenaries.json</x:v>
      </x:c>
      <x:c r="B2063" s="21" t="str">
        <x:v>$/mercenaries/10/name</x:v>
      </x:c>
      <x:c r="C2063" s="21" t="str">
        <x:v>string</x:v>
      </x:c>
      <x:c r="D2063" s="21" t="str">
        <x:v>"时空观测者"</x:v>
      </x:c>
    </x:row>
    <x:row r="2064" ht="22" customHeight="1">
      <x:c r="A2064" s="21" t="str">
        <x:v>data/mercenary/mercenaries.json</x:v>
      </x:c>
      <x:c r="B2064" s="21" t="str">
        <x:v>$/mercenaries/10/cost</x:v>
      </x:c>
      <x:c r="C2064" s="21" t="str">
        <x:v>int</x:v>
      </x:c>
      <x:c r="D2064" s="21" t="str">
        <x:v>550</x:v>
      </x:c>
    </x:row>
    <x:row r="2065" ht="22" customHeight="1">
      <x:c r="A2065" s="21" t="str">
        <x:v>data/mercenary/mercenaries.json</x:v>
      </x:c>
      <x:c r="B2065" s="21" t="str">
        <x:v>$/mercenaries/10/carrot_cost</x:v>
      </x:c>
      <x:c r="C2065" s="21" t="str">
        <x:v>int</x:v>
      </x:c>
      <x:c r="D2065" s="21" t="str">
        <x:v>33</x:v>
      </x:c>
    </x:row>
    <x:row r="2066" ht="22" customHeight="1">
      <x:c r="A2066" s="21" t="str">
        <x:v>data/mercenary/mercenaries.json</x:v>
      </x:c>
      <x:c r="B2066" s="21" t="str">
        <x:v>$/mercenaries/10/hp</x:v>
      </x:c>
      <x:c r="C2066" s="21" t="str">
        <x:v>int</x:v>
      </x:c>
      <x:c r="D2066" s="21" t="str">
        <x:v>1600</x:v>
      </x:c>
    </x:row>
    <x:row r="2067" ht="22" customHeight="1">
      <x:c r="A2067" s="21" t="str">
        <x:v>data/mercenary/mercenaries.json</x:v>
      </x:c>
      <x:c r="B2067" s="21" t="str">
        <x:v>$/mercenaries/10/atk</x:v>
      </x:c>
      <x:c r="C2067" s="21" t="str">
        <x:v>int</x:v>
      </x:c>
      <x:c r="D2067" s="21" t="str">
        <x:v>88</x:v>
      </x:c>
    </x:row>
    <x:row r="2068" ht="22" customHeight="1">
      <x:c r="A2068" s="21" t="str">
        <x:v>data/mercenary/mercenaries.json</x:v>
      </x:c>
      <x:c r="B2068" s="21" t="str">
        <x:v>$/mercenaries/10/def</x:v>
      </x:c>
      <x:c r="C2068" s="21" t="str">
        <x:v>int</x:v>
      </x:c>
      <x:c r="D2068" s="21" t="str">
        <x:v>12</x:v>
      </x:c>
    </x:row>
    <x:row r="2069" ht="22" customHeight="1">
      <x:c r="A2069" s="21" t="str">
        <x:v>data/mercenary/mercenaries.json</x:v>
      </x:c>
      <x:c r="B2069" s="21" t="str">
        <x:v>$/mercenaries/10/attack_speed</x:v>
      </x:c>
      <x:c r="C2069" s="21" t="str">
        <x:v>float</x:v>
      </x:c>
      <x:c r="D2069" s="21" t="str">
        <x:v>0.95</x:v>
      </x:c>
    </x:row>
    <x:row r="2070" ht="22" customHeight="1">
      <x:c r="A2070" s="21" t="str">
        <x:v>data/mercenary/mercenaries.json</x:v>
      </x:c>
      <x:c r="B2070" s="21" t="str">
        <x:v>$/mercenaries/10/range</x:v>
      </x:c>
      <x:c r="C2070" s="21" t="str">
        <x:v>int</x:v>
      </x:c>
      <x:c r="D2070" s="21" t="str">
        <x:v>4</x:v>
      </x:c>
    </x:row>
    <x:row r="2071" ht="22" customHeight="1">
      <x:c r="A2071" s="21" t="str">
        <x:v>data/mercenary/mercenaries.json</x:v>
      </x:c>
      <x:c r="B2071" s="21" t="str">
        <x:v>$/mercenaries/10/move_speed</x:v>
      </x:c>
      <x:c r="C2071" s="21" t="str">
        <x:v>float</x:v>
      </x:c>
      <x:c r="D2071" s="21" t="str">
        <x:v>3.1</x:v>
      </x:c>
    </x:row>
    <x:row r="2072" ht="22" customHeight="1">
      <x:c r="A2072" s="21" t="str">
        <x:v>data/mercenary/mercenaries.json</x:v>
      </x:c>
      <x:c r="B2072" s="21" t="str">
        <x:v>$/mercenaries/10/skill_id</x:v>
      </x:c>
      <x:c r="C2072" s="21" t="str">
        <x:v>string</x:v>
      </x:c>
      <x:c r="D2072" s="21" t="str">
        <x:v>"time_slow"</x:v>
      </x:c>
    </x:row>
    <x:row r="2073" ht="22" customHeight="1">
      <x:c r="A2073" s="21" t="str">
        <x:v>data/mercenary/mercenaries.json</x:v>
      </x:c>
      <x:c r="B2073" s="21" t="str">
        <x:v>$/mercenaries/10/skill_cd</x:v>
      </x:c>
      <x:c r="C2073" s="21" t="str">
        <x:v>float</x:v>
      </x:c>
      <x:c r="D2073" s="21" t="str">
        <x:v>8.0</x:v>
      </x:c>
    </x:row>
    <x:row r="2074" ht="22" customHeight="1">
      <x:c r="A2074" s="21" t="str">
        <x:v>data/mercenary/mercenaries.json</x:v>
      </x:c>
      <x:c r="B2074" s="21" t="str">
        <x:v>$/mercenaries/10/slow_pct</x:v>
      </x:c>
      <x:c r="C2074" s="21" t="str">
        <x:v>float</x:v>
      </x:c>
      <x:c r="D2074" s="21" t="str">
        <x:v>0.35</x:v>
      </x:c>
    </x:row>
    <x:row r="2075" ht="22" customHeight="1">
      <x:c r="A2075" s="21" t="str">
        <x:v>data/mercenary/mercenaries.json</x:v>
      </x:c>
      <x:c r="B2075" s="21" t="str">
        <x:v>$/mercenaries/10/duration</x:v>
      </x:c>
      <x:c r="C2075" s="21" t="str">
        <x:v>float</x:v>
      </x:c>
      <x:c r="D2075" s="21" t="str">
        <x:v>5.0</x:v>
      </x:c>
    </x:row>
    <x:row r="2076" ht="22" customHeight="1">
      <x:c r="A2076" s="21" t="str">
        <x:v>data/mercenary/mercenaries.json</x:v>
      </x:c>
      <x:c r="B2076" s="21" t="str">
        <x:v>$/mercenaries/10/skill_dodge_interval</x:v>
      </x:c>
      <x:c r="C2076" s="21" t="str">
        <x:v>float</x:v>
      </x:c>
      <x:c r="D2076" s="21" t="str">
        <x:v>8.0</x:v>
      </x:c>
    </x:row>
    <x:row r="2077" ht="22" customHeight="1">
      <x:c r="A2077" s="21" t="str">
        <x:v>data/mercenary/mercenaries.json</x:v>
      </x:c>
      <x:c r="B2077" s="21" t="str">
        <x:v>$/mercenaries/10/crit</x:v>
      </x:c>
      <x:c r="C2077" s="21" t="str">
        <x:v>float</x:v>
      </x:c>
      <x:c r="D2077" s="21" t="str">
        <x:v>0.05</x:v>
      </x:c>
    </x:row>
    <x:row r="2078" ht="22" customHeight="1">
      <x:c r="A2078" s="21" t="str">
        <x:v>data/mercenary/mercenaries.json</x:v>
      </x:c>
      <x:c r="B2078" s="21" t="str">
        <x:v>$/mercenaries/10/crit_dmg</x:v>
      </x:c>
      <x:c r="C2078" s="21" t="str">
        <x:v>float</x:v>
      </x:c>
      <x:c r="D2078" s="21" t="str">
        <x:v>1.5</x:v>
      </x:c>
    </x:row>
    <x:row r="2079" ht="22" customHeight="1">
      <x:c r="A2079" s="21" t="str">
        <x:v>data/mercenary/mercenaries.json</x:v>
      </x:c>
      <x:c r="B2079" s="21" t="str">
        <x:v>$/mercenaries/10/model</x:v>
      </x:c>
      <x:c r="C2079" s="21" t="str">
        <x:v>string</x:v>
      </x:c>
      <x:c r="D2079" s="21" t="str">
        <x:v>"res://assets/models/mercenaries/merc_aquarius_time_animated/merc_aquarius_time_animated.tscn"</x:v>
      </x:c>
    </x:row>
    <x:row r="2080" ht="22" customHeight="1">
      <x:c r="A2080" s="21" t="str">
        <x:v>data/mercenary/mercenaries.json</x:v>
      </x:c>
      <x:c r="B2080" s="21" t="str">
        <x:v>$/mercenaries/10/model_visual_scale</x:v>
      </x:c>
      <x:c r="C2080" s="21" t="str">
        <x:v>float</x:v>
      </x:c>
      <x:c r="D2080" s="21" t="str">
        <x:v>1.0</x:v>
      </x:c>
    </x:row>
    <x:row r="2081" ht="22" customHeight="1">
      <x:c r="A2081" s="21" t="str">
        <x:v>data/mercenary/mercenaries.json</x:v>
      </x:c>
      <x:c r="B2081" s="21" t="str">
        <x:v>$/mercenaries/10/model_base_yaw</x:v>
      </x:c>
      <x:c r="C2081" s="21" t="str">
        <x:v>float</x:v>
      </x:c>
      <x:c r="D2081" s="21" t="str">
        <x:v>180.0</x:v>
      </x:c>
    </x:row>
    <x:row r="2082" ht="22" customHeight="1">
      <x:c r="A2082" s="21" t="str">
        <x:v>data/mercenary/mercenaries.json</x:v>
      </x:c>
      <x:c r="B2082" s="21" t="str">
        <x:v>$/mercenaries/10/model_idle_animation_name</x:v>
      </x:c>
      <x:c r="C2082" s="21" t="str">
        <x:v>string</x:v>
      </x:c>
      <x:c r="D2082" s="21" t="str">
        <x:v>"idle"</x:v>
      </x:c>
    </x:row>
    <x:row r="2083" ht="22" customHeight="1">
      <x:c r="A2083" s="21" t="str">
        <x:v>data/mercenary/mercenaries.json</x:v>
      </x:c>
      <x:c r="B2083" s="21" t="str">
        <x:v>$/mercenaries/10/model_attack_animation_name</x:v>
      </x:c>
      <x:c r="C2083" s="21" t="str">
        <x:v>string</x:v>
      </x:c>
      <x:c r="D2083" s="21" t="str">
        <x:v>"attack"</x:v>
      </x:c>
    </x:row>
    <x:row r="2084" ht="22" customHeight="1">
      <x:c r="A2084" s="21" t="str">
        <x:v>data/mercenary/mercenaries.json</x:v>
      </x:c>
      <x:c r="B2084" s="21" t="str">
        <x:v>$/mercenaries/10/model_attack_sync_seek</x:v>
      </x:c>
      <x:c r="C2084" s="21" t="str">
        <x:v>float</x:v>
      </x:c>
      <x:c r="D2084" s="21" t="str">
        <x:v>0.18</x:v>
      </x:c>
    </x:row>
    <x:row r="2085" ht="22" customHeight="1">
      <x:c r="A2085" s="21" t="str">
        <x:v>data/mercenary/mercenaries.json</x:v>
      </x:c>
      <x:c r="B2085" s="21" t="str">
        <x:v>$/mercenaries/10/model_attack_lock_time</x:v>
      </x:c>
      <x:c r="C2085" s="21" t="str">
        <x:v>float</x:v>
      </x:c>
      <x:c r="D2085" s="21" t="str">
        <x:v>0.42</x:v>
      </x:c>
    </x:row>
    <x:row r="2086" ht="22" customHeight="1">
      <x:c r="A2086" s="21" t="str">
        <x:v>data/mercenary/mercenaries.json</x:v>
      </x:c>
      <x:c r="B2086" s="21" t="str">
        <x:v>$/mercenaries/10/model_run_animation_name</x:v>
      </x:c>
      <x:c r="C2086" s="21" t="str">
        <x:v>string</x:v>
      </x:c>
      <x:c r="D2086" s="21" t="str">
        <x:v>"run"</x:v>
      </x:c>
    </x:row>
    <x:row r="2087" ht="22" customHeight="1">
      <x:c r="A2087" s="21" t="str">
        <x:v>data/mercenary/mercenaries.json</x:v>
      </x:c>
      <x:c r="B2087" s="21" t="str">
        <x:v>$/mercenaries/10/name_en</x:v>
      </x:c>
      <x:c r="C2087" s="21" t="str">
        <x:v>string</x:v>
      </x:c>
      <x:c r="D2087" s="21" t="str">
        <x:v>"Time Observer"</x:v>
      </x:c>
    </x:row>
    <x:row r="2088" ht="22" customHeight="1">
      <x:c r="A2088" s="21" t="str">
        <x:v>data/mercenary/mercenaries.json</x:v>
      </x:c>
      <x:c r="B2088" s="21" t="str">
        <x:v>$/mercenaries/11</x:v>
      </x:c>
      <x:c r="C2088" s="21" t="str">
        <x:v>object</x:v>
      </x:c>
      <x:c r="D2088" s="21" t="str"/>
    </x:row>
    <x:row r="2089" ht="22" customHeight="1">
      <x:c r="A2089" s="21" t="str">
        <x:v>data/mercenary/mercenaries.json</x:v>
      </x:c>
      <x:c r="B2089" s="21" t="str">
        <x:v>$/mercenaries/11/id</x:v>
      </x:c>
      <x:c r="C2089" s="21" t="str">
        <x:v>string</x:v>
      </x:c>
      <x:c r="D2089" s="21" t="str">
        <x:v>"merc_scorpio_death"</x:v>
      </x:c>
    </x:row>
    <x:row r="2090" ht="22" customHeight="1">
      <x:c r="A2090" s="21" t="str">
        <x:v>data/mercenary/mercenaries.json</x:v>
      </x:c>
      <x:c r="B2090" s="21" t="str">
        <x:v>$/mercenaries/11/name</x:v>
      </x:c>
      <x:c r="C2090" s="21" t="str">
        <x:v>string</x:v>
      </x:c>
      <x:c r="D2090" s="21" t="str">
        <x:v>"冥界执行者"</x:v>
      </x:c>
    </x:row>
    <x:row r="2091" ht="22" customHeight="1">
      <x:c r="A2091" s="21" t="str">
        <x:v>data/mercenary/mercenaries.json</x:v>
      </x:c>
      <x:c r="B2091" s="21" t="str">
        <x:v>$/mercenaries/11/cost</x:v>
      </x:c>
      <x:c r="C2091" s="21" t="str">
        <x:v>int</x:v>
      </x:c>
      <x:c r="D2091" s="21" t="str">
        <x:v>600</x:v>
      </x:c>
    </x:row>
    <x:row r="2092" ht="22" customHeight="1">
      <x:c r="A2092" s="21" t="str">
        <x:v>data/mercenary/mercenaries.json</x:v>
      </x:c>
      <x:c r="B2092" s="21" t="str">
        <x:v>$/mercenaries/11/carrot_cost</x:v>
      </x:c>
      <x:c r="C2092" s="21" t="str">
        <x:v>int</x:v>
      </x:c>
      <x:c r="D2092" s="21" t="str">
        <x:v>36</x:v>
      </x:c>
    </x:row>
    <x:row r="2093" ht="22" customHeight="1">
      <x:c r="A2093" s="21" t="str">
        <x:v>data/mercenary/mercenaries.json</x:v>
      </x:c>
      <x:c r="B2093" s="21" t="str">
        <x:v>$/mercenaries/11/hp</x:v>
      </x:c>
      <x:c r="C2093" s="21" t="str">
        <x:v>int</x:v>
      </x:c>
      <x:c r="D2093" s="21" t="str">
        <x:v>2666</x:v>
      </x:c>
    </x:row>
    <x:row r="2094" ht="22" customHeight="1">
      <x:c r="A2094" s="21" t="str">
        <x:v>data/mercenary/mercenaries.json</x:v>
      </x:c>
      <x:c r="B2094" s="21" t="str">
        <x:v>$/mercenaries/11/atk</x:v>
      </x:c>
      <x:c r="C2094" s="21" t="str">
        <x:v>int</x:v>
      </x:c>
      <x:c r="D2094" s="21" t="str">
        <x:v>124</x:v>
      </x:c>
    </x:row>
    <x:row r="2095" ht="22" customHeight="1">
      <x:c r="A2095" s="21" t="str">
        <x:v>data/mercenary/mercenaries.json</x:v>
      </x:c>
      <x:c r="B2095" s="21" t="str">
        <x:v>$/mercenaries/11/def</x:v>
      </x:c>
      <x:c r="C2095" s="21" t="str">
        <x:v>int</x:v>
      </x:c>
      <x:c r="D2095" s="21" t="str">
        <x:v>13</x:v>
      </x:c>
    </x:row>
    <x:row r="2096" ht="22" customHeight="1">
      <x:c r="A2096" s="21" t="str">
        <x:v>data/mercenary/mercenaries.json</x:v>
      </x:c>
      <x:c r="B2096" s="21" t="str">
        <x:v>$/mercenaries/11/attack_speed</x:v>
      </x:c>
      <x:c r="C2096" s="21" t="str">
        <x:v>float</x:v>
      </x:c>
      <x:c r="D2096" s="21" t="str">
        <x:v>1.0</x:v>
      </x:c>
    </x:row>
    <x:row r="2097" ht="22" customHeight="1">
      <x:c r="A2097" s="21" t="str">
        <x:v>data/mercenary/mercenaries.json</x:v>
      </x:c>
      <x:c r="B2097" s="21" t="str">
        <x:v>$/mercenaries/11/range</x:v>
      </x:c>
      <x:c r="C2097" s="21" t="str">
        <x:v>int</x:v>
      </x:c>
      <x:c r="D2097" s="21" t="str">
        <x:v>1</x:v>
      </x:c>
    </x:row>
    <x:row r="2098" ht="22" customHeight="1">
      <x:c r="A2098" s="21" t="str">
        <x:v>data/mercenary/mercenaries.json</x:v>
      </x:c>
      <x:c r="B2098" s="21" t="str">
        <x:v>$/mercenaries/11/move_speed</x:v>
      </x:c>
      <x:c r="C2098" s="21" t="str">
        <x:v>float</x:v>
      </x:c>
      <x:c r="D2098" s="21" t="str">
        <x:v>3.3</x:v>
      </x:c>
    </x:row>
    <x:row r="2099" ht="22" customHeight="1">
      <x:c r="A2099" s="21" t="str">
        <x:v>data/mercenary/mercenaries.json</x:v>
      </x:c>
      <x:c r="B2099" s="21" t="str">
        <x:v>$/mercenaries/11/skill_id</x:v>
      </x:c>
      <x:c r="C2099" s="21" t="str">
        <x:v>string</x:v>
      </x:c>
      <x:c r="D2099" s="21" t="str">
        <x:v>"death_hunt"</x:v>
      </x:c>
    </x:row>
    <x:row r="2100" ht="22" customHeight="1">
      <x:c r="A2100" s="21" t="str">
        <x:v>data/mercenary/mercenaries.json</x:v>
      </x:c>
      <x:c r="B2100" s="21" t="str">
        <x:v>$/mercenaries/11/prefer_low_hp</x:v>
      </x:c>
      <x:c r="C2100" s="21" t="str">
        <x:v>bool</x:v>
      </x:c>
      <x:c r="D2100" s="21" t="str">
        <x:v>true</x:v>
      </x:c>
    </x:row>
    <x:row r="2101" ht="22" customHeight="1">
      <x:c r="A2101" s="21" t="str">
        <x:v>data/mercenary/mercenaries.json</x:v>
      </x:c>
      <x:c r="B2101" s="21" t="str">
        <x:v>$/mercenaries/11/kill_heal_pct</x:v>
      </x:c>
      <x:c r="C2101" s="21" t="str">
        <x:v>float</x:v>
      </x:c>
      <x:c r="D2101" s="21" t="str">
        <x:v>0.15</x:v>
      </x:c>
    </x:row>
    <x:row r="2102" ht="22" customHeight="1">
      <x:c r="A2102" s="21" t="str">
        <x:v>data/mercenary/mercenaries.json</x:v>
      </x:c>
      <x:c r="B2102" s="21" t="str">
        <x:v>$/mercenaries/11/armor_break</x:v>
      </x:c>
      <x:c r="C2102" s="21" t="str">
        <x:v>int</x:v>
      </x:c>
      <x:c r="D2102" s="21" t="str">
        <x:v>8</x:v>
      </x:c>
    </x:row>
    <x:row r="2103" ht="22" customHeight="1">
      <x:c r="A2103" s="21" t="str">
        <x:v>data/mercenary/mercenaries.json</x:v>
      </x:c>
      <x:c r="B2103" s="21" t="str">
        <x:v>$/mercenaries/11/heal_reduction</x:v>
      </x:c>
      <x:c r="C2103" s="21" t="str">
        <x:v>float</x:v>
      </x:c>
      <x:c r="D2103" s="21" t="str">
        <x:v>0.7</x:v>
      </x:c>
    </x:row>
    <x:row r="2104" ht="22" customHeight="1">
      <x:c r="A2104" s="21" t="str">
        <x:v>data/mercenary/mercenaries.json</x:v>
      </x:c>
      <x:c r="B2104" s="21" t="str">
        <x:v>$/mercenaries/11/duration</x:v>
      </x:c>
      <x:c r="C2104" s="21" t="str">
        <x:v>float</x:v>
      </x:c>
      <x:c r="D2104" s="21" t="str">
        <x:v>4.0</x:v>
      </x:c>
    </x:row>
    <x:row r="2105" ht="22" customHeight="1">
      <x:c r="A2105" s="21" t="str">
        <x:v>data/mercenary/mercenaries.json</x:v>
      </x:c>
      <x:c r="B2105" s="21" t="str">
        <x:v>$/mercenaries/11/crit</x:v>
      </x:c>
      <x:c r="C2105" s="21" t="str">
        <x:v>float</x:v>
      </x:c>
      <x:c r="D2105" s="21" t="str">
        <x:v>0.05</x:v>
      </x:c>
    </x:row>
    <x:row r="2106" ht="22" customHeight="1">
      <x:c r="A2106" s="21" t="str">
        <x:v>data/mercenary/mercenaries.json</x:v>
      </x:c>
      <x:c r="B2106" s="21" t="str">
        <x:v>$/mercenaries/11/crit_dmg</x:v>
      </x:c>
      <x:c r="C2106" s="21" t="str">
        <x:v>float</x:v>
      </x:c>
      <x:c r="D2106" s="21" t="str">
        <x:v>1.5</x:v>
      </x:c>
    </x:row>
    <x:row r="2107" ht="22" customHeight="1">
      <x:c r="A2107" s="21" t="str">
        <x:v>data/mercenary/mercenaries.json</x:v>
      </x:c>
      <x:c r="B2107" s="21" t="str">
        <x:v>$/mercenaries/11/model</x:v>
      </x:c>
      <x:c r="C2107" s="21" t="str">
        <x:v>string</x:v>
      </x:c>
      <x:c r="D2107" s="21" t="str">
        <x:v>"res://assets/models/mercenaries/merc_scorpio_death_animated/merc_scorpio_death_animated.tscn"</x:v>
      </x:c>
    </x:row>
    <x:row r="2108" ht="22" customHeight="1">
      <x:c r="A2108" s="21" t="str">
        <x:v>data/mercenary/mercenaries.json</x:v>
      </x:c>
      <x:c r="B2108" s="21" t="str">
        <x:v>$/mercenaries/11/model_visual_scale</x:v>
      </x:c>
      <x:c r="C2108" s="21" t="str">
        <x:v>float</x:v>
      </x:c>
      <x:c r="D2108" s="21" t="str">
        <x:v>1.0</x:v>
      </x:c>
    </x:row>
    <x:row r="2109" ht="22" customHeight="1">
      <x:c r="A2109" s="21" t="str">
        <x:v>data/mercenary/mercenaries.json</x:v>
      </x:c>
      <x:c r="B2109" s="21" t="str">
        <x:v>$/mercenaries/11/model_base_yaw</x:v>
      </x:c>
      <x:c r="C2109" s="21" t="str">
        <x:v>float</x:v>
      </x:c>
      <x:c r="D2109" s="21" t="str">
        <x:v>180.0</x:v>
      </x:c>
    </x:row>
    <x:row r="2110" ht="22" customHeight="1">
      <x:c r="A2110" s="21" t="str">
        <x:v>data/mercenary/mercenaries.json</x:v>
      </x:c>
      <x:c r="B2110" s="21" t="str">
        <x:v>$/mercenaries/11/model_idle_animation_name</x:v>
      </x:c>
      <x:c r="C2110" s="21" t="str">
        <x:v>string</x:v>
      </x:c>
      <x:c r="D2110" s="21" t="str">
        <x:v>"idle"</x:v>
      </x:c>
    </x:row>
    <x:row r="2111" ht="22" customHeight="1">
      <x:c r="A2111" s="21" t="str">
        <x:v>data/mercenary/mercenaries.json</x:v>
      </x:c>
      <x:c r="B2111" s="21" t="str">
        <x:v>$/mercenaries/11/model_attack_animation_name</x:v>
      </x:c>
      <x:c r="C2111" s="21" t="str">
        <x:v>string</x:v>
      </x:c>
      <x:c r="D2111" s="21" t="str">
        <x:v>"attack"</x:v>
      </x:c>
    </x:row>
    <x:row r="2112" ht="22" customHeight="1">
      <x:c r="A2112" s="21" t="str">
        <x:v>data/mercenary/mercenaries.json</x:v>
      </x:c>
      <x:c r="B2112" s="21" t="str">
        <x:v>$/mercenaries/11/model_attack_sync_seek</x:v>
      </x:c>
      <x:c r="C2112" s="21" t="str">
        <x:v>float</x:v>
      </x:c>
      <x:c r="D2112" s="21" t="str">
        <x:v>0.18</x:v>
      </x:c>
    </x:row>
    <x:row r="2113" ht="22" customHeight="1">
      <x:c r="A2113" s="21" t="str">
        <x:v>data/mercenary/mercenaries.json</x:v>
      </x:c>
      <x:c r="B2113" s="21" t="str">
        <x:v>$/mercenaries/11/model_attack_lock_time</x:v>
      </x:c>
      <x:c r="C2113" s="21" t="str">
        <x:v>float</x:v>
      </x:c>
      <x:c r="D2113" s="21" t="str">
        <x:v>0.42</x:v>
      </x:c>
    </x:row>
    <x:row r="2114" ht="22" customHeight="1">
      <x:c r="A2114" s="21" t="str">
        <x:v>data/mercenary/mercenaries.json</x:v>
      </x:c>
      <x:c r="B2114" s="21" t="str">
        <x:v>$/mercenaries/11/model_run_animation_name</x:v>
      </x:c>
      <x:c r="C2114" s="21" t="str">
        <x:v>string</x:v>
      </x:c>
      <x:c r="D2114" s="21" t="str">
        <x:v>"run"</x:v>
      </x:c>
    </x:row>
    <x:row r="2115" ht="22" customHeight="1">
      <x:c r="A2115" s="21" t="str">
        <x:v>data/mercenary/mercenaries.json</x:v>
      </x:c>
      <x:c r="B2115" s="21" t="str">
        <x:v>$/mercenaries/11/name_en</x:v>
      </x:c>
      <x:c r="C2115" s="21" t="str">
        <x:v>string</x:v>
      </x:c>
      <x:c r="D2115" s="21" t="str">
        <x:v>"Death Executioner"</x:v>
      </x:c>
    </x:row>
    <x:row r="2116" ht="22" customHeight="1">
      <x:c r="A2116" s="21" t="str">
        <x:v>data/treasure/treasures.json</x:v>
      </x:c>
      <x:c r="B2116" s="21" t="str">
        <x:v>$</x:v>
      </x:c>
      <x:c r="C2116" s="21" t="str">
        <x:v>object</x:v>
      </x:c>
      <x:c r="D2116" s="21" t="str"/>
    </x:row>
    <x:row r="2117" ht="22" customHeight="1">
      <x:c r="A2117" s="21" t="str">
        <x:v>data/treasure/treasures.json</x:v>
      </x:c>
      <x:c r="B2117" s="21" t="str">
        <x:v>$/max_owned</x:v>
      </x:c>
      <x:c r="C2117" s="21" t="str">
        <x:v>int</x:v>
      </x:c>
      <x:c r="D2117" s="21" t="str">
        <x:v>5</x:v>
      </x:c>
    </x:row>
    <x:row r="2118" ht="22" customHeight="1">
      <x:c r="A2118" s="21" t="str">
        <x:v>data/treasure/treasures.json</x:v>
      </x:c>
      <x:c r="B2118" s="21" t="str">
        <x:v>$/draw_rounds</x:v>
      </x:c>
      <x:c r="C2118" s="21" t="str">
        <x:v>array</x:v>
      </x:c>
      <x:c r="D2118" s="21" t="str"/>
    </x:row>
    <x:row r="2119" ht="22" customHeight="1">
      <x:c r="A2119" s="21" t="str">
        <x:v>data/treasure/treasures.json</x:v>
      </x:c>
      <x:c r="B2119" s="21" t="str">
        <x:v>$/draw_rounds/0</x:v>
      </x:c>
      <x:c r="C2119" s="21" t="str">
        <x:v>int</x:v>
      </x:c>
      <x:c r="D2119" s="21" t="str">
        <x:v>4</x:v>
      </x:c>
    </x:row>
    <x:row r="2120" ht="22" customHeight="1">
      <x:c r="A2120" s="21" t="str">
        <x:v>data/treasure/treasures.json</x:v>
      </x:c>
      <x:c r="B2120" s="21" t="str">
        <x:v>$/draw_rounds/1</x:v>
      </x:c>
      <x:c r="C2120" s="21" t="str">
        <x:v>int</x:v>
      </x:c>
      <x:c r="D2120" s="21" t="str">
        <x:v>8</x:v>
      </x:c>
    </x:row>
    <x:row r="2121" ht="22" customHeight="1">
      <x:c r="A2121" s="21" t="str">
        <x:v>data/treasure/treasures.json</x:v>
      </x:c>
      <x:c r="B2121" s="21" t="str">
        <x:v>$/draw_rounds/2</x:v>
      </x:c>
      <x:c r="C2121" s="21" t="str">
        <x:v>int</x:v>
      </x:c>
      <x:c r="D2121" s="21" t="str">
        <x:v>12</x:v>
      </x:c>
    </x:row>
    <x:row r="2122" ht="22" customHeight="1">
      <x:c r="A2122" s="21" t="str">
        <x:v>data/treasure/treasures.json</x:v>
      </x:c>
      <x:c r="B2122" s="21" t="str">
        <x:v>$/draw_rounds/3</x:v>
      </x:c>
      <x:c r="C2122" s="21" t="str">
        <x:v>int</x:v>
      </x:c>
      <x:c r="D2122" s="21" t="str">
        <x:v>16</x:v>
      </x:c>
    </x:row>
    <x:row r="2123" ht="22" customHeight="1">
      <x:c r="A2123" s="21" t="str">
        <x:v>data/treasure/treasures.json</x:v>
      </x:c>
      <x:c r="B2123" s="21" t="str">
        <x:v>$/draw_rounds/4</x:v>
      </x:c>
      <x:c r="C2123" s="21" t="str">
        <x:v>int</x:v>
      </x:c>
      <x:c r="D2123" s="21" t="str">
        <x:v>20</x:v>
      </x:c>
    </x:row>
    <x:row r="2124" ht="22" customHeight="1">
      <x:c r="A2124" s="21" t="str">
        <x:v>data/treasure/treasures.json</x:v>
      </x:c>
      <x:c r="B2124" s="21" t="str">
        <x:v>$/refresh_costs</x:v>
      </x:c>
      <x:c r="C2124" s="21" t="str">
        <x:v>array</x:v>
      </x:c>
      <x:c r="D2124" s="21" t="str"/>
    </x:row>
    <x:row r="2125" ht="22" customHeight="1">
      <x:c r="A2125" s="21" t="str">
        <x:v>data/treasure/treasures.json</x:v>
      </x:c>
      <x:c r="B2125" s="21" t="str">
        <x:v>$/refresh_costs/0</x:v>
      </x:c>
      <x:c r="C2125" s="21" t="str">
        <x:v>int</x:v>
      </x:c>
      <x:c r="D2125" s="21" t="str">
        <x:v>50</x:v>
      </x:c>
    </x:row>
    <x:row r="2126" ht="22" customHeight="1">
      <x:c r="A2126" s="21" t="str">
        <x:v>data/treasure/treasures.json</x:v>
      </x:c>
      <x:c r="B2126" s="21" t="str">
        <x:v>$/refresh_costs/1</x:v>
      </x:c>
      <x:c r="C2126" s="21" t="str">
        <x:v>int</x:v>
      </x:c>
      <x:c r="D2126" s="21" t="str">
        <x:v>100</x:v>
      </x:c>
    </x:row>
    <x:row r="2127" ht="22" customHeight="1">
      <x:c r="A2127" s="21" t="str">
        <x:v>data/treasure/treasures.json</x:v>
      </x:c>
      <x:c r="B2127" s="21" t="str">
        <x:v>$/refresh_costs/2</x:v>
      </x:c>
      <x:c r="C2127" s="21" t="str">
        <x:v>int</x:v>
      </x:c>
      <x:c r="D2127" s="21" t="str">
        <x:v>200</x:v>
      </x:c>
    </x:row>
    <x:row r="2128" ht="22" customHeight="1">
      <x:c r="A2128" s="21" t="str">
        <x:v>data/treasure/treasures.json</x:v>
      </x:c>
      <x:c r="B2128" s="21" t="str">
        <x:v>$/refresh_costs/3</x:v>
      </x:c>
      <x:c r="C2128" s="21" t="str">
        <x:v>int</x:v>
      </x:c>
      <x:c r="D2128" s="21" t="str">
        <x:v>400</x:v>
      </x:c>
    </x:row>
    <x:row r="2129" ht="22" customHeight="1">
      <x:c r="A2129" s="21" t="str">
        <x:v>data/treasure/treasures.json</x:v>
      </x:c>
      <x:c r="B2129" s="21" t="str">
        <x:v>$/sets</x:v>
      </x:c>
      <x:c r="C2129" s="21" t="str">
        <x:v>object</x:v>
      </x:c>
      <x:c r="D2129" s="21" t="str"/>
    </x:row>
    <x:row r="2130" ht="22" customHeight="1">
      <x:c r="A2130" s="21" t="str">
        <x:v>data/treasure/treasures.json</x:v>
      </x:c>
      <x:c r="B2130" s="21" t="str">
        <x:v>$/sets/defense</x:v>
      </x:c>
      <x:c r="C2130" s="21" t="str">
        <x:v>string</x:v>
      </x:c>
      <x:c r="D2130" s="21" t="str">
        <x:v>"normal units hp+30 def+30 dodge+15"</x:v>
      </x:c>
    </x:row>
    <x:row r="2131" ht="22" customHeight="1">
      <x:c r="A2131" s="21" t="str">
        <x:v>data/treasure/treasures.json</x:v>
      </x:c>
      <x:c r="B2131" s="21" t="str">
        <x:v>$/sets/control</x:v>
      </x:c>
      <x:c r="C2131" s="21" t="str">
        <x:v>string</x:v>
      </x:c>
      <x:c r="D2131" s="21" t="str">
        <x:v>"basic-attack last hit refreshes the killer's skill cooldown"</x:v>
      </x:c>
    </x:row>
    <x:row r="2132" ht="22" customHeight="1">
      <x:c r="A2132" s="21" t="str">
        <x:v>data/treasure/treasures.json</x:v>
      </x:c>
      <x:c r="B2132" s="21" t="str">
        <x:v>$/sets/attack</x:v>
      </x:c>
      <x:c r="C2132" s="21" t="str">
        <x:v>string</x:v>
      </x:c>
      <x:c r="D2132" s="21" t="str">
        <x:v>"basic attack executes non-boss target at or below 10% hp (ignores invulnerable)"</x:v>
      </x:c>
    </x:row>
    <x:row r="2133" ht="22" customHeight="1">
      <x:c r="A2133" s="21" t="str">
        <x:v>data/treasure/treasures.json</x:v>
      </x:c>
      <x:c r="B2133" s="21" t="str">
        <x:v>$/sets/money</x:v>
      </x:c>
      <x:c r="C2133" s="21" t="str">
        <x:v>string</x:v>
      </x:c>
      <x:c r="D2133" s="21" t="str">
        <x:v>"+10% atk and hp per 1000 gold at battle start, capped at +100%"</x:v>
      </x:c>
    </x:row>
    <x:row r="2134" ht="22" customHeight="1">
      <x:c r="A2134" s="21" t="str">
        <x:v>data/treasure/treasures.json</x:v>
      </x:c>
      <x:c r="B2134" s="21" t="str">
        <x:v>$/sets/element</x:v>
      </x:c>
      <x:c r="C2134" s="21" t="str">
        <x:v>string</x:v>
      </x:c>
      <x:c r="D2134" s="21" t="str">
        <x:v>"20% attack proc, radius 180, enemies take 10% max hp"</x:v>
      </x:c>
    </x:row>
    <x:row r="2135" ht="22" customHeight="1">
      <x:c r="A2135" s="21" t="str">
        <x:v>data/treasure/treasures.json</x:v>
      </x:c>
      <x:c r="B2135" s="21" t="str">
        <x:v>$/attribute_effects</x:v>
      </x:c>
      <x:c r="C2135" s="21" t="str">
        <x:v>object</x:v>
      </x:c>
      <x:c r="D2135" s="21" t="str"/>
    </x:row>
    <x:row r="2136" ht="22" customHeight="1">
      <x:c r="A2136" s="21" t="str">
        <x:v>data/treasure/treasures.json</x:v>
      </x:c>
      <x:c r="B2136" s="21" t="str">
        <x:v>$/attribute_effects/fire</x:v>
      </x:c>
      <x:c r="C2136" s="21" t="str">
        <x:v>string</x:v>
      </x:c>
      <x:c r="D2136" s="21" t="str">
        <x:v>"extra 40% atk damage"</x:v>
      </x:c>
    </x:row>
    <x:row r="2137" ht="22" customHeight="1">
      <x:c r="A2137" s="21" t="str">
        <x:v>data/treasure/treasures.json</x:v>
      </x:c>
      <x:c r="B2137" s="21" t="str">
        <x:v>$/attribute_effects/ice</x:v>
      </x:c>
      <x:c r="C2137" s="21" t="str">
        <x:v>string</x:v>
      </x:c>
      <x:c r="D2137" s="21" t="str">
        <x:v>"slow and attack speed down 1.5 sec"</x:v>
      </x:c>
    </x:row>
    <x:row r="2138" ht="22" customHeight="1">
      <x:c r="A2138" s="21" t="str">
        <x:v>data/treasure/treasures.json</x:v>
      </x:c>
      <x:c r="B2138" s="21" t="str">
        <x:v>$/attribute_effects/thunder</x:v>
      </x:c>
      <x:c r="C2138" s="21" t="str">
        <x:v>string</x:v>
      </x:c>
      <x:c r="D2138" s="21" t="str">
        <x:v>"25% interrupt"</x:v>
      </x:c>
    </x:row>
    <x:row r="2139" ht="22" customHeight="1">
      <x:c r="A2139" s="21" t="str">
        <x:v>data/treasure/treasures.json</x:v>
      </x:c>
      <x:c r="B2139" s="21" t="str">
        <x:v>$/attribute_effects/poison</x:v>
      </x:c>
      <x:c r="C2139" s="21" t="str">
        <x:v>string</x:v>
      </x:c>
      <x:c r="D2139" s="21" t="str">
        <x:v>"poison"</x:v>
      </x:c>
    </x:row>
    <x:row r="2140" ht="22" customHeight="1">
      <x:c r="A2140" s="21" t="str">
        <x:v>data/treasure/treasures.json</x:v>
      </x:c>
      <x:c r="B2140" s="21" t="str">
        <x:v>$/treasures</x:v>
      </x:c>
      <x:c r="C2140" s="21" t="str">
        <x:v>array</x:v>
      </x:c>
      <x:c r="D2140" s="21" t="str"/>
    </x:row>
    <x:row r="2141" ht="22" customHeight="1">
      <x:c r="A2141" s="21" t="str">
        <x:v>data/treasure/treasures.json</x:v>
      </x:c>
      <x:c r="B2141" s="21" t="str">
        <x:v>$/treasures/0</x:v>
      </x:c>
      <x:c r="C2141" s="21" t="str">
        <x:v>object</x:v>
      </x:c>
      <x:c r="D2141" s="21" t="str"/>
    </x:row>
    <x:row r="2142" ht="22" customHeight="1">
      <x:c r="A2142" s="21" t="str">
        <x:v>data/treasure/treasures.json</x:v>
      </x:c>
      <x:c r="B2142" s="21" t="str">
        <x:v>$/treasures/0/id</x:v>
      </x:c>
      <x:c r="C2142" s="21" t="str">
        <x:v>string</x:v>
      </x:c>
      <x:c r="D2142" s="21" t="str">
        <x:v>"def_iron_wall"</x:v>
      </x:c>
    </x:row>
    <x:row r="2143" ht="22" customHeight="1">
      <x:c r="A2143" s="21" t="str">
        <x:v>data/treasure/treasures.json</x:v>
      </x:c>
      <x:c r="B2143" s="21" t="str">
        <x:v>$/treasures/0/name</x:v>
      </x:c>
      <x:c r="C2143" s="21" t="str">
        <x:v>string</x:v>
      </x:c>
      <x:c r="D2143" s="21" t="str">
        <x:v>"铁壁之护"</x:v>
      </x:c>
    </x:row>
    <x:row r="2144" ht="22" customHeight="1">
      <x:c r="A2144" s="21" t="str">
        <x:v>data/treasure/treasures.json</x:v>
      </x:c>
      <x:c r="B2144" s="21" t="str">
        <x:v>$/treasures/0/category</x:v>
      </x:c>
      <x:c r="C2144" s="21" t="str">
        <x:v>string</x:v>
      </x:c>
      <x:c r="D2144" s="21" t="str">
        <x:v>"defense"</x:v>
      </x:c>
    </x:row>
    <x:row r="2145" ht="22" customHeight="1">
      <x:c r="A2145" s="21" t="str">
        <x:v>data/treasure/treasures.json</x:v>
      </x:c>
      <x:c r="B2145" s="21" t="str">
        <x:v>$/treasures/0/name_en</x:v>
      </x:c>
      <x:c r="C2145" s="21" t="str">
        <x:v>string</x:v>
      </x:c>
      <x:c r="D2145" s="21" t="str">
        <x:v>"Iron Wall"</x:v>
      </x:c>
    </x:row>
    <x:row r="2146" ht="22" customHeight="1">
      <x:c r="A2146" s="21" t="str">
        <x:v>data/treasure/treasures.json</x:v>
      </x:c>
      <x:c r="B2146" s="21" t="str">
        <x:v>$/treasures/1</x:v>
      </x:c>
      <x:c r="C2146" s="21" t="str">
        <x:v>object</x:v>
      </x:c>
      <x:c r="D2146" s="21" t="str"/>
    </x:row>
    <x:row r="2147" ht="22" customHeight="1">
      <x:c r="A2147" s="21" t="str">
        <x:v>data/treasure/treasures.json</x:v>
      </x:c>
      <x:c r="B2147" s="21" t="str">
        <x:v>$/treasures/1/id</x:v>
      </x:c>
      <x:c r="C2147" s="21" t="str">
        <x:v>string</x:v>
      </x:c>
      <x:c r="D2147" s="21" t="str">
        <x:v>"def_life_monument"</x:v>
      </x:c>
    </x:row>
    <x:row r="2148" ht="22" customHeight="1">
      <x:c r="A2148" s="21" t="str">
        <x:v>data/treasure/treasures.json</x:v>
      </x:c>
      <x:c r="B2148" s="21" t="str">
        <x:v>$/treasures/1/name</x:v>
      </x:c>
      <x:c r="C2148" s="21" t="str">
        <x:v>string</x:v>
      </x:c>
      <x:c r="D2148" s="21" t="str">
        <x:v>"生命丰碑"</x:v>
      </x:c>
    </x:row>
    <x:row r="2149" ht="22" customHeight="1">
      <x:c r="A2149" s="21" t="str">
        <x:v>data/treasure/treasures.json</x:v>
      </x:c>
      <x:c r="B2149" s="21" t="str">
        <x:v>$/treasures/1/category</x:v>
      </x:c>
      <x:c r="C2149" s="21" t="str">
        <x:v>string</x:v>
      </x:c>
      <x:c r="D2149" s="21" t="str">
        <x:v>"defense"</x:v>
      </x:c>
    </x:row>
    <x:row r="2150" ht="22" customHeight="1">
      <x:c r="A2150" s="21" t="str">
        <x:v>data/treasure/treasures.json</x:v>
      </x:c>
      <x:c r="B2150" s="21" t="str">
        <x:v>$/treasures/1/name_en</x:v>
      </x:c>
      <x:c r="C2150" s="21" t="str">
        <x:v>string</x:v>
      </x:c>
      <x:c r="D2150" s="21" t="str">
        <x:v>"Life Monument"</x:v>
      </x:c>
    </x:row>
    <x:row r="2151" ht="22" customHeight="1">
      <x:c r="A2151" s="21" t="str">
        <x:v>data/treasure/treasures.json</x:v>
      </x:c>
      <x:c r="B2151" s="21" t="str">
        <x:v>$/treasures/2</x:v>
      </x:c>
      <x:c r="C2151" s="21" t="str">
        <x:v>object</x:v>
      </x:c>
      <x:c r="D2151" s="21" t="str"/>
    </x:row>
    <x:row r="2152" ht="22" customHeight="1">
      <x:c r="A2152" s="21" t="str">
        <x:v>data/treasure/treasures.json</x:v>
      </x:c>
      <x:c r="B2152" s="21" t="str">
        <x:v>$/treasures/2/id</x:v>
      </x:c>
      <x:c r="C2152" s="21" t="str">
        <x:v>string</x:v>
      </x:c>
      <x:c r="D2152" s="21" t="str">
        <x:v>"def_formation_heal"</x:v>
      </x:c>
    </x:row>
    <x:row r="2153" ht="22" customHeight="1">
      <x:c r="A2153" s="21" t="str">
        <x:v>data/treasure/treasures.json</x:v>
      </x:c>
      <x:c r="B2153" s="21" t="str">
        <x:v>$/treasures/2/name</x:v>
      </x:c>
      <x:c r="C2153" s="21" t="str">
        <x:v>string</x:v>
      </x:c>
      <x:c r="D2153" s="21" t="str">
        <x:v>"法阵回春"</x:v>
      </x:c>
    </x:row>
    <x:row r="2154" ht="22" customHeight="1">
      <x:c r="A2154" s="21" t="str">
        <x:v>data/treasure/treasures.json</x:v>
      </x:c>
      <x:c r="B2154" s="21" t="str">
        <x:v>$/treasures/2/category</x:v>
      </x:c>
      <x:c r="C2154" s="21" t="str">
        <x:v>string</x:v>
      </x:c>
      <x:c r="D2154" s="21" t="str">
        <x:v>"defense"</x:v>
      </x:c>
    </x:row>
    <x:row r="2155" ht="22" customHeight="1">
      <x:c r="A2155" s="21" t="str">
        <x:v>data/treasure/treasures.json</x:v>
      </x:c>
      <x:c r="B2155" s="21" t="str">
        <x:v>$/treasures/2/name_en</x:v>
      </x:c>
      <x:c r="C2155" s="21" t="str">
        <x:v>string</x:v>
      </x:c>
      <x:c r="D2155" s="21" t="str">
        <x:v>"Formation Heal"</x:v>
      </x:c>
    </x:row>
    <x:row r="2156" ht="22" customHeight="1">
      <x:c r="A2156" s="21" t="str">
        <x:v>data/treasure/treasures.json</x:v>
      </x:c>
      <x:c r="B2156" s="21" t="str">
        <x:v>$/treasures/3</x:v>
      </x:c>
      <x:c r="C2156" s="21" t="str">
        <x:v>object</x:v>
      </x:c>
      <x:c r="D2156" s="21" t="str"/>
    </x:row>
    <x:row r="2157" ht="22" customHeight="1">
      <x:c r="A2157" s="21" t="str">
        <x:v>data/treasure/treasures.json</x:v>
      </x:c>
      <x:c r="B2157" s="21" t="str">
        <x:v>$/treasures/3/id</x:v>
      </x:c>
      <x:c r="C2157" s="21" t="str">
        <x:v>string</x:v>
      </x:c>
      <x:c r="D2157" s="21" t="str">
        <x:v>"def_soul_counter"</x:v>
      </x:c>
    </x:row>
    <x:row r="2158" ht="22" customHeight="1">
      <x:c r="A2158" s="21" t="str">
        <x:v>data/treasure/treasures.json</x:v>
      </x:c>
      <x:c r="B2158" s="21" t="str">
        <x:v>$/treasures/3/name</x:v>
      </x:c>
      <x:c r="C2158" s="21" t="str">
        <x:v>string</x:v>
      </x:c>
      <x:c r="D2158" s="21" t="str">
        <x:v>"亡魂反击"</x:v>
      </x:c>
    </x:row>
    <x:row r="2159" ht="22" customHeight="1">
      <x:c r="A2159" s="21" t="str">
        <x:v>data/treasure/treasures.json</x:v>
      </x:c>
      <x:c r="B2159" s="21" t="str">
        <x:v>$/treasures/3/category</x:v>
      </x:c>
      <x:c r="C2159" s="21" t="str">
        <x:v>string</x:v>
      </x:c>
      <x:c r="D2159" s="21" t="str">
        <x:v>"defense"</x:v>
      </x:c>
    </x:row>
    <x:row r="2160" ht="22" customHeight="1">
      <x:c r="A2160" s="21" t="str">
        <x:v>data/treasure/treasures.json</x:v>
      </x:c>
      <x:c r="B2160" s="21" t="str">
        <x:v>$/treasures/3/name_en</x:v>
      </x:c>
      <x:c r="C2160" s="21" t="str">
        <x:v>string</x:v>
      </x:c>
      <x:c r="D2160" s="21" t="str">
        <x:v>"Soul Counter"</x:v>
      </x:c>
    </x:row>
    <x:row r="2161" ht="22" customHeight="1">
      <x:c r="A2161" s="21" t="str">
        <x:v>data/treasure/treasures.json</x:v>
      </x:c>
      <x:c r="B2161" s="21" t="str">
        <x:v>$/treasures/4</x:v>
      </x:c>
      <x:c r="C2161" s="21" t="str">
        <x:v>object</x:v>
      </x:c>
      <x:c r="D2161" s="21" t="str"/>
    </x:row>
    <x:row r="2162" ht="22" customHeight="1">
      <x:c r="A2162" s="21" t="str">
        <x:v>data/treasure/treasures.json</x:v>
      </x:c>
      <x:c r="B2162" s="21" t="str">
        <x:v>$/treasures/4/id</x:v>
      </x:c>
      <x:c r="C2162" s="21" t="str">
        <x:v>string</x:v>
      </x:c>
      <x:c r="D2162" s="21" t="str">
        <x:v>"def_lifesteal_emblem"</x:v>
      </x:c>
    </x:row>
    <x:row r="2163" ht="22" customHeight="1">
      <x:c r="A2163" s="21" t="str">
        <x:v>data/treasure/treasures.json</x:v>
      </x:c>
      <x:c r="B2163" s="21" t="str">
        <x:v>$/treasures/4/name</x:v>
      </x:c>
      <x:c r="C2163" s="21" t="str">
        <x:v>string</x:v>
      </x:c>
      <x:c r="D2163" s="21" t="str">
        <x:v>"吸血纹章"</x:v>
      </x:c>
    </x:row>
    <x:row r="2164" ht="22" customHeight="1">
      <x:c r="A2164" s="21" t="str">
        <x:v>data/treasure/treasures.json</x:v>
      </x:c>
      <x:c r="B2164" s="21" t="str">
        <x:v>$/treasures/4/category</x:v>
      </x:c>
      <x:c r="C2164" s="21" t="str">
        <x:v>string</x:v>
      </x:c>
      <x:c r="D2164" s="21" t="str">
        <x:v>"defense"</x:v>
      </x:c>
    </x:row>
    <x:row r="2165" ht="22" customHeight="1">
      <x:c r="A2165" s="21" t="str">
        <x:v>data/treasure/treasures.json</x:v>
      </x:c>
      <x:c r="B2165" s="21" t="str">
        <x:v>$/treasures/4/name_en</x:v>
      </x:c>
      <x:c r="C2165" s="21" t="str">
        <x:v>string</x:v>
      </x:c>
      <x:c r="D2165" s="21" t="str">
        <x:v>"Lifesteal Emblem"</x:v>
      </x:c>
    </x:row>
    <x:row r="2166" ht="22" customHeight="1">
      <x:c r="A2166" s="21" t="str">
        <x:v>data/treasure/treasures.json</x:v>
      </x:c>
      <x:c r="B2166" s="21" t="str">
        <x:v>$/treasures/5</x:v>
      </x:c>
      <x:c r="C2166" s="21" t="str">
        <x:v>object</x:v>
      </x:c>
      <x:c r="D2166" s="21" t="str"/>
    </x:row>
    <x:row r="2167" ht="22" customHeight="1">
      <x:c r="A2167" s="21" t="str">
        <x:v>data/treasure/treasures.json</x:v>
      </x:c>
      <x:c r="B2167" s="21" t="str">
        <x:v>$/treasures/5/id</x:v>
      </x:c>
      <x:c r="C2167" s="21" t="str">
        <x:v>string</x:v>
      </x:c>
      <x:c r="D2167" s="21" t="str">
        <x:v>"def_phantom_step"</x:v>
      </x:c>
    </x:row>
    <x:row r="2168" ht="22" customHeight="1">
      <x:c r="A2168" s="21" t="str">
        <x:v>data/treasure/treasures.json</x:v>
      </x:c>
      <x:c r="B2168" s="21" t="str">
        <x:v>$/treasures/5/name</x:v>
      </x:c>
      <x:c r="C2168" s="21" t="str">
        <x:v>string</x:v>
      </x:c>
      <x:c r="D2168" s="21" t="str">
        <x:v>"幻影步伐"</x:v>
      </x:c>
    </x:row>
    <x:row r="2169" ht="22" customHeight="1">
      <x:c r="A2169" s="21" t="str">
        <x:v>data/treasure/treasures.json</x:v>
      </x:c>
      <x:c r="B2169" s="21" t="str">
        <x:v>$/treasures/5/category</x:v>
      </x:c>
      <x:c r="C2169" s="21" t="str">
        <x:v>string</x:v>
      </x:c>
      <x:c r="D2169" s="21" t="str">
        <x:v>"defense"</x:v>
      </x:c>
    </x:row>
    <x:row r="2170" ht="22" customHeight="1">
      <x:c r="A2170" s="21" t="str">
        <x:v>data/treasure/treasures.json</x:v>
      </x:c>
      <x:c r="B2170" s="21" t="str">
        <x:v>$/treasures/5/name_en</x:v>
      </x:c>
      <x:c r="C2170" s="21" t="str">
        <x:v>string</x:v>
      </x:c>
      <x:c r="D2170" s="21" t="str">
        <x:v>"Phantom Step"</x:v>
      </x:c>
    </x:row>
    <x:row r="2171" ht="22" customHeight="1">
      <x:c r="A2171" s="21" t="str">
        <x:v>data/treasure/treasures.json</x:v>
      </x:c>
      <x:c r="B2171" s="21" t="str">
        <x:v>$/treasures/6</x:v>
      </x:c>
      <x:c r="C2171" s="21" t="str">
        <x:v>object</x:v>
      </x:c>
      <x:c r="D2171" s="21" t="str"/>
    </x:row>
    <x:row r="2172" ht="22" customHeight="1">
      <x:c r="A2172" s="21" t="str">
        <x:v>data/treasure/treasures.json</x:v>
      </x:c>
      <x:c r="B2172" s="21" t="str">
        <x:v>$/treasures/6/id</x:v>
      </x:c>
      <x:c r="C2172" s="21" t="str">
        <x:v>string</x:v>
      </x:c>
      <x:c r="D2172" s="21" t="str">
        <x:v>"ctrl_shockwave"</x:v>
      </x:c>
    </x:row>
    <x:row r="2173" ht="22" customHeight="1">
      <x:c r="A2173" s="21" t="str">
        <x:v>data/treasure/treasures.json</x:v>
      </x:c>
      <x:c r="B2173" s="21" t="str">
        <x:v>$/treasures/6/name</x:v>
      </x:c>
      <x:c r="C2173" s="21" t="str">
        <x:v>string</x:v>
      </x:c>
      <x:c r="D2173" s="21" t="str">
        <x:v>"震荡余波"</x:v>
      </x:c>
    </x:row>
    <x:row r="2174" ht="22" customHeight="1">
      <x:c r="A2174" s="21" t="str">
        <x:v>data/treasure/treasures.json</x:v>
      </x:c>
      <x:c r="B2174" s="21" t="str">
        <x:v>$/treasures/6/category</x:v>
      </x:c>
      <x:c r="C2174" s="21" t="str">
        <x:v>string</x:v>
      </x:c>
      <x:c r="D2174" s="21" t="str">
        <x:v>"control"</x:v>
      </x:c>
    </x:row>
    <x:row r="2175" ht="22" customHeight="1">
      <x:c r="A2175" s="21" t="str">
        <x:v>data/treasure/treasures.json</x:v>
      </x:c>
      <x:c r="B2175" s="21" t="str">
        <x:v>$/treasures/6/cooldown</x:v>
      </x:c>
      <x:c r="C2175" s="21" t="str">
        <x:v>float</x:v>
      </x:c>
      <x:c r="D2175" s="21" t="str">
        <x:v>5.0</x:v>
      </x:c>
    </x:row>
    <x:row r="2176" ht="22" customHeight="1">
      <x:c r="A2176" s="21" t="str">
        <x:v>data/treasure/treasures.json</x:v>
      </x:c>
      <x:c r="B2176" s="21" t="str">
        <x:v>$/treasures/6/name_en</x:v>
      </x:c>
      <x:c r="C2176" s="21" t="str">
        <x:v>string</x:v>
      </x:c>
      <x:c r="D2176" s="21" t="str">
        <x:v>"Shockwave"</x:v>
      </x:c>
    </x:row>
    <x:row r="2177" ht="22" customHeight="1">
      <x:c r="A2177" s="21" t="str">
        <x:v>data/treasure/treasures.json</x:v>
      </x:c>
      <x:c r="B2177" s="21" t="str">
        <x:v>$/treasures/7</x:v>
      </x:c>
      <x:c r="C2177" s="21" t="str">
        <x:v>object</x:v>
      </x:c>
      <x:c r="D2177" s="21" t="str"/>
    </x:row>
    <x:row r="2178" ht="22" customHeight="1">
      <x:c r="A2178" s="21" t="str">
        <x:v>data/treasure/treasures.json</x:v>
      </x:c>
      <x:c r="B2178" s="21" t="str">
        <x:v>$/treasures/7/id</x:v>
      </x:c>
      <x:c r="C2178" s="21" t="str">
        <x:v>string</x:v>
      </x:c>
      <x:c r="D2178" s="21" t="str">
        <x:v>"ctrl_corrosive_needle"</x:v>
      </x:c>
    </x:row>
    <x:row r="2179" ht="22" customHeight="1">
      <x:c r="A2179" s="21" t="str">
        <x:v>data/treasure/treasures.json</x:v>
      </x:c>
      <x:c r="B2179" s="21" t="str">
        <x:v>$/treasures/7/name</x:v>
      </x:c>
      <x:c r="C2179" s="21" t="str">
        <x:v>string</x:v>
      </x:c>
      <x:c r="D2179" s="21" t="str">
        <x:v>"腐蚀毒针"</x:v>
      </x:c>
    </x:row>
    <x:row r="2180" ht="22" customHeight="1">
      <x:c r="A2180" s="21" t="str">
        <x:v>data/treasure/treasures.json</x:v>
      </x:c>
      <x:c r="B2180" s="21" t="str">
        <x:v>$/treasures/7/category</x:v>
      </x:c>
      <x:c r="C2180" s="21" t="str">
        <x:v>string</x:v>
      </x:c>
      <x:c r="D2180" s="21" t="str">
        <x:v>"control"</x:v>
      </x:c>
    </x:row>
    <x:row r="2181" ht="22" customHeight="1">
      <x:c r="A2181" s="21" t="str">
        <x:v>data/treasure/treasures.json</x:v>
      </x:c>
      <x:c r="B2181" s="21" t="str">
        <x:v>$/treasures/7/cooldown</x:v>
      </x:c>
      <x:c r="C2181" s="21" t="str">
        <x:v>float</x:v>
      </x:c>
      <x:c r="D2181" s="21" t="str">
        <x:v>5.0</x:v>
      </x:c>
    </x:row>
    <x:row r="2182" ht="22" customHeight="1">
      <x:c r="A2182" s="21" t="str">
        <x:v>data/treasure/treasures.json</x:v>
      </x:c>
      <x:c r="B2182" s="21" t="str">
        <x:v>$/treasures/7/name_en</x:v>
      </x:c>
      <x:c r="C2182" s="21" t="str">
        <x:v>string</x:v>
      </x:c>
      <x:c r="D2182" s="21" t="str">
        <x:v>"Corrosive Needle"</x:v>
      </x:c>
    </x:row>
    <x:row r="2183" ht="22" customHeight="1">
      <x:c r="A2183" s="21" t="str">
        <x:v>data/treasure/treasures.json</x:v>
      </x:c>
      <x:c r="B2183" s="21" t="str">
        <x:v>$/treasures/8</x:v>
      </x:c>
      <x:c r="C2183" s="21" t="str">
        <x:v>object</x:v>
      </x:c>
      <x:c r="D2183" s="21" t="str"/>
    </x:row>
    <x:row r="2184" ht="22" customHeight="1">
      <x:c r="A2184" s="21" t="str">
        <x:v>data/treasure/treasures.json</x:v>
      </x:c>
      <x:c r="B2184" s="21" t="str">
        <x:v>$/treasures/8/id</x:v>
      </x:c>
      <x:c r="C2184" s="21" t="str">
        <x:v>string</x:v>
      </x:c>
      <x:c r="D2184" s="21" t="str">
        <x:v>"ctrl_interrupt_chain"</x:v>
      </x:c>
    </x:row>
    <x:row r="2185" ht="22" customHeight="1">
      <x:c r="A2185" s="21" t="str">
        <x:v>data/treasure/treasures.json</x:v>
      </x:c>
      <x:c r="B2185" s="21" t="str">
        <x:v>$/treasures/8/name</x:v>
      </x:c>
      <x:c r="C2185" s="21" t="str">
        <x:v>string</x:v>
      </x:c>
      <x:c r="D2185" s="21" t="str">
        <x:v>"打断锁链"</x:v>
      </x:c>
    </x:row>
    <x:row r="2186" ht="22" customHeight="1">
      <x:c r="A2186" s="21" t="str">
        <x:v>data/treasure/treasures.json</x:v>
      </x:c>
      <x:c r="B2186" s="21" t="str">
        <x:v>$/treasures/8/category</x:v>
      </x:c>
      <x:c r="C2186" s="21" t="str">
        <x:v>string</x:v>
      </x:c>
      <x:c r="D2186" s="21" t="str">
        <x:v>"control"</x:v>
      </x:c>
    </x:row>
    <x:row r="2187" ht="22" customHeight="1">
      <x:c r="A2187" s="21" t="str">
        <x:v>data/treasure/treasures.json</x:v>
      </x:c>
      <x:c r="B2187" s="21" t="str">
        <x:v>$/treasures/8/cooldown</x:v>
      </x:c>
      <x:c r="C2187" s="21" t="str">
        <x:v>float</x:v>
      </x:c>
      <x:c r="D2187" s="21" t="str">
        <x:v>3.0</x:v>
      </x:c>
    </x:row>
    <x:row r="2188" ht="22" customHeight="1">
      <x:c r="A2188" s="21" t="str">
        <x:v>data/treasure/treasures.json</x:v>
      </x:c>
      <x:c r="B2188" s="21" t="str">
        <x:v>$/treasures/8/name_en</x:v>
      </x:c>
      <x:c r="C2188" s="21" t="str">
        <x:v>string</x:v>
      </x:c>
      <x:c r="D2188" s="21" t="str">
        <x:v>"Interrupt Chain"</x:v>
      </x:c>
    </x:row>
    <x:row r="2189" ht="22" customHeight="1">
      <x:c r="A2189" s="21" t="str">
        <x:v>data/treasure/treasures.json</x:v>
      </x:c>
      <x:c r="B2189" s="21" t="str">
        <x:v>$/treasures/9</x:v>
      </x:c>
      <x:c r="C2189" s="21" t="str">
        <x:v>object</x:v>
      </x:c>
      <x:c r="D2189" s="21" t="str"/>
    </x:row>
    <x:row r="2190" ht="22" customHeight="1">
      <x:c r="A2190" s="21" t="str">
        <x:v>data/treasure/treasures.json</x:v>
      </x:c>
      <x:c r="B2190" s="21" t="str">
        <x:v>$/treasures/9/id</x:v>
      </x:c>
      <x:c r="C2190" s="21" t="str">
        <x:v>string</x:v>
      </x:c>
      <x:c r="D2190" s="21" t="str">
        <x:v>"ctrl_time_compress"</x:v>
      </x:c>
    </x:row>
    <x:row r="2191" ht="22" customHeight="1">
      <x:c r="A2191" s="21" t="str">
        <x:v>data/treasure/treasures.json</x:v>
      </x:c>
      <x:c r="B2191" s="21" t="str">
        <x:v>$/treasures/9/name</x:v>
      </x:c>
      <x:c r="C2191" s="21" t="str">
        <x:v>string</x:v>
      </x:c>
      <x:c r="D2191" s="21" t="str">
        <x:v>"时空压缩"</x:v>
      </x:c>
    </x:row>
    <x:row r="2192" ht="22" customHeight="1">
      <x:c r="A2192" s="21" t="str">
        <x:v>data/treasure/treasures.json</x:v>
      </x:c>
      <x:c r="B2192" s="21" t="str">
        <x:v>$/treasures/9/category</x:v>
      </x:c>
      <x:c r="C2192" s="21" t="str">
        <x:v>string</x:v>
      </x:c>
      <x:c r="D2192" s="21" t="str">
        <x:v>"control"</x:v>
      </x:c>
    </x:row>
    <x:row r="2193" ht="22" customHeight="1">
      <x:c r="A2193" s="21" t="str">
        <x:v>data/treasure/treasures.json</x:v>
      </x:c>
      <x:c r="B2193" s="21" t="str">
        <x:v>$/treasures/9/skill_cooldown_multiplier</x:v>
      </x:c>
      <x:c r="C2193" s="21" t="str">
        <x:v>float</x:v>
      </x:c>
      <x:c r="D2193" s="21" t="str">
        <x:v>0.75</x:v>
      </x:c>
    </x:row>
    <x:row r="2194" ht="22" customHeight="1">
      <x:c r="A2194" s="21" t="str">
        <x:v>data/treasure/treasures.json</x:v>
      </x:c>
      <x:c r="B2194" s="21" t="str">
        <x:v>$/treasures/9/name_en</x:v>
      </x:c>
      <x:c r="C2194" s="21" t="str">
        <x:v>string</x:v>
      </x:c>
      <x:c r="D2194" s="21" t="str">
        <x:v>"Time Compress"</x:v>
      </x:c>
    </x:row>
    <x:row r="2195" ht="22" customHeight="1">
      <x:c r="A2195" s="21" t="str">
        <x:v>data/treasure/treasures.json</x:v>
      </x:c>
      <x:c r="B2195" s="21" t="str">
        <x:v>$/treasures/10</x:v>
      </x:c>
      <x:c r="C2195" s="21" t="str">
        <x:v>object</x:v>
      </x:c>
      <x:c r="D2195" s="21" t="str"/>
    </x:row>
    <x:row r="2196" ht="22" customHeight="1">
      <x:c r="A2196" s="21" t="str">
        <x:v>data/treasure/treasures.json</x:v>
      </x:c>
      <x:c r="B2196" s="21" t="str">
        <x:v>$/treasures/10/id</x:v>
      </x:c>
      <x:c r="C2196" s="21" t="str">
        <x:v>string</x:v>
      </x:c>
      <x:c r="D2196" s="21" t="str">
        <x:v>"ctrl_binding_weight"</x:v>
      </x:c>
    </x:row>
    <x:row r="2197" ht="22" customHeight="1">
      <x:c r="A2197" s="21" t="str">
        <x:v>data/treasure/treasures.json</x:v>
      </x:c>
      <x:c r="B2197" s="21" t="str">
        <x:v>$/treasures/10/damage_down</x:v>
      </x:c>
      <x:c r="C2197" s="21" t="str">
        <x:v>float</x:v>
      </x:c>
      <x:c r="D2197" s="21" t="str">
        <x:v>0.2</x:v>
      </x:c>
    </x:row>
    <x:row r="2198" ht="22" customHeight="1">
      <x:c r="A2198" s="21" t="str">
        <x:v>data/treasure/treasures.json</x:v>
      </x:c>
      <x:c r="B2198" s="21" t="str">
        <x:v>$/treasures/10/name</x:v>
      </x:c>
      <x:c r="C2198" s="21" t="str">
        <x:v>string</x:v>
      </x:c>
      <x:c r="D2198" s="21" t="str">
        <x:v>"束缚重压"</x:v>
      </x:c>
    </x:row>
    <x:row r="2199" ht="22" customHeight="1">
      <x:c r="A2199" s="21" t="str">
        <x:v>data/treasure/treasures.json</x:v>
      </x:c>
      <x:c r="B2199" s="21" t="str">
        <x:v>$/treasures/10/category</x:v>
      </x:c>
      <x:c r="C2199" s="21" t="str">
        <x:v>string</x:v>
      </x:c>
      <x:c r="D2199" s="21" t="str">
        <x:v>"control"</x:v>
      </x:c>
    </x:row>
    <x:row r="2200" ht="22" customHeight="1">
      <x:c r="A2200" s="21" t="str">
        <x:v>data/treasure/treasures.json</x:v>
      </x:c>
      <x:c r="B2200" s="21" t="str">
        <x:v>$/treasures/10/move_down</x:v>
      </x:c>
      <x:c r="C2200" s="21" t="str">
        <x:v>float</x:v>
      </x:c>
      <x:c r="D2200" s="21" t="str">
        <x:v>0.25</x:v>
      </x:c>
    </x:row>
    <x:row r="2201" ht="22" customHeight="1">
      <x:c r="A2201" s="21" t="str">
        <x:v>data/treasure/treasures.json</x:v>
      </x:c>
      <x:c r="B2201" s="21" t="str">
        <x:v>$/treasures/10/attack_speed_down</x:v>
      </x:c>
      <x:c r="C2201" s="21" t="str">
        <x:v>float</x:v>
      </x:c>
      <x:c r="D2201" s="21" t="str">
        <x:v>0.2</x:v>
      </x:c>
    </x:row>
    <x:row r="2202" ht="22" customHeight="1">
      <x:c r="A2202" s="21" t="str">
        <x:v>data/treasure/treasures.json</x:v>
      </x:c>
      <x:c r="B2202" s="21" t="str">
        <x:v>$/treasures/10/duration</x:v>
      </x:c>
      <x:c r="C2202" s="21" t="str">
        <x:v>float</x:v>
      </x:c>
      <x:c r="D2202" s="21" t="str">
        <x:v>2.0</x:v>
      </x:c>
    </x:row>
    <x:row r="2203" ht="22" customHeight="1">
      <x:c r="A2203" s="21" t="str">
        <x:v>data/treasure/treasures.json</x:v>
      </x:c>
      <x:c r="B2203" s="21" t="str">
        <x:v>$/treasures/10/cooldown</x:v>
      </x:c>
      <x:c r="C2203" s="21" t="str">
        <x:v>float</x:v>
      </x:c>
      <x:c r="D2203" s="21" t="str">
        <x:v>5.0</x:v>
      </x:c>
    </x:row>
    <x:row r="2204" ht="22" customHeight="1">
      <x:c r="A2204" s="21" t="str">
        <x:v>data/treasure/treasures.json</x:v>
      </x:c>
      <x:c r="B2204" s="21" t="str">
        <x:v>$/treasures/10/name_en</x:v>
      </x:c>
      <x:c r="C2204" s="21" t="str">
        <x:v>string</x:v>
      </x:c>
      <x:c r="D2204" s="21" t="str">
        <x:v>"Binding Weight"</x:v>
      </x:c>
    </x:row>
    <x:row r="2205" ht="22" customHeight="1">
      <x:c r="A2205" s="21" t="str">
        <x:v>data/treasure/treasures.json</x:v>
      </x:c>
      <x:c r="B2205" s="21" t="str">
        <x:v>$/treasures/11</x:v>
      </x:c>
      <x:c r="C2205" s="21" t="str">
        <x:v>object</x:v>
      </x:c>
      <x:c r="D2205" s="21" t="str"/>
    </x:row>
    <x:row r="2206" ht="22" customHeight="1">
      <x:c r="A2206" s="21" t="str">
        <x:v>data/treasure/treasures.json</x:v>
      </x:c>
      <x:c r="B2206" s="21" t="str">
        <x:v>$/treasures/11/id</x:v>
      </x:c>
      <x:c r="C2206" s="21" t="str">
        <x:v>string</x:v>
      </x:c>
      <x:c r="D2206" s="21" t="str">
        <x:v>"atk_blood_pact"</x:v>
      </x:c>
    </x:row>
    <x:row r="2207" ht="22" customHeight="1">
      <x:c r="A2207" s="21" t="str">
        <x:v>data/treasure/treasures.json</x:v>
      </x:c>
      <x:c r="B2207" s="21" t="str">
        <x:v>$/treasures/11/name</x:v>
      </x:c>
      <x:c r="C2207" s="21" t="str">
        <x:v>string</x:v>
      </x:c>
      <x:c r="D2207" s="21" t="str">
        <x:v>"血契之刃"</x:v>
      </x:c>
    </x:row>
    <x:row r="2208" ht="22" customHeight="1">
      <x:c r="A2208" s="21" t="str">
        <x:v>data/treasure/treasures.json</x:v>
      </x:c>
      <x:c r="B2208" s="21" t="str">
        <x:v>$/treasures/11/category</x:v>
      </x:c>
      <x:c r="C2208" s="21" t="str">
        <x:v>string</x:v>
      </x:c>
      <x:c r="D2208" s="21" t="str">
        <x:v>"attack"</x:v>
      </x:c>
    </x:row>
    <x:row r="2209" ht="22" customHeight="1">
      <x:c r="A2209" s="21" t="str">
        <x:v>data/treasure/treasures.json</x:v>
      </x:c>
      <x:c r="B2209" s="21" t="str">
        <x:v>$/treasures/11/opening_atk_multiplier</x:v>
      </x:c>
      <x:c r="C2209" s="21" t="str">
        <x:v>float</x:v>
      </x:c>
      <x:c r="D2209" s="21" t="str">
        <x:v>1.25</x:v>
      </x:c>
    </x:row>
    <x:row r="2210" ht="22" customHeight="1">
      <x:c r="A2210" s="21" t="str">
        <x:v>data/treasure/treasures.json</x:v>
      </x:c>
      <x:c r="B2210" s="21" t="str">
        <x:v>$/treasures/11/name_en</x:v>
      </x:c>
      <x:c r="C2210" s="21" t="str">
        <x:v>string</x:v>
      </x:c>
      <x:c r="D2210" s="21" t="str">
        <x:v>"Blood Pact"</x:v>
      </x:c>
    </x:row>
    <x:row r="2211" ht="22" customHeight="1">
      <x:c r="A2211" s="21" t="str">
        <x:v>data/treasure/treasures.json</x:v>
      </x:c>
      <x:c r="B2211" s="21" t="str">
        <x:v>$/treasures/12</x:v>
      </x:c>
      <x:c r="C2211" s="21" t="str">
        <x:v>object</x:v>
      </x:c>
      <x:c r="D2211" s="21" t="str"/>
    </x:row>
    <x:row r="2212" ht="22" customHeight="1">
      <x:c r="A2212" s="21" t="str">
        <x:v>data/treasure/treasures.json</x:v>
      </x:c>
      <x:c r="B2212" s="21" t="str">
        <x:v>$/treasures/12/id</x:v>
      </x:c>
      <x:c r="C2212" s="21" t="str">
        <x:v>string</x:v>
      </x:c>
      <x:c r="D2212" s="21" t="str">
        <x:v>"atk_fury_roster"</x:v>
      </x:c>
    </x:row>
    <x:row r="2213" ht="22" customHeight="1">
      <x:c r="A2213" s="21" t="str">
        <x:v>data/treasure/treasures.json</x:v>
      </x:c>
      <x:c r="B2213" s="21" t="str">
        <x:v>$/treasures/12/name</x:v>
      </x:c>
      <x:c r="C2213" s="21" t="str">
        <x:v>string</x:v>
      </x:c>
      <x:c r="D2213" s="21" t="str">
        <x:v>"狂怒阵容"</x:v>
      </x:c>
    </x:row>
    <x:row r="2214" ht="22" customHeight="1">
      <x:c r="A2214" s="21" t="str">
        <x:v>data/treasure/treasures.json</x:v>
      </x:c>
      <x:c r="B2214" s="21" t="str">
        <x:v>$/treasures/12/category</x:v>
      </x:c>
      <x:c r="C2214" s="21" t="str">
        <x:v>string</x:v>
      </x:c>
      <x:c r="D2214" s="21" t="str">
        <x:v>"attack"</x:v>
      </x:c>
    </x:row>
    <x:row r="2215" ht="22" customHeight="1">
      <x:c r="A2215" s="21" t="str">
        <x:v>data/treasure/treasures.json</x:v>
      </x:c>
      <x:c r="B2215" s="21" t="str">
        <x:v>$/treasures/12/name_en</x:v>
      </x:c>
      <x:c r="C2215" s="21" t="str">
        <x:v>string</x:v>
      </x:c>
      <x:c r="D2215" s="21" t="str">
        <x:v>"Fury Roster"</x:v>
      </x:c>
    </x:row>
    <x:row r="2216" ht="22" customHeight="1">
      <x:c r="A2216" s="21" t="str">
        <x:v>data/treasure/treasures.json</x:v>
      </x:c>
      <x:c r="B2216" s="21" t="str">
        <x:v>$/treasures/13</x:v>
      </x:c>
      <x:c r="C2216" s="21" t="str">
        <x:v>object</x:v>
      </x:c>
      <x:c r="D2216" s="21" t="str"/>
    </x:row>
    <x:row r="2217" ht="22" customHeight="1">
      <x:c r="A2217" s="21" t="str">
        <x:v>data/treasure/treasures.json</x:v>
      </x:c>
      <x:c r="B2217" s="21" t="str">
        <x:v>$/treasures/13/id</x:v>
      </x:c>
      <x:c r="C2217" s="21" t="str">
        <x:v>string</x:v>
      </x:c>
      <x:c r="D2217" s="21" t="str">
        <x:v>"atk_burst_core"</x:v>
      </x:c>
    </x:row>
    <x:row r="2218" ht="22" customHeight="1">
      <x:c r="A2218" s="21" t="str">
        <x:v>data/treasure/treasures.json</x:v>
      </x:c>
      <x:c r="B2218" s="21" t="str">
        <x:v>$/treasures/13/name</x:v>
      </x:c>
      <x:c r="C2218" s="21" t="str">
        <x:v>string</x:v>
      </x:c>
      <x:c r="D2218" s="21" t="str">
        <x:v>"爆裂核心"</x:v>
      </x:c>
    </x:row>
    <x:row r="2219" ht="22" customHeight="1">
      <x:c r="A2219" s="21" t="str">
        <x:v>data/treasure/treasures.json</x:v>
      </x:c>
      <x:c r="B2219" s="21" t="str">
        <x:v>$/treasures/13/category</x:v>
      </x:c>
      <x:c r="C2219" s="21" t="str">
        <x:v>string</x:v>
      </x:c>
      <x:c r="D2219" s="21" t="str">
        <x:v>"attack"</x:v>
      </x:c>
    </x:row>
    <x:row r="2220" ht="22" customHeight="1">
      <x:c r="A2220" s="21" t="str">
        <x:v>data/treasure/treasures.json</x:v>
      </x:c>
      <x:c r="B2220" s="21" t="str">
        <x:v>$/treasures/13/opening_crit_bonus</x:v>
      </x:c>
      <x:c r="C2220" s="21" t="str">
        <x:v>float</x:v>
      </x:c>
      <x:c r="D2220" s="21" t="str">
        <x:v>0.25</x:v>
      </x:c>
    </x:row>
    <x:row r="2221" ht="22" customHeight="1">
      <x:c r="A2221" s="21" t="str">
        <x:v>data/treasure/treasures.json</x:v>
      </x:c>
      <x:c r="B2221" s="21" t="str">
        <x:v>$/treasures/13/name_en</x:v>
      </x:c>
      <x:c r="C2221" s="21" t="str">
        <x:v>string</x:v>
      </x:c>
      <x:c r="D2221" s="21" t="str">
        <x:v>"Burst Core"</x:v>
      </x:c>
    </x:row>
    <x:row r="2222" ht="22" customHeight="1">
      <x:c r="A2222" s="21" t="str">
        <x:v>data/treasure/treasures.json</x:v>
      </x:c>
      <x:c r="B2222" s="21" t="str">
        <x:v>$/treasures/14</x:v>
      </x:c>
      <x:c r="C2222" s="21" t="str">
        <x:v>object</x:v>
      </x:c>
      <x:c r="D2222" s="21" t="str"/>
    </x:row>
    <x:row r="2223" ht="22" customHeight="1">
      <x:c r="A2223" s="21" t="str">
        <x:v>data/treasure/treasures.json</x:v>
      </x:c>
      <x:c r="B2223" s="21" t="str">
        <x:v>$/treasures/14/id</x:v>
      </x:c>
      <x:c r="C2223" s="21" t="str">
        <x:v>string</x:v>
      </x:c>
      <x:c r="D2223" s="21" t="str">
        <x:v>"atk_wail_resonance"</x:v>
      </x:c>
    </x:row>
    <x:row r="2224" ht="22" customHeight="1">
      <x:c r="A2224" s="21" t="str">
        <x:v>data/treasure/treasures.json</x:v>
      </x:c>
      <x:c r="B2224" s="21" t="str">
        <x:v>$/treasures/14/name</x:v>
      </x:c>
      <x:c r="C2224" s="21" t="str">
        <x:v>string</x:v>
      </x:c>
      <x:c r="D2224" s="21" t="str">
        <x:v>"哀鸣共鸣"</x:v>
      </x:c>
    </x:row>
    <x:row r="2225" ht="22" customHeight="1">
      <x:c r="A2225" s="21" t="str">
        <x:v>data/treasure/treasures.json</x:v>
      </x:c>
      <x:c r="B2225" s="21" t="str">
        <x:v>$/treasures/14/category</x:v>
      </x:c>
      <x:c r="C2225" s="21" t="str">
        <x:v>string</x:v>
      </x:c>
      <x:c r="D2225" s="21" t="str">
        <x:v>"attack"</x:v>
      </x:c>
    </x:row>
    <x:row r="2226" ht="22" customHeight="1">
      <x:c r="A2226" s="21" t="str">
        <x:v>data/treasure/treasures.json</x:v>
      </x:c>
      <x:c r="B2226" s="21" t="str">
        <x:v>$/treasures/14/kill_radius</x:v>
      </x:c>
      <x:c r="C2226" s="21" t="str">
        <x:v>float</x:v>
      </x:c>
      <x:c r="D2226" s="21" t="str">
        <x:v>180.0</x:v>
      </x:c>
    </x:row>
    <x:row r="2227" ht="22" customHeight="1">
      <x:c r="A2227" s="21" t="str">
        <x:v>data/treasure/treasures.json</x:v>
      </x:c>
      <x:c r="B2227" s="21" t="str">
        <x:v>$/treasures/14/max_hp_true_damage</x:v>
      </x:c>
      <x:c r="C2227" s="21" t="str">
        <x:v>float</x:v>
      </x:c>
      <x:c r="D2227" s="21" t="str">
        <x:v>0.15</x:v>
      </x:c>
    </x:row>
    <x:row r="2228" ht="22" customHeight="1">
      <x:c r="A2228" s="21" t="str">
        <x:v>data/treasure/treasures.json</x:v>
      </x:c>
      <x:c r="B2228" s="21" t="str">
        <x:v>$/treasures/14/name_en</x:v>
      </x:c>
      <x:c r="C2228" s="21" t="str">
        <x:v>string</x:v>
      </x:c>
      <x:c r="D2228" s="21" t="str">
        <x:v>"Wail Resonance"</x:v>
      </x:c>
    </x:row>
    <x:row r="2229" ht="22" customHeight="1">
      <x:c r="A2229" s="21" t="str">
        <x:v>data/treasure/treasures.json</x:v>
      </x:c>
      <x:c r="B2229" s="21" t="str">
        <x:v>$/treasures/15</x:v>
      </x:c>
      <x:c r="C2229" s="21" t="str">
        <x:v>object</x:v>
      </x:c>
      <x:c r="D2229" s="21" t="str"/>
    </x:row>
    <x:row r="2230" ht="22" customHeight="1">
      <x:c r="A2230" s="21" t="str">
        <x:v>data/treasure/treasures.json</x:v>
      </x:c>
      <x:c r="B2230" s="21" t="str">
        <x:v>$/treasures/15/id</x:v>
      </x:c>
      <x:c r="C2230" s="21" t="str">
        <x:v>string</x:v>
      </x:c>
      <x:c r="D2230" s="21" t="str">
        <x:v>"atk_frenzy_assault"</x:v>
      </x:c>
    </x:row>
    <x:row r="2231" ht="22" customHeight="1">
      <x:c r="A2231" s="21" t="str">
        <x:v>data/treasure/treasures.json</x:v>
      </x:c>
      <x:c r="B2231" s="21" t="str">
        <x:v>$/treasures/15/name</x:v>
      </x:c>
      <x:c r="C2231" s="21" t="str">
        <x:v>string</x:v>
      </x:c>
      <x:c r="D2231" s="21" t="str">
        <x:v>"狂暴进攻"</x:v>
      </x:c>
    </x:row>
    <x:row r="2232" ht="22" customHeight="1">
      <x:c r="A2232" s="21" t="str">
        <x:v>data/treasure/treasures.json</x:v>
      </x:c>
      <x:c r="B2232" s="21" t="str">
        <x:v>$/treasures/15/category</x:v>
      </x:c>
      <x:c r="C2232" s="21" t="str">
        <x:v>string</x:v>
      </x:c>
      <x:c r="D2232" s="21" t="str">
        <x:v>"attack"</x:v>
      </x:c>
    </x:row>
    <x:row r="2233" ht="22" customHeight="1">
      <x:c r="A2233" s="21" t="str">
        <x:v>data/treasure/treasures.json</x:v>
      </x:c>
      <x:c r="B2233" s="21" t="str">
        <x:v>$/treasures/15/name_en</x:v>
      </x:c>
      <x:c r="C2233" s="21" t="str">
        <x:v>string</x:v>
      </x:c>
      <x:c r="D2233" s="21" t="str">
        <x:v>"Frenzy Assault"</x:v>
      </x:c>
    </x:row>
    <x:row r="2234" ht="22" customHeight="1">
      <x:c r="A2234" s="21" t="str">
        <x:v>data/treasure/treasures.json</x:v>
      </x:c>
      <x:c r="B2234" s="21" t="str">
        <x:v>$/treasures/16</x:v>
      </x:c>
      <x:c r="C2234" s="21" t="str">
        <x:v>object</x:v>
      </x:c>
      <x:c r="D2234" s="21" t="str"/>
    </x:row>
    <x:row r="2235" ht="22" customHeight="1">
      <x:c r="A2235" s="21" t="str">
        <x:v>data/treasure/treasures.json</x:v>
      </x:c>
      <x:c r="B2235" s="21" t="str">
        <x:v>$/treasures/16/id</x:v>
      </x:c>
      <x:c r="C2235" s="21" t="str">
        <x:v>string</x:v>
      </x:c>
      <x:c r="D2235" s="21" t="str">
        <x:v>"money_compound"</x:v>
      </x:c>
    </x:row>
    <x:row r="2236" ht="22" customHeight="1">
      <x:c r="A2236" s="21" t="str">
        <x:v>data/treasure/treasures.json</x:v>
      </x:c>
      <x:c r="B2236" s="21" t="str">
        <x:v>$/treasures/16/name</x:v>
      </x:c>
      <x:c r="C2236" s="21" t="str">
        <x:v>string</x:v>
      </x:c>
      <x:c r="D2236" s="21" t="str">
        <x:v>"复利之道"</x:v>
      </x:c>
    </x:row>
    <x:row r="2237" ht="22" customHeight="1">
      <x:c r="A2237" s="21" t="str">
        <x:v>data/treasure/treasures.json</x:v>
      </x:c>
      <x:c r="B2237" s="21" t="str">
        <x:v>$/treasures/16/category</x:v>
      </x:c>
      <x:c r="C2237" s="21" t="str">
        <x:v>string</x:v>
      </x:c>
      <x:c r="D2237" s="21" t="str">
        <x:v>"money"</x:v>
      </x:c>
    </x:row>
    <x:row r="2238" ht="22" customHeight="1">
      <x:c r="A2238" s="21" t="str">
        <x:v>data/treasure/treasures.json</x:v>
      </x:c>
      <x:c r="B2238" s="21" t="str">
        <x:v>$/treasures/16/name_en</x:v>
      </x:c>
      <x:c r="C2238" s="21" t="str">
        <x:v>string</x:v>
      </x:c>
      <x:c r="D2238" s="21" t="str">
        <x:v>"Compound Interest"</x:v>
      </x:c>
    </x:row>
    <x:row r="2239" ht="22" customHeight="1">
      <x:c r="A2239" s="21" t="str">
        <x:v>data/treasure/treasures.json</x:v>
      </x:c>
      <x:c r="B2239" s="21" t="str">
        <x:v>$/treasures/17</x:v>
      </x:c>
      <x:c r="C2239" s="21" t="str">
        <x:v>object</x:v>
      </x:c>
      <x:c r="D2239" s="21" t="str"/>
    </x:row>
    <x:row r="2240" ht="22" customHeight="1">
      <x:c r="A2240" s="21" t="str">
        <x:v>data/treasure/treasures.json</x:v>
      </x:c>
      <x:c r="B2240" s="21" t="str">
        <x:v>$/treasures/17/id</x:v>
      </x:c>
      <x:c r="C2240" s="21" t="str">
        <x:v>string</x:v>
      </x:c>
      <x:c r="D2240" s="21" t="str">
        <x:v>"money_generous_fate"</x:v>
      </x:c>
    </x:row>
    <x:row r="2241" ht="22" customHeight="1">
      <x:c r="A2241" s="21" t="str">
        <x:v>data/treasure/treasures.json</x:v>
      </x:c>
      <x:c r="B2241" s="21" t="str">
        <x:v>$/treasures/17/name</x:v>
      </x:c>
      <x:c r="C2241" s="21" t="str">
        <x:v>string</x:v>
      </x:c>
      <x:c r="D2241" s="21" t="str">
        <x:v>"慷慨命运"</x:v>
      </x:c>
    </x:row>
    <x:row r="2242" ht="22" customHeight="1">
      <x:c r="A2242" s="21" t="str">
        <x:v>data/treasure/treasures.json</x:v>
      </x:c>
      <x:c r="B2242" s="21" t="str">
        <x:v>$/treasures/17/category</x:v>
      </x:c>
      <x:c r="C2242" s="21" t="str">
        <x:v>string</x:v>
      </x:c>
      <x:c r="D2242" s="21" t="str">
        <x:v>"money"</x:v>
      </x:c>
    </x:row>
    <x:row r="2243" ht="22" customHeight="1">
      <x:c r="A2243" s="21" t="str">
        <x:v>data/treasure/treasures.json</x:v>
      </x:c>
      <x:c r="B2243" s="21" t="str">
        <x:v>$/treasures/17/name_en</x:v>
      </x:c>
      <x:c r="C2243" s="21" t="str">
        <x:v>string</x:v>
      </x:c>
      <x:c r="D2243" s="21" t="str">
        <x:v>"Generous Fate"</x:v>
      </x:c>
    </x:row>
    <x:row r="2244" ht="22" customHeight="1">
      <x:c r="A2244" s="21" t="str">
        <x:v>data/treasure/treasures.json</x:v>
      </x:c>
      <x:c r="B2244" s="21" t="str">
        <x:v>$/treasures/18</x:v>
      </x:c>
      <x:c r="C2244" s="21" t="str">
        <x:v>object</x:v>
      </x:c>
      <x:c r="D2244" s="21" t="str"/>
    </x:row>
    <x:row r="2245" ht="22" customHeight="1">
      <x:c r="A2245" s="21" t="str">
        <x:v>data/treasure/treasures.json</x:v>
      </x:c>
      <x:c r="B2245" s="21" t="str">
        <x:v>$/treasures/18/id</x:v>
      </x:c>
      <x:c r="C2245" s="21" t="str">
        <x:v>string</x:v>
      </x:c>
      <x:c r="D2245" s="21" t="str">
        <x:v>"money_discount"</x:v>
      </x:c>
    </x:row>
    <x:row r="2246" ht="22" customHeight="1">
      <x:c r="A2246" s="21" t="str">
        <x:v>data/treasure/treasures.json</x:v>
      </x:c>
      <x:c r="B2246" s="21" t="str">
        <x:v>$/treasures/18/name</x:v>
      </x:c>
      <x:c r="C2246" s="21" t="str">
        <x:v>string</x:v>
      </x:c>
      <x:c r="D2246" s="21" t="str">
        <x:v>"折扣令牌"</x:v>
      </x:c>
    </x:row>
    <x:row r="2247" ht="22" customHeight="1">
      <x:c r="A2247" s="21" t="str">
        <x:v>data/treasure/treasures.json</x:v>
      </x:c>
      <x:c r="B2247" s="21" t="str">
        <x:v>$/treasures/18/category</x:v>
      </x:c>
      <x:c r="C2247" s="21" t="str">
        <x:v>string</x:v>
      </x:c>
      <x:c r="D2247" s="21" t="str">
        <x:v>"money"</x:v>
      </x:c>
    </x:row>
    <x:row r="2248" ht="22" customHeight="1">
      <x:c r="A2248" s="21" t="str">
        <x:v>data/treasure/treasures.json</x:v>
      </x:c>
      <x:c r="B2248" s="21" t="str">
        <x:v>$/treasures/18/name_en</x:v>
      </x:c>
      <x:c r="C2248" s="21" t="str">
        <x:v>string</x:v>
      </x:c>
      <x:c r="D2248" s="21" t="str">
        <x:v>"Discount Token"</x:v>
      </x:c>
    </x:row>
    <x:row r="2249" ht="22" customHeight="1">
      <x:c r="A2249" s="21" t="str">
        <x:v>data/treasure/treasures.json</x:v>
      </x:c>
      <x:c r="B2249" s="21" t="str">
        <x:v>$/treasures/19</x:v>
      </x:c>
      <x:c r="C2249" s="21" t="str">
        <x:v>object</x:v>
      </x:c>
      <x:c r="D2249" s="21" t="str"/>
    </x:row>
    <x:row r="2250" ht="22" customHeight="1">
      <x:c r="A2250" s="21" t="str">
        <x:v>data/treasure/treasures.json</x:v>
      </x:c>
      <x:c r="B2250" s="21" t="str">
        <x:v>$/treasures/19/id</x:v>
      </x:c>
      <x:c r="C2250" s="21" t="str">
        <x:v>string</x:v>
      </x:c>
      <x:c r="D2250" s="21" t="str">
        <x:v>"money_golden_altar"</x:v>
      </x:c>
    </x:row>
    <x:row r="2251" ht="22" customHeight="1">
      <x:c r="A2251" s="21" t="str">
        <x:v>data/treasure/treasures.json</x:v>
      </x:c>
      <x:c r="B2251" s="21" t="str">
        <x:v>$/treasures/19/name</x:v>
      </x:c>
      <x:c r="C2251" s="21" t="str">
        <x:v>string</x:v>
      </x:c>
      <x:c r="D2251" s="21" t="str">
        <x:v>"黄金祭坛"</x:v>
      </x:c>
    </x:row>
    <x:row r="2252" ht="22" customHeight="1">
      <x:c r="A2252" s="21" t="str">
        <x:v>data/treasure/treasures.json</x:v>
      </x:c>
      <x:c r="B2252" s="21" t="str">
        <x:v>$/treasures/19/category</x:v>
      </x:c>
      <x:c r="C2252" s="21" t="str">
        <x:v>string</x:v>
      </x:c>
      <x:c r="D2252" s="21" t="str">
        <x:v>"money"</x:v>
      </x:c>
    </x:row>
    <x:row r="2253" ht="22" customHeight="1">
      <x:c r="A2253" s="21" t="str">
        <x:v>data/treasure/treasures.json</x:v>
      </x:c>
      <x:c r="B2253" s="21" t="str">
        <x:v>$/treasures/19/name_en</x:v>
      </x:c>
      <x:c r="C2253" s="21" t="str">
        <x:v>string</x:v>
      </x:c>
      <x:c r="D2253" s="21" t="str">
        <x:v>"Golden Altar"</x:v>
      </x:c>
    </x:row>
    <x:row r="2254" ht="22" customHeight="1">
      <x:c r="A2254" s="21" t="str">
        <x:v>data/treasure/treasures.json</x:v>
      </x:c>
      <x:c r="B2254" s="21" t="str">
        <x:v>$/treasures/20</x:v>
      </x:c>
      <x:c r="C2254" s="21" t="str">
        <x:v>object</x:v>
      </x:c>
      <x:c r="D2254" s="21" t="str"/>
    </x:row>
    <x:row r="2255" ht="22" customHeight="1">
      <x:c r="A2255" s="21" t="str">
        <x:v>data/treasure/treasures.json</x:v>
      </x:c>
      <x:c r="B2255" s="21" t="str">
        <x:v>$/treasures/20/id</x:v>
      </x:c>
      <x:c r="C2255" s="21" t="str">
        <x:v>string</x:v>
      </x:c>
      <x:c r="D2255" s="21" t="str">
        <x:v>"money_lucky_envelope"</x:v>
      </x:c>
    </x:row>
    <x:row r="2256" ht="22" customHeight="1">
      <x:c r="A2256" s="21" t="str">
        <x:v>data/treasure/treasures.json</x:v>
      </x:c>
      <x:c r="B2256" s="21" t="str">
        <x:v>$/treasures/20/name</x:v>
      </x:c>
      <x:c r="C2256" s="21" t="str">
        <x:v>string</x:v>
      </x:c>
      <x:c r="D2256" s="21" t="str">
        <x:v>"幸运信封"</x:v>
      </x:c>
    </x:row>
    <x:row r="2257" ht="22" customHeight="1">
      <x:c r="A2257" s="21" t="str">
        <x:v>data/treasure/treasures.json</x:v>
      </x:c>
      <x:c r="B2257" s="21" t="str">
        <x:v>$/treasures/20/category</x:v>
      </x:c>
      <x:c r="C2257" s="21" t="str">
        <x:v>string</x:v>
      </x:c>
      <x:c r="D2257" s="21" t="str">
        <x:v>"money"</x:v>
      </x:c>
    </x:row>
    <x:row r="2258" ht="22" customHeight="1">
      <x:c r="A2258" s="21" t="str">
        <x:v>data/treasure/treasures.json</x:v>
      </x:c>
      <x:c r="B2258" s="21" t="str">
        <x:v>$/treasures/20/name_en</x:v>
      </x:c>
      <x:c r="C2258" s="21" t="str">
        <x:v>string</x:v>
      </x:c>
      <x:c r="D2258" s="21" t="str">
        <x:v>"Lucky Envelope"</x:v>
      </x:c>
    </x:row>
    <x:row r="2259" ht="22" customHeight="1">
      <x:c r="A2259" s="21" t="str">
        <x:v>data/treasure/treasures.json</x:v>
      </x:c>
      <x:c r="B2259" s="21" t="str">
        <x:v>$/treasures/21</x:v>
      </x:c>
      <x:c r="C2259" s="21" t="str">
        <x:v>object</x:v>
      </x:c>
      <x:c r="D2259" s="21" t="str"/>
    </x:row>
    <x:row r="2260" ht="22" customHeight="1">
      <x:c r="A2260" s="21" t="str">
        <x:v>data/treasure/treasures.json</x:v>
      </x:c>
      <x:c r="B2260" s="21" t="str">
        <x:v>$/treasures/21/id</x:v>
      </x:c>
      <x:c r="C2260" s="21" t="str">
        <x:v>string</x:v>
      </x:c>
      <x:c r="D2260" s="21" t="str">
        <x:v>"elem_flame_shatter"</x:v>
      </x:c>
    </x:row>
    <x:row r="2261" ht="22" customHeight="1">
      <x:c r="A2261" s="21" t="str">
        <x:v>data/treasure/treasures.json</x:v>
      </x:c>
      <x:c r="B2261" s="21" t="str">
        <x:v>$/treasures/21/name</x:v>
      </x:c>
      <x:c r="C2261" s="21" t="str">
        <x:v>string</x:v>
      </x:c>
      <x:c r="D2261" s="21" t="str">
        <x:v>"炎焰碎裂"</x:v>
      </x:c>
    </x:row>
    <x:row r="2262" ht="22" customHeight="1">
      <x:c r="A2262" s="21" t="str">
        <x:v>data/treasure/treasures.json</x:v>
      </x:c>
      <x:c r="B2262" s="21" t="str">
        <x:v>$/treasures/21/category</x:v>
      </x:c>
      <x:c r="C2262" s="21" t="str">
        <x:v>string</x:v>
      </x:c>
      <x:c r="D2262" s="21" t="str">
        <x:v>"element"</x:v>
      </x:c>
    </x:row>
    <x:row r="2263" ht="22" customHeight="1">
      <x:c r="A2263" s="21" t="str">
        <x:v>data/treasure/treasures.json</x:v>
      </x:c>
      <x:c r="B2263" s="21" t="str">
        <x:v>$/treasures/21/proc_chance</x:v>
      </x:c>
      <x:c r="C2263" s="21" t="str">
        <x:v>float</x:v>
      </x:c>
      <x:c r="D2263" s="21" t="str">
        <x:v>0.25</x:v>
      </x:c>
    </x:row>
    <x:row r="2264" ht="22" customHeight="1">
      <x:c r="A2264" s="21" t="str">
        <x:v>data/treasure/treasures.json</x:v>
      </x:c>
      <x:c r="B2264" s="21" t="str">
        <x:v>$/treasures/21/true_damage_atk_pct</x:v>
      </x:c>
      <x:c r="C2264" s="21" t="str">
        <x:v>float</x:v>
      </x:c>
      <x:c r="D2264" s="21" t="str">
        <x:v>0.4</x:v>
      </x:c>
    </x:row>
    <x:row r="2265" ht="22" customHeight="1">
      <x:c r="A2265" s="21" t="str">
        <x:v>data/treasure/treasures.json</x:v>
      </x:c>
      <x:c r="B2265" s="21" t="str">
        <x:v>$/treasures/21/name_en</x:v>
      </x:c>
      <x:c r="C2265" s="21" t="str">
        <x:v>string</x:v>
      </x:c>
      <x:c r="D2265" s="21" t="str">
        <x:v>"Flame Shatter"</x:v>
      </x:c>
    </x:row>
    <x:row r="2266" ht="22" customHeight="1">
      <x:c r="A2266" s="21" t="str">
        <x:v>data/treasure/treasures.json</x:v>
      </x:c>
      <x:c r="B2266" s="21" t="str">
        <x:v>$/treasures/22</x:v>
      </x:c>
      <x:c r="C2266" s="21" t="str">
        <x:v>object</x:v>
      </x:c>
      <x:c r="D2266" s="21" t="str"/>
    </x:row>
    <x:row r="2267" ht="22" customHeight="1">
      <x:c r="A2267" s="21" t="str">
        <x:v>data/treasure/treasures.json</x:v>
      </x:c>
      <x:c r="B2267" s="21" t="str">
        <x:v>$/treasures/22/id</x:v>
      </x:c>
      <x:c r="C2267" s="21" t="str">
        <x:v>string</x:v>
      </x:c>
      <x:c r="D2267" s="21" t="str">
        <x:v>"elem_frost_blade"</x:v>
      </x:c>
    </x:row>
    <x:row r="2268" ht="22" customHeight="1">
      <x:c r="A2268" s="21" t="str">
        <x:v>data/treasure/treasures.json</x:v>
      </x:c>
      <x:c r="B2268" s="21" t="str">
        <x:v>$/treasures/22/name</x:v>
      </x:c>
      <x:c r="C2268" s="21" t="str">
        <x:v>string</x:v>
      </x:c>
      <x:c r="D2268" s="21" t="str">
        <x:v>"冰封霜刃"</x:v>
      </x:c>
    </x:row>
    <x:row r="2269" ht="22" customHeight="1">
      <x:c r="A2269" s="21" t="str">
        <x:v>data/treasure/treasures.json</x:v>
      </x:c>
      <x:c r="B2269" s="21" t="str">
        <x:v>$/treasures/22/category</x:v>
      </x:c>
      <x:c r="C2269" s="21" t="str">
        <x:v>string</x:v>
      </x:c>
      <x:c r="D2269" s="21" t="str">
        <x:v>"element"</x:v>
      </x:c>
    </x:row>
    <x:row r="2270" ht="22" customHeight="1">
      <x:c r="A2270" s="21" t="str">
        <x:v>data/treasure/treasures.json</x:v>
      </x:c>
      <x:c r="B2270" s="21" t="str">
        <x:v>$/treasures/22/proc_chance</x:v>
      </x:c>
      <x:c r="C2270" s="21" t="str">
        <x:v>float</x:v>
      </x:c>
      <x:c r="D2270" s="21" t="str">
        <x:v>0.25</x:v>
      </x:c>
    </x:row>
    <x:row r="2271" ht="22" customHeight="1">
      <x:c r="A2271" s="21" t="str">
        <x:v>data/treasure/treasures.json</x:v>
      </x:c>
      <x:c r="B2271" s="21" t="str">
        <x:v>$/treasures/22/move_down</x:v>
      </x:c>
      <x:c r="C2271" s="21" t="str">
        <x:v>float</x:v>
      </x:c>
      <x:c r="D2271" s="21" t="str">
        <x:v>0.35</x:v>
      </x:c>
    </x:row>
    <x:row r="2272" ht="22" customHeight="1">
      <x:c r="A2272" s="21" t="str">
        <x:v>data/treasure/treasures.json</x:v>
      </x:c>
      <x:c r="B2272" s="21" t="str">
        <x:v>$/treasures/22/attack_speed_down</x:v>
      </x:c>
      <x:c r="C2272" s="21" t="str">
        <x:v>float</x:v>
      </x:c>
      <x:c r="D2272" s="21" t="str">
        <x:v>0.5</x:v>
      </x:c>
    </x:row>
    <x:row r="2273" ht="22" customHeight="1">
      <x:c r="A2273" s="21" t="str">
        <x:v>data/treasure/treasures.json</x:v>
      </x:c>
      <x:c r="B2273" s="21" t="str">
        <x:v>$/treasures/22/duration</x:v>
      </x:c>
      <x:c r="C2273" s="21" t="str">
        <x:v>float</x:v>
      </x:c>
      <x:c r="D2273" s="21" t="str">
        <x:v>2.0</x:v>
      </x:c>
    </x:row>
    <x:row r="2274" ht="22" customHeight="1">
      <x:c r="A2274" s="21" t="str">
        <x:v>data/treasure/treasures.json</x:v>
      </x:c>
      <x:c r="B2274" s="21" t="str">
        <x:v>$/treasures/22/name_en</x:v>
      </x:c>
      <x:c r="C2274" s="21" t="str">
        <x:v>string</x:v>
      </x:c>
      <x:c r="D2274" s="21" t="str">
        <x:v>"Frost Blade"</x:v>
      </x:c>
    </x:row>
    <x:row r="2275" ht="22" customHeight="1">
      <x:c r="A2275" s="21" t="str">
        <x:v>data/treasure/treasures.json</x:v>
      </x:c>
      <x:c r="B2275" s="21" t="str">
        <x:v>$/treasures/23</x:v>
      </x:c>
      <x:c r="C2275" s="21" t="str">
        <x:v>object</x:v>
      </x:c>
      <x:c r="D2275" s="21" t="str"/>
    </x:row>
    <x:row r="2276" ht="22" customHeight="1">
      <x:c r="A2276" s="21" t="str">
        <x:v>data/treasure/treasures.json</x:v>
      </x:c>
      <x:c r="B2276" s="21" t="str">
        <x:v>$/treasures/23/id</x:v>
      </x:c>
      <x:c r="C2276" s="21" t="str">
        <x:v>string</x:v>
      </x:c>
      <x:c r="D2276" s="21" t="str">
        <x:v>"elem_thunder_haste"</x:v>
      </x:c>
    </x:row>
    <x:row r="2277" ht="22" customHeight="1">
      <x:c r="A2277" s="21" t="str">
        <x:v>data/treasure/treasures.json</x:v>
      </x:c>
      <x:c r="B2277" s="21" t="str">
        <x:v>$/treasures/23/name</x:v>
      </x:c>
      <x:c r="C2277" s="21" t="str">
        <x:v>string</x:v>
      </x:c>
      <x:c r="D2277" s="21" t="str">
        <x:v>"雷霆加速"</x:v>
      </x:c>
    </x:row>
    <x:row r="2278" ht="22" customHeight="1">
      <x:c r="A2278" s="21" t="str">
        <x:v>data/treasure/treasures.json</x:v>
      </x:c>
      <x:c r="B2278" s="21" t="str">
        <x:v>$/treasures/23/category</x:v>
      </x:c>
      <x:c r="C2278" s="21" t="str">
        <x:v>string</x:v>
      </x:c>
      <x:c r="D2278" s="21" t="str">
        <x:v>"element"</x:v>
      </x:c>
    </x:row>
    <x:row r="2279" ht="22" customHeight="1">
      <x:c r="A2279" s="21" t="str">
        <x:v>data/treasure/treasures.json</x:v>
      </x:c>
      <x:c r="B2279" s="21" t="str">
        <x:v>$/treasures/23/proc_chance</x:v>
      </x:c>
      <x:c r="C2279" s="21" t="str">
        <x:v>float</x:v>
      </x:c>
      <x:c r="D2279" s="21" t="str">
        <x:v>0.25</x:v>
      </x:c>
    </x:row>
    <x:row r="2280" ht="22" customHeight="1">
      <x:c r="A2280" s="21" t="str">
        <x:v>data/treasure/treasures.json</x:v>
      </x:c>
      <x:c r="B2280" s="21" t="str">
        <x:v>$/treasures/23/attack_speed_bonus</x:v>
      </x:c>
      <x:c r="C2280" s="21" t="str">
        <x:v>float</x:v>
      </x:c>
      <x:c r="D2280" s="21" t="str">
        <x:v>0.6</x:v>
      </x:c>
    </x:row>
    <x:row r="2281" ht="22" customHeight="1">
      <x:c r="A2281" s="21" t="str">
        <x:v>data/treasure/treasures.json</x:v>
      </x:c>
      <x:c r="B2281" s="21" t="str">
        <x:v>$/treasures/23/duration</x:v>
      </x:c>
      <x:c r="C2281" s="21" t="str">
        <x:v>float</x:v>
      </x:c>
      <x:c r="D2281" s="21" t="str">
        <x:v>3.0</x:v>
      </x:c>
    </x:row>
    <x:row r="2282" ht="22" customHeight="1">
      <x:c r="A2282" s="21" t="str">
        <x:v>data/treasure/treasures.json</x:v>
      </x:c>
      <x:c r="B2282" s="21" t="str">
        <x:v>$/treasures/23/name_en</x:v>
      </x:c>
      <x:c r="C2282" s="21" t="str">
        <x:v>string</x:v>
      </x:c>
      <x:c r="D2282" s="21" t="str">
        <x:v>"Thunder Haste"</x:v>
      </x:c>
    </x:row>
    <x:row r="2283" ht="22" customHeight="1">
      <x:c r="A2283" s="21" t="str">
        <x:v>data/treasure/treasures.json</x:v>
      </x:c>
      <x:c r="B2283" s="21" t="str">
        <x:v>$/treasures/24</x:v>
      </x:c>
      <x:c r="C2283" s="21" t="str">
        <x:v>object</x:v>
      </x:c>
      <x:c r="D2283" s="21" t="str"/>
    </x:row>
    <x:row r="2284" ht="22" customHeight="1">
      <x:c r="A2284" s="21" t="str">
        <x:v>data/treasure/treasures.json</x:v>
      </x:c>
      <x:c r="B2284" s="21" t="str">
        <x:v>$/treasures/24/id</x:v>
      </x:c>
      <x:c r="C2284" s="21" t="str">
        <x:v>string</x:v>
      </x:c>
      <x:c r="D2284" s="21" t="str">
        <x:v>"elem_toxic_spread"</x:v>
      </x:c>
    </x:row>
    <x:row r="2285" ht="22" customHeight="1">
      <x:c r="A2285" s="21" t="str">
        <x:v>data/treasure/treasures.json</x:v>
      </x:c>
      <x:c r="B2285" s="21" t="str">
        <x:v>$/treasures/24/name</x:v>
      </x:c>
      <x:c r="C2285" s="21" t="str">
        <x:v>string</x:v>
      </x:c>
      <x:c r="D2285" s="21" t="str">
        <x:v>"剧毒蔓延"</x:v>
      </x:c>
    </x:row>
    <x:row r="2286" ht="22" customHeight="1">
      <x:c r="A2286" s="21" t="str">
        <x:v>data/treasure/treasures.json</x:v>
      </x:c>
      <x:c r="B2286" s="21" t="str">
        <x:v>$/treasures/24/category</x:v>
      </x:c>
      <x:c r="C2286" s="21" t="str">
        <x:v>string</x:v>
      </x:c>
      <x:c r="D2286" s="21" t="str">
        <x:v>"element"</x:v>
      </x:c>
    </x:row>
    <x:row r="2287" ht="22" customHeight="1">
      <x:c r="A2287" s="21" t="str">
        <x:v>data/treasure/treasures.json</x:v>
      </x:c>
      <x:c r="B2287" s="21" t="str">
        <x:v>$/treasures/24/proc_chance</x:v>
      </x:c>
      <x:c r="C2287" s="21" t="str">
        <x:v>float</x:v>
      </x:c>
      <x:c r="D2287" s="21" t="str">
        <x:v>0.25</x:v>
      </x:c>
    </x:row>
    <x:row r="2288" ht="22" customHeight="1">
      <x:c r="A2288" s="21" t="str">
        <x:v>data/treasure/treasures.json</x:v>
      </x:c>
      <x:c r="B2288" s="21" t="str">
        <x:v>$/treasures/24/name_en</x:v>
      </x:c>
      <x:c r="C2288" s="21" t="str">
        <x:v>string</x:v>
      </x:c>
      <x:c r="D2288" s="21" t="str">
        <x:v>"Toxic Spread"</x:v>
      </x:c>
    </x:row>
    <x:row r="2289" ht="22" customHeight="1">
      <x:c r="A2289" s="21" t="str">
        <x:v>data/treasure/treasures.json</x:v>
      </x:c>
      <x:c r="B2289" s="21" t="str">
        <x:v>$/linkages</x:v>
      </x:c>
      <x:c r="C2289" s="21" t="str">
        <x:v>array</x:v>
      </x:c>
      <x:c r="D2289" s="21" t="str"/>
    </x:row>
    <x:row r="2290" ht="22" customHeight="1">
      <x:c r="A2290" s="21" t="str">
        <x:v>data/treasure/treasures.json</x:v>
      </x:c>
      <x:c r="B2290" s="21" t="str">
        <x:v>$/linkages/0</x:v>
      </x:c>
      <x:c r="C2290" s="21" t="str">
        <x:v>object</x:v>
      </x:c>
      <x:c r="D2290" s="21" t="str"/>
    </x:row>
    <x:row r="2291" ht="22" customHeight="1">
      <x:c r="A2291" s="21" t="str">
        <x:v>data/treasure/treasures.json</x:v>
      </x:c>
      <x:c r="B2291" s="21" t="str">
        <x:v>$/linkages/0/id</x:v>
      </x:c>
      <x:c r="C2291" s="21" t="str">
        <x:v>string</x:v>
      </x:c>
      <x:c r="D2291" s="21" t="str">
        <x:v>"link_phoenix"</x:v>
      </x:c>
    </x:row>
    <x:row r="2292" ht="22" customHeight="1">
      <x:c r="A2292" s="21" t="str">
        <x:v>data/treasure/treasures.json</x:v>
      </x:c>
      <x:c r="B2292" s="21" t="str">
        <x:v>$/linkages/0/requires</x:v>
      </x:c>
      <x:c r="C2292" s="21" t="str">
        <x:v>array</x:v>
      </x:c>
      <x:c r="D2292" s="21" t="str"/>
    </x:row>
    <x:row r="2293" ht="22" customHeight="1">
      <x:c r="A2293" s="21" t="str">
        <x:v>data/treasure/treasures.json</x:v>
      </x:c>
      <x:c r="B2293" s="21" t="str">
        <x:v>$/linkages/0/requires/0</x:v>
      </x:c>
      <x:c r="C2293" s="21" t="str">
        <x:v>string</x:v>
      </x:c>
      <x:c r="D2293" s="21" t="str">
        <x:v>"atk_wail_resonance"</x:v>
      </x:c>
    </x:row>
    <x:row r="2294" ht="22" customHeight="1">
      <x:c r="A2294" s="21" t="str">
        <x:v>data/treasure/treasures.json</x:v>
      </x:c>
      <x:c r="B2294" s="21" t="str">
        <x:v>$/linkages/0/requires/1</x:v>
      </x:c>
      <x:c r="C2294" s="21" t="str">
        <x:v>string</x:v>
      </x:c>
      <x:c r="D2294" s="21" t="str">
        <x:v>"def_soul_counter"</x:v>
      </x:c>
    </x:row>
    <x:row r="2295" ht="22" customHeight="1">
      <x:c r="A2295" s="21" t="str">
        <x:v>data/treasure/treasures.json</x:v>
      </x:c>
      <x:c r="B2295" s="21" t="str">
        <x:v>$/linkages/1</x:v>
      </x:c>
      <x:c r="C2295" s="21" t="str">
        <x:v>object</x:v>
      </x:c>
      <x:c r="D2295" s="21" t="str"/>
    </x:row>
    <x:row r="2296" ht="22" customHeight="1">
      <x:c r="A2296" s="21" t="str">
        <x:v>data/treasure/treasures.json</x:v>
      </x:c>
      <x:c r="B2296" s="21" t="str">
        <x:v>$/linkages/1/id</x:v>
      </x:c>
      <x:c r="C2296" s="21" t="str">
        <x:v>string</x:v>
      </x:c>
      <x:c r="D2296" s="21" t="str">
        <x:v>"link_money_magic"</x:v>
      </x:c>
    </x:row>
    <x:row r="2297" ht="22" customHeight="1">
      <x:c r="A2297" s="21" t="str">
        <x:v>data/treasure/treasures.json</x:v>
      </x:c>
      <x:c r="B2297" s="21" t="str">
        <x:v>$/linkages/1/requires</x:v>
      </x:c>
      <x:c r="C2297" s="21" t="str">
        <x:v>array</x:v>
      </x:c>
      <x:c r="D2297" s="21" t="str"/>
    </x:row>
    <x:row r="2298" ht="22" customHeight="1">
      <x:c r="A2298" s="21" t="str">
        <x:v>data/treasure/treasures.json</x:v>
      </x:c>
      <x:c r="B2298" s="21" t="str">
        <x:v>$/linkages/1/requires/0</x:v>
      </x:c>
      <x:c r="C2298" s="21" t="str">
        <x:v>string</x:v>
      </x:c>
      <x:c r="D2298" s="21" t="str">
        <x:v>"money_lucky_envelope"</x:v>
      </x:c>
    </x:row>
    <x:row r="2299" ht="22" customHeight="1">
      <x:c r="A2299" s="21" t="str">
        <x:v>data/treasure/treasures.json</x:v>
      </x:c>
      <x:c r="B2299" s="21" t="str">
        <x:v>$/linkages/1/requires/1</x:v>
      </x:c>
      <x:c r="C2299" s="21" t="str">
        <x:v>string</x:v>
      </x:c>
      <x:c r="D2299" s="21" t="str">
        <x:v>"ctrl_time_compress"</x:v>
      </x:c>
    </x:row>
    <x:row r="2300" ht="22" customHeight="1">
      <x:c r="A2300" s="21" t="str">
        <x:v>data/treasure/treasures.json</x:v>
      </x:c>
      <x:c r="B2300" s="21" t="str">
        <x:v>$/linkages/2</x:v>
      </x:c>
      <x:c r="C2300" s="21" t="str">
        <x:v>object</x:v>
      </x:c>
      <x:c r="D2300" s="21" t="str"/>
    </x:row>
    <x:row r="2301" ht="22" customHeight="1">
      <x:c r="A2301" s="21" t="str">
        <x:v>data/treasure/treasures.json</x:v>
      </x:c>
      <x:c r="B2301" s="21" t="str">
        <x:v>$/linkages/2/id</x:v>
      </x:c>
      <x:c r="C2301" s="21" t="str">
        <x:v>string</x:v>
      </x:c>
      <x:c r="D2301" s="21" t="str">
        <x:v>"link_blood_covenant"</x:v>
      </x:c>
    </x:row>
    <x:row r="2302" ht="22" customHeight="1">
      <x:c r="A2302" s="21" t="str">
        <x:v>data/treasure/treasures.json</x:v>
      </x:c>
      <x:c r="B2302" s="21" t="str">
        <x:v>$/linkages/2/requires</x:v>
      </x:c>
      <x:c r="C2302" s="21" t="str">
        <x:v>array</x:v>
      </x:c>
      <x:c r="D2302" s="21" t="str"/>
    </x:row>
    <x:row r="2303" ht="22" customHeight="1">
      <x:c r="A2303" s="21" t="str">
        <x:v>data/treasure/treasures.json</x:v>
      </x:c>
      <x:c r="B2303" s="21" t="str">
        <x:v>$/linkages/2/requires/0</x:v>
      </x:c>
      <x:c r="C2303" s="21" t="str">
        <x:v>string</x:v>
      </x:c>
      <x:c r="D2303" s="21" t="str">
        <x:v>"elem_flame_shatter"</x:v>
      </x:c>
    </x:row>
    <x:row r="2304" ht="22" customHeight="1">
      <x:c r="A2304" s="21" t="str">
        <x:v>data/treasure/treasures.json</x:v>
      </x:c>
      <x:c r="B2304" s="21" t="str">
        <x:v>$/linkages/2/requires/1</x:v>
      </x:c>
      <x:c r="C2304" s="21" t="str">
        <x:v>string</x:v>
      </x:c>
      <x:c r="D2304" s="21" t="str">
        <x:v>"def_lifesteal_emblem"</x:v>
      </x:c>
    </x:row>
    <x:row r="2305" ht="22" customHeight="1">
      <x:c r="A2305" s="21" t="str">
        <x:v>data/treasure/treasures.json</x:v>
      </x:c>
      <x:c r="B2305" s="21" t="str">
        <x:v>$/linkages/2/true_damage_atk_pct</x:v>
      </x:c>
      <x:c r="C2305" s="21" t="str">
        <x:v>float</x:v>
      </x:c>
      <x:c r="D2305" s="21" t="str">
        <x:v>1.0</x:v>
      </x:c>
    </x:row>
    <x:row r="2306" ht="22" customHeight="1">
      <x:c r="A2306" s="21" t="str">
        <x:v>data/treasure/treasures.json</x:v>
      </x:c>
      <x:c r="B2306" s="21" t="str">
        <x:v>$/linkages/3</x:v>
      </x:c>
      <x:c r="C2306" s="21" t="str">
        <x:v>object</x:v>
      </x:c>
      <x:c r="D2306" s="21" t="str"/>
    </x:row>
    <x:row r="2307" ht="22" customHeight="1">
      <x:c r="A2307" s="21" t="str">
        <x:v>data/treasure/treasures.json</x:v>
      </x:c>
      <x:c r="B2307" s="21" t="str">
        <x:v>$/linkages/3/id</x:v>
      </x:c>
      <x:c r="C2307" s="21" t="str">
        <x:v>string</x:v>
      </x:c>
      <x:c r="D2307" s="21" t="str">
        <x:v>"link_paralysis_shackles"</x:v>
      </x:c>
    </x:row>
    <x:row r="2308" ht="22" customHeight="1">
      <x:c r="A2308" s="21" t="str">
        <x:v>data/treasure/treasures.json</x:v>
      </x:c>
      <x:c r="B2308" s="21" t="str">
        <x:v>$/linkages/3/heal_reduction</x:v>
      </x:c>
      <x:c r="C2308" s="21" t="str">
        <x:v>float</x:v>
      </x:c>
      <x:c r="D2308" s="21" t="str">
        <x:v>0.75</x:v>
      </x:c>
    </x:row>
    <x:row r="2309" ht="22" customHeight="1">
      <x:c r="A2309" s="21" t="str">
        <x:v>data/treasure/treasures.json</x:v>
      </x:c>
      <x:c r="B2309" s="21" t="str">
        <x:v>$/linkages/3/requires</x:v>
      </x:c>
      <x:c r="C2309" s="21" t="str">
        <x:v>array</x:v>
      </x:c>
      <x:c r="D2309" s="21" t="str"/>
    </x:row>
    <x:row r="2310" ht="22" customHeight="1">
      <x:c r="A2310" s="21" t="str">
        <x:v>data/treasure/treasures.json</x:v>
      </x:c>
      <x:c r="B2310" s="21" t="str">
        <x:v>$/linkages/3/requires/0</x:v>
      </x:c>
      <x:c r="C2310" s="21" t="str">
        <x:v>string</x:v>
      </x:c>
      <x:c r="D2310" s="21" t="str">
        <x:v>"ctrl_interrupt_chain"</x:v>
      </x:c>
    </x:row>
    <x:row r="2311" ht="22" customHeight="1">
      <x:c r="A2311" s="21" t="str">
        <x:v>data/treasure/treasures.json</x:v>
      </x:c>
      <x:c r="B2311" s="21" t="str">
        <x:v>$/linkages/3/requires/1</x:v>
      </x:c>
      <x:c r="C2311" s="21" t="str">
        <x:v>string</x:v>
      </x:c>
      <x:c r="D2311" s="21" t="str">
        <x:v>"elem_frost_blade"</x:v>
      </x:c>
    </x:row>
    <x:row r="2312" ht="22" customHeight="1">
      <x:c r="A2312" s="21" t="str">
        <x:v>data/treasure/treasures.json</x:v>
      </x:c>
      <x:c r="B2312" s="21" t="str">
        <x:v>$/linkages/3/ice_damage_taken_bonus</x:v>
      </x:c>
      <x:c r="C2312" s="21" t="str">
        <x:v>float</x:v>
      </x:c>
      <x:c r="D2312" s="21" t="str">
        <x:v>0.25</x:v>
      </x:c>
    </x:row>
    <x:row r="2313" ht="22" customHeight="1">
      <x:c r="A2313" s="21" t="str">
        <x:v>data/treasure/treasures.json</x:v>
      </x:c>
      <x:c r="B2313" s="21" t="str">
        <x:v>$/linkages/4</x:v>
      </x:c>
      <x:c r="C2313" s="21" t="str">
        <x:v>object</x:v>
      </x:c>
      <x:c r="D2313" s="21" t="str"/>
    </x:row>
    <x:row r="2314" ht="22" customHeight="1">
      <x:c r="A2314" s="21" t="str">
        <x:v>data/treasure/treasures.json</x:v>
      </x:c>
      <x:c r="B2314" s="21" t="str">
        <x:v>$/linkages/4/id</x:v>
      </x:c>
      <x:c r="C2314" s="21" t="str">
        <x:v>string</x:v>
      </x:c>
      <x:c r="D2314" s="21" t="str">
        <x:v>"link_oppression_counter"</x:v>
      </x:c>
    </x:row>
    <x:row r="2315" ht="22" customHeight="1">
      <x:c r="A2315" s="21" t="str">
        <x:v>data/treasure/treasures.json</x:v>
      </x:c>
      <x:c r="B2315" s="21" t="str">
        <x:v>$/linkages/4/requires</x:v>
      </x:c>
      <x:c r="C2315" s="21" t="str">
        <x:v>array</x:v>
      </x:c>
      <x:c r="D2315" s="21" t="str"/>
    </x:row>
    <x:row r="2316" ht="22" customHeight="1">
      <x:c r="A2316" s="21" t="str">
        <x:v>data/treasure/treasures.json</x:v>
      </x:c>
      <x:c r="B2316" s="21" t="str">
        <x:v>$/linkages/4/requires/0</x:v>
      </x:c>
      <x:c r="C2316" s="21" t="str">
        <x:v>string</x:v>
      </x:c>
      <x:c r="D2316" s="21" t="str">
        <x:v>"ctrl_binding_weight"</x:v>
      </x:c>
    </x:row>
    <x:row r="2317" ht="22" customHeight="1">
      <x:c r="A2317" s="21" t="str">
        <x:v>data/treasure/treasures.json</x:v>
      </x:c>
      <x:c r="B2317" s="21" t="str">
        <x:v>$/linkages/4/requires/1</x:v>
      </x:c>
      <x:c r="C2317" s="21" t="str">
        <x:v>string</x:v>
      </x:c>
      <x:c r="D2317" s="21" t="str">
        <x:v>"atk_frenzy_assault"</x:v>
      </x:c>
    </x:row>
    <x:row r="2318" ht="22" customHeight="1">
      <x:c r="A2318" s="21" t="str">
        <x:v>data/treasure/treasures.json</x:v>
      </x:c>
      <x:c r="B2318" s="21" t="str">
        <x:v>$/linkages/5</x:v>
      </x:c>
      <x:c r="C2318" s="21" t="str">
        <x:v>object</x:v>
      </x:c>
      <x:c r="D2318" s="21" t="str"/>
    </x:row>
    <x:row r="2319" ht="22" customHeight="1">
      <x:c r="A2319" s="21" t="str">
        <x:v>data/treasure/treasures.json</x:v>
      </x:c>
      <x:c r="B2319" s="21" t="str">
        <x:v>$/linkages/5/id</x:v>
      </x:c>
      <x:c r="C2319" s="21" t="str">
        <x:v>string</x:v>
      </x:c>
      <x:c r="D2319" s="21" t="str">
        <x:v>"link_fraud_fate"</x:v>
      </x:c>
    </x:row>
    <x:row r="2320" ht="22" customHeight="1">
      <x:c r="A2320" s="21" t="str">
        <x:v>data/treasure/treasures.json</x:v>
      </x:c>
      <x:c r="B2320" s="21" t="str">
        <x:v>$/linkages/5/requires</x:v>
      </x:c>
      <x:c r="C2320" s="21" t="str">
        <x:v>array</x:v>
      </x:c>
      <x:c r="D2320" s="21" t="str"/>
    </x:row>
    <x:row r="2321" ht="22" customHeight="1">
      <x:c r="A2321" s="21" t="str">
        <x:v>data/treasure/treasures.json</x:v>
      </x:c>
      <x:c r="B2321" s="21" t="str">
        <x:v>$/linkages/5/requires/0</x:v>
      </x:c>
      <x:c r="C2321" s="21" t="str">
        <x:v>string</x:v>
      </x:c>
      <x:c r="D2321" s="21" t="str">
        <x:v>"def_phantom_step"</x:v>
      </x:c>
    </x:row>
    <x:row r="2322" ht="22" customHeight="1">
      <x:c r="A2322" s="21" t="str">
        <x:v>data/treasure/treasures.json</x:v>
      </x:c>
      <x:c r="B2322" s="21" t="str">
        <x:v>$/linkages/5/requires/1</x:v>
      </x:c>
      <x:c r="C2322" s="21" t="str">
        <x:v>string</x:v>
      </x:c>
      <x:c r="D2322" s="21" t="str">
        <x:v>"money_generous_fate"</x:v>
      </x:c>
    </x:row>
    <x:row r="2323" ht="22" customHeight="1">
      <x:c r="A2323" s="21" t="str">
        <x:v>data/treasure/treasures.json</x:v>
      </x:c>
      <x:c r="B2323" s="21" t="str">
        <x:v>$/linkages/6</x:v>
      </x:c>
      <x:c r="C2323" s="21" t="str">
        <x:v>object</x:v>
      </x:c>
      <x:c r="D2323" s="21" t="str"/>
    </x:row>
    <x:row r="2324" ht="22" customHeight="1">
      <x:c r="A2324" s="21" t="str">
        <x:v>data/treasure/treasures.json</x:v>
      </x:c>
      <x:c r="B2324" s="21" t="str">
        <x:v>$/linkages/6/id</x:v>
      </x:c>
      <x:c r="C2324" s="21" t="str">
        <x:v>string</x:v>
      </x:c>
      <x:c r="D2324" s="21" t="str">
        <x:v>"link_iron_maiden"</x:v>
      </x:c>
    </x:row>
    <x:row r="2325" ht="22" customHeight="1">
      <x:c r="A2325" s="21" t="str">
        <x:v>data/treasure/treasures.json</x:v>
      </x:c>
      <x:c r="B2325" s="21" t="str">
        <x:v>$/linkages/6/requires</x:v>
      </x:c>
      <x:c r="C2325" s="21" t="str">
        <x:v>array</x:v>
      </x:c>
      <x:c r="D2325" s="21" t="str"/>
    </x:row>
    <x:row r="2326" ht="22" customHeight="1">
      <x:c r="A2326" s="21" t="str">
        <x:v>data/treasure/treasures.json</x:v>
      </x:c>
      <x:c r="B2326" s="21" t="str">
        <x:v>$/linkages/6/requires/0</x:v>
      </x:c>
      <x:c r="C2326" s="21" t="str">
        <x:v>string</x:v>
      </x:c>
      <x:c r="D2326" s="21" t="str">
        <x:v>"def_iron_wall"</x:v>
      </x:c>
    </x:row>
    <x:row r="2327" ht="22" customHeight="1">
      <x:c r="A2327" s="21" t="str">
        <x:v>data/treasure/treasures.json</x:v>
      </x:c>
      <x:c r="B2327" s="21" t="str">
        <x:v>$/linkages/6/requires/1</x:v>
      </x:c>
      <x:c r="C2327" s="21" t="str">
        <x:v>string</x:v>
      </x:c>
      <x:c r="D2327" s="21" t="str">
        <x:v>"ctrl_corrosive_needle"</x:v>
      </x:c>
    </x:row>
    <x:row r="2328" ht="22" customHeight="1">
      <x:c r="A2328" s="21" t="str">
        <x:v>data/treasure/treasures.json</x:v>
      </x:c>
      <x:c r="B2328" s="21" t="str">
        <x:v>$/linkages/7</x:v>
      </x:c>
      <x:c r="C2328" s="21" t="str">
        <x:v>object</x:v>
      </x:c>
      <x:c r="D2328" s="21" t="str"/>
    </x:row>
    <x:row r="2329" ht="22" customHeight="1">
      <x:c r="A2329" s="21" t="str">
        <x:v>data/treasure/treasures.json</x:v>
      </x:c>
      <x:c r="B2329" s="21" t="str">
        <x:v>$/linkages/7/id</x:v>
      </x:c>
      <x:c r="C2329" s="21" t="str">
        <x:v>string</x:v>
      </x:c>
      <x:c r="D2329" s="21" t="str">
        <x:v>"link_toxic_burst"</x:v>
      </x:c>
    </x:row>
    <x:row r="2330" ht="22" customHeight="1">
      <x:c r="A2330" s="21" t="str">
        <x:v>data/treasure/treasures.json</x:v>
      </x:c>
      <x:c r="B2330" s="21" t="str">
        <x:v>$/linkages/7/requires</x:v>
      </x:c>
      <x:c r="C2330" s="21" t="str">
        <x:v>array</x:v>
      </x:c>
      <x:c r="D2330" s="21" t="str"/>
    </x:row>
    <x:row r="2331" ht="22" customHeight="1">
      <x:c r="A2331" s="21" t="str">
        <x:v>data/treasure/treasures.json</x:v>
      </x:c>
      <x:c r="B2331" s="21" t="str">
        <x:v>$/linkages/7/requires/0</x:v>
      </x:c>
      <x:c r="C2331" s="21" t="str">
        <x:v>string</x:v>
      </x:c>
      <x:c r="D2331" s="21" t="str">
        <x:v>"atk_burst_core"</x:v>
      </x:c>
    </x:row>
    <x:row r="2332" ht="22" customHeight="1">
      <x:c r="A2332" s="21" t="str">
        <x:v>data/treasure/treasures.json</x:v>
      </x:c>
      <x:c r="B2332" s="21" t="str">
        <x:v>$/linkages/7/requires/1</x:v>
      </x:c>
      <x:c r="C2332" s="21" t="str">
        <x:v>string</x:v>
      </x:c>
      <x:c r="D2332" s="21" t="str">
        <x:v>"elem_toxic_spread"</x:v>
      </x:c>
    </x:row>
    <x:row r="2333" ht="22" customHeight="1">
      <x:c r="A2333" s="21" t="str">
        <x:v>data/treasure/treasures.json</x:v>
      </x:c>
      <x:c r="B2333" s="21" t="str">
        <x:v>$/linkages/7/proc_chance</x:v>
      </x:c>
      <x:c r="C2333" s="21" t="str">
        <x:v>float</x:v>
      </x:c>
      <x:c r="D2333" s="21" t="str">
        <x:v>0.5</x:v>
      </x:c>
    </x:row>
    <x:row r="2334" ht="22" customHeight="1">
      <x:c r="A2334" s="21" t="str">
        <x:v>data/treasure/treasures.json</x:v>
      </x:c>
      <x:c r="B2334" s="21" t="str">
        <x:v>$/linkages/8</x:v>
      </x:c>
      <x:c r="C2334" s="21" t="str">
        <x:v>object</x:v>
      </x:c>
      <x:c r="D2334" s="21" t="str"/>
    </x:row>
    <x:row r="2335" ht="22" customHeight="1">
      <x:c r="A2335" s="21" t="str">
        <x:v>data/treasure/treasures.json</x:v>
      </x:c>
      <x:c r="B2335" s="21" t="str">
        <x:v>$/linkages/8/id</x:v>
      </x:c>
      <x:c r="C2335" s="21" t="str">
        <x:v>string</x:v>
      </x:c>
      <x:c r="D2335" s="21" t="str">
        <x:v>"link_rich_path"</x:v>
      </x:c>
    </x:row>
    <x:row r="2336" ht="22" customHeight="1">
      <x:c r="A2336" s="21" t="str">
        <x:v>data/treasure/treasures.json</x:v>
      </x:c>
      <x:c r="B2336" s="21" t="str">
        <x:v>$/linkages/8/requires</x:v>
      </x:c>
      <x:c r="C2336" s="21" t="str">
        <x:v>array</x:v>
      </x:c>
      <x:c r="D2336" s="21" t="str"/>
    </x:row>
    <x:row r="2337" ht="22" customHeight="1">
      <x:c r="A2337" s="21" t="str">
        <x:v>data/treasure/treasures.json</x:v>
      </x:c>
      <x:c r="B2337" s="21" t="str">
        <x:v>$/linkages/8/requires/0</x:v>
      </x:c>
      <x:c r="C2337" s="21" t="str">
        <x:v>string</x:v>
      </x:c>
      <x:c r="D2337" s="21" t="str">
        <x:v>"money_compound"</x:v>
      </x:c>
    </x:row>
    <x:row r="2338" ht="22" customHeight="1">
      <x:c r="A2338" s="21" t="str">
        <x:v>data/treasure/treasures.json</x:v>
      </x:c>
      <x:c r="B2338" s="21" t="str">
        <x:v>$/linkages/8/requires/1</x:v>
      </x:c>
      <x:c r="C2338" s="21" t="str">
        <x:v>string</x:v>
      </x:c>
      <x:c r="D2338" s="21" t="str">
        <x:v>"elem_thunder_haste"</x:v>
      </x:c>
    </x:row>
    <x:row r="2339" ht="22" customHeight="1">
      <x:c r="A2339" s="21" t="str">
        <x:v>data/treasure/treasures.json</x:v>
      </x:c>
      <x:c r="B2339" s="21" t="str">
        <x:v>$/linkages/8/attack_gold_chance</x:v>
      </x:c>
      <x:c r="C2339" s="21" t="str">
        <x:v>float</x:v>
      </x:c>
      <x:c r="D2339" s="21" t="str">
        <x:v>0.25</x:v>
      </x:c>
    </x:row>
    <x:row r="2340" ht="22" customHeight="1">
      <x:c r="A2340" s="21" t="str">
        <x:v>data/treasure/treasures.json</x:v>
      </x:c>
      <x:c r="B2340" s="21" t="str">
        <x:v>$/linkages/9</x:v>
      </x:c>
      <x:c r="C2340" s="21" t="str">
        <x:v>object</x:v>
      </x:c>
      <x:c r="D2340" s="21" t="str"/>
    </x:row>
    <x:row r="2341" ht="22" customHeight="1">
      <x:c r="A2341" s="21" t="str">
        <x:v>data/treasure/treasures.json</x:v>
      </x:c>
      <x:c r="B2341" s="21" t="str">
        <x:v>$/linkages/9/id</x:v>
      </x:c>
      <x:c r="C2341" s="21" t="str">
        <x:v>string</x:v>
      </x:c>
      <x:c r="D2341" s="21" t="str">
        <x:v>"link_clearance_sale"</x:v>
      </x:c>
    </x:row>
    <x:row r="2342" ht="22" customHeight="1">
      <x:c r="A2342" s="21" t="str">
        <x:v>data/treasure/treasures.json</x:v>
      </x:c>
      <x:c r="B2342" s="21" t="str">
        <x:v>$/linkages/9/requires</x:v>
      </x:c>
      <x:c r="C2342" s="21" t="str">
        <x:v>array</x:v>
      </x:c>
      <x:c r="D2342" s="21" t="str"/>
    </x:row>
    <x:row r="2343" ht="22" customHeight="1">
      <x:c r="A2343" s="21" t="str">
        <x:v>data/treasure/treasures.json</x:v>
      </x:c>
      <x:c r="B2343" s="21" t="str">
        <x:v>$/linkages/9/requires/0</x:v>
      </x:c>
      <x:c r="C2343" s="21" t="str">
        <x:v>string</x:v>
      </x:c>
      <x:c r="D2343" s="21" t="str">
        <x:v>"atk_fury_roster"</x:v>
      </x:c>
    </x:row>
    <x:row r="2344" ht="22" customHeight="1">
      <x:c r="A2344" s="21" t="str">
        <x:v>data/treasure/treasures.json</x:v>
      </x:c>
      <x:c r="B2344" s="21" t="str">
        <x:v>$/linkages/9/requires/1</x:v>
      </x:c>
      <x:c r="C2344" s="21" t="str">
        <x:v>string</x:v>
      </x:c>
      <x:c r="D2344" s="21" t="str">
        <x:v>"money_discount"</x:v>
      </x:c>
    </x:row>
    <x:row r="2345" ht="22" customHeight="1">
      <x:c r="A2345" s="21" t="str">
        <x:v>data/treasure/treasures.json</x:v>
      </x:c>
      <x:c r="B2345" s="21" t="str">
        <x:v>$/linkages/9/shop_price_multiplier</x:v>
      </x:c>
      <x:c r="C2345" s="21" t="str">
        <x:v>float</x:v>
      </x:c>
      <x:c r="D2345" s="21" t="str">
        <x:v>0.4</x:v>
      </x:c>
    </x:row>
    <x:row r="2346" ht="22" customHeight="1">
      <x:c r="A2346" s="21" t="str">
        <x:v>data/treasure/treasures.json</x:v>
      </x:c>
      <x:c r="B2346" s="21" t="str">
        <x:v>$/linkages/10</x:v>
      </x:c>
      <x:c r="C2346" s="21" t="str">
        <x:v>object</x:v>
      </x:c>
      <x:c r="D2346" s="21" t="str"/>
    </x:row>
    <x:row r="2347" ht="22" customHeight="1">
      <x:c r="A2347" s="21" t="str">
        <x:v>data/treasure/treasures.json</x:v>
      </x:c>
      <x:c r="B2347" s="21" t="str">
        <x:v>$/linkages/10/id</x:v>
      </x:c>
      <x:c r="C2347" s="21" t="str">
        <x:v>string</x:v>
      </x:c>
      <x:c r="D2347" s="21" t="str">
        <x:v>"link_hu_pai_master"</x:v>
      </x:c>
    </x:row>
    <x:row r="2348" ht="22" customHeight="1">
      <x:c r="A2348" s="21" t="str">
        <x:v>data/treasure/treasures.json</x:v>
      </x:c>
      <x:c r="B2348" s="21" t="str">
        <x:v>$/linkages/10/requires</x:v>
      </x:c>
      <x:c r="C2348" s="21" t="str">
        <x:v>array</x:v>
      </x:c>
      <x:c r="D2348" s="21" t="str"/>
    </x:row>
    <x:row r="2349" ht="22" customHeight="1">
      <x:c r="A2349" s="21" t="str">
        <x:v>data/treasure/treasures.json</x:v>
      </x:c>
      <x:c r="B2349" s="21" t="str">
        <x:v>$/linkages/10/requires/0</x:v>
      </x:c>
      <x:c r="C2349" s="21" t="str">
        <x:v>string</x:v>
      </x:c>
      <x:c r="D2349" s="21" t="str">
        <x:v>"def_life_monument"</x:v>
      </x:c>
    </x:row>
    <x:row r="2350" ht="22" customHeight="1">
      <x:c r="A2350" s="21" t="str">
        <x:v>data/treasure/treasures.json</x:v>
      </x:c>
      <x:c r="B2350" s="21" t="str">
        <x:v>$/linkages/10/requires/1</x:v>
      </x:c>
      <x:c r="C2350" s="21" t="str">
        <x:v>string</x:v>
      </x:c>
      <x:c r="D2350" s="21" t="str">
        <x:v>"money_golden_altar"</x:v>
      </x:c>
    </x:row>
    <x:row r="2351" ht="22" customHeight="1">
      <x:c r="A2351" s="21" t="str">
        <x:v>data/treasure/treasures.json</x:v>
      </x:c>
      <x:c r="B2351" s="21" t="str">
        <x:v>$/linkages/10/requires/2</x:v>
      </x:c>
      <x:c r="C2351" s="21" t="str">
        <x:v>string</x:v>
      </x:c>
      <x:c r="D2351" s="21" t="str">
        <x:v>"ctrl_shockwave"</x:v>
      </x:c>
    </x:row>
    <x:row r="2352" ht="22" customHeight="1">
      <x:c r="A2352" s="21" t="str">
        <x:v>data/treasure/treasures.json</x:v>
      </x:c>
      <x:c r="B2352" s="21" t="str">
        <x:v>$/linkages/10/requires/3</x:v>
      </x:c>
      <x:c r="C2352" s="21" t="str">
        <x:v>string</x:v>
      </x:c>
      <x:c r="D2352" s="21" t="str">
        <x:v>"atk_blood_pact"</x:v>
      </x:c>
    </x:row>
    <x:row r="2353" ht="22" customHeight="1">
      <x:c r="A2353" s="21" t="str">
        <x:v>data/treasure/treasures.json</x:v>
      </x:c>
      <x:c r="B2353" s="21" t="str">
        <x:v>$/linkages/10/requires/4</x:v>
      </x:c>
      <x:c r="C2353" s="21" t="str">
        <x:v>string</x:v>
      </x:c>
      <x:c r="D2353" s="21" t="str">
        <x:v>"atk_fury_roster"</x:v>
      </x:c>
    </x:row>
    <x:row r="2354" ht="22" customHeight="1">
      <x:c r="A2354" s="21" t="str">
        <x:v>data/treasure/treasures.json</x:v>
      </x:c>
      <x:c r="B2354" s="21" t="str">
        <x:v>$/linkages/10/positive_effect_multiplier</x:v>
      </x:c>
      <x:c r="C2354" s="21" t="str">
        <x:v>float</x:v>
      </x:c>
      <x:c r="D2354" s="21" t="str">
        <x:v>2.0</x:v>
      </x:c>
    </x:row>
    <x:row r="2355" ht="22" customHeight="1">
      <x:c r="A2355" s="21" t="str">
        <x:v>data/formation/formation_allies.json</x:v>
      </x:c>
      <x:c r="B2355" s="21" t="str">
        <x:v>$</x:v>
      </x:c>
      <x:c r="C2355" s="21" t="str">
        <x:v>object</x:v>
      </x:c>
      <x:c r="D2355" s="21" t="str"/>
    </x:row>
    <x:row r="2356" ht="22" customHeight="1">
      <x:c r="A2356" s="21" t="str">
        <x:v>data/formation/formation_allies.json</x:v>
      </x:c>
      <x:c r="B2356" s="21" t="str">
        <x:v>$/spawn_position</x:v>
      </x:c>
      <x:c r="C2356" s="21" t="str">
        <x:v>string</x:v>
      </x:c>
      <x:c r="D2356" s="21" t="str">
        <x:v>"front"</x:v>
      </x:c>
    </x:row>
    <x:row r="2357" ht="22" customHeight="1">
      <x:c r="A2357" s="21" t="str">
        <x:v>data/formation/formation_allies.json</x:v>
      </x:c>
      <x:c r="B2357" s="21" t="str">
        <x:v>$/_comment</x:v>
      </x:c>
      <x:c r="C2357" s="21" t="str">
        <x:v>string</x:v>
      </x:c>
      <x:c r="D2357" s="21" t="str">
        <x:v>"hp_band 是玩家自己的法阵血量（50 起）。血越多拿到越强的守护者。技能全部走 _tick_skills，skill_global 的跳过射程判定，opening_cd 控制首发时间。"</x:v>
      </x:c>
    </x:row>
    <x:row r="2358" ht="22" customHeight="1">
      <x:c r="A2358" s="21" t="str">
        <x:v>data/formation/formation_allies.json</x:v>
      </x:c>
      <x:c r="B2358" s="21" t="str">
        <x:v>$/allies</x:v>
      </x:c>
      <x:c r="C2358" s="21" t="str">
        <x:v>array</x:v>
      </x:c>
      <x:c r="D2358" s="21" t="str"/>
    </x:row>
    <x:row r="2359" ht="22" customHeight="1">
      <x:c r="A2359" s="21" t="str">
        <x:v>data/formation/formation_allies.json</x:v>
      </x:c>
      <x:c r="B2359" s="21" t="str">
        <x:v>$/allies/0</x:v>
      </x:c>
      <x:c r="C2359" s="21" t="str">
        <x:v>object</x:v>
      </x:c>
      <x:c r="D2359" s="21" t="str"/>
    </x:row>
    <x:row r="2360" ht="22" customHeight="1">
      <x:c r="A2360" s="21" t="str">
        <x:v>data/formation/formation_allies.json</x:v>
      </x:c>
      <x:c r="B2360" s="21" t="str">
        <x:v>$/allies/0/id</x:v>
      </x:c>
      <x:c r="C2360" s="21" t="str">
        <x:v>string</x:v>
      </x:c>
      <x:c r="D2360" s="21" t="str">
        <x:v>"ally_flame_claw"</x:v>
      </x:c>
    </x:row>
    <x:row r="2361" ht="22" customHeight="1">
      <x:c r="A2361" s="21" t="str">
        <x:v>data/formation/formation_allies.json</x:v>
      </x:c>
      <x:c r="B2361" s="21" t="str">
        <x:v>$/allies/0/name</x:v>
      </x:c>
      <x:c r="C2361" s="21" t="str">
        <x:v>string</x:v>
      </x:c>
      <x:c r="D2361" s="21" t="str">
        <x:v>"焰爪魔灵"</x:v>
      </x:c>
    </x:row>
    <x:row r="2362" ht="22" customHeight="1">
      <x:c r="A2362" s="21" t="str">
        <x:v>data/formation/formation_allies.json</x:v>
      </x:c>
      <x:c r="B2362" s="21" t="str">
        <x:v>$/allies/0/name_en</x:v>
      </x:c>
      <x:c r="C2362" s="21" t="str">
        <x:v>string</x:v>
      </x:c>
      <x:c r="D2362" s="21" t="str">
        <x:v>"Flameclaw Imp"</x:v>
      </x:c>
    </x:row>
    <x:row r="2363" ht="22" customHeight="1">
      <x:c r="A2363" s="21" t="str">
        <x:v>data/formation/formation_allies.json</x:v>
      </x:c>
      <x:c r="B2363" s="21" t="str">
        <x:v>$/allies/0/hp_band</x:v>
      </x:c>
      <x:c r="C2363" s="21" t="str">
        <x:v>array</x:v>
      </x:c>
      <x:c r="D2363" s="21" t="str"/>
    </x:row>
    <x:row r="2364" ht="22" customHeight="1">
      <x:c r="A2364" s="21" t="str">
        <x:v>data/formation/formation_allies.json</x:v>
      </x:c>
      <x:c r="B2364" s="21" t="str">
        <x:v>$/allies/0/hp_band/0</x:v>
      </x:c>
      <x:c r="C2364" s="21" t="str">
        <x:v>int</x:v>
      </x:c>
      <x:c r="D2364" s="21" t="str">
        <x:v>1</x:v>
      </x:c>
    </x:row>
    <x:row r="2365" ht="22" customHeight="1">
      <x:c r="A2365" s="21" t="str">
        <x:v>data/formation/formation_allies.json</x:v>
      </x:c>
      <x:c r="B2365" s="21" t="str">
        <x:v>$/allies/0/hp_band/1</x:v>
      </x:c>
      <x:c r="C2365" s="21" t="str">
        <x:v>int</x:v>
      </x:c>
      <x:c r="D2365" s="21" t="str">
        <x:v>10</x:v>
      </x:c>
    </x:row>
    <x:row r="2366" ht="22" customHeight="1">
      <x:c r="A2366" s="21" t="str">
        <x:v>data/formation/formation_allies.json</x:v>
      </x:c>
      <x:c r="B2366" s="21" t="str">
        <x:v>$/allies/0/hp</x:v>
      </x:c>
      <x:c r="C2366" s="21" t="str">
        <x:v>int</x:v>
      </x:c>
      <x:c r="D2366" s="21" t="str">
        <x:v>1400</x:v>
      </x:c>
    </x:row>
    <x:row r="2367" ht="22" customHeight="1">
      <x:c r="A2367" s="21" t="str">
        <x:v>data/formation/formation_allies.json</x:v>
      </x:c>
      <x:c r="B2367" s="21" t="str">
        <x:v>$/allies/0/atk</x:v>
      </x:c>
      <x:c r="C2367" s="21" t="str">
        <x:v>int</x:v>
      </x:c>
      <x:c r="D2367" s="21" t="str">
        <x:v>77</x:v>
      </x:c>
    </x:row>
    <x:row r="2368" ht="22" customHeight="1">
      <x:c r="A2368" s="21" t="str">
        <x:v>data/formation/formation_allies.json</x:v>
      </x:c>
      <x:c r="B2368" s="21" t="str">
        <x:v>$/allies/0/def</x:v>
      </x:c>
      <x:c r="C2368" s="21" t="str">
        <x:v>int</x:v>
      </x:c>
      <x:c r="D2368" s="21" t="str">
        <x:v>10</x:v>
      </x:c>
    </x:row>
    <x:row r="2369" ht="22" customHeight="1">
      <x:c r="A2369" s="21" t="str">
        <x:v>data/formation/formation_allies.json</x:v>
      </x:c>
      <x:c r="B2369" s="21" t="str">
        <x:v>$/allies/0/attack_speed</x:v>
      </x:c>
      <x:c r="C2369" s="21" t="str">
        <x:v>float</x:v>
      </x:c>
      <x:c r="D2369" s="21" t="str">
        <x:v>1.05</x:v>
      </x:c>
    </x:row>
    <x:row r="2370" ht="22" customHeight="1">
      <x:c r="A2370" s="21" t="str">
        <x:v>data/formation/formation_allies.json</x:v>
      </x:c>
      <x:c r="B2370" s="21" t="str">
        <x:v>$/allies/0/range</x:v>
      </x:c>
      <x:c r="C2370" s="21" t="str">
        <x:v>int</x:v>
      </x:c>
      <x:c r="D2370" s="21" t="str">
        <x:v>1</x:v>
      </x:c>
    </x:row>
    <x:row r="2371" ht="22" customHeight="1">
      <x:c r="A2371" s="21" t="str">
        <x:v>data/formation/formation_allies.json</x:v>
      </x:c>
      <x:c r="B2371" s="21" t="str">
        <x:v>$/allies/0/move_speed</x:v>
      </x:c>
      <x:c r="C2371" s="21" t="str">
        <x:v>float</x:v>
      </x:c>
      <x:c r="D2371" s="21" t="str">
        <x:v>3.2</x:v>
      </x:c>
    </x:row>
    <x:row r="2372" ht="22" customHeight="1">
      <x:c r="A2372" s="21" t="str">
        <x:v>data/formation/formation_allies.json</x:v>
      </x:c>
      <x:c r="B2372" s="21" t="str">
        <x:v>$/allies/0/skill_id</x:v>
      </x:c>
      <x:c r="C2372" s="21" t="str">
        <x:v>string</x:v>
      </x:c>
      <x:c r="D2372" s="21" t="str">
        <x:v>"burn_claw"</x:v>
      </x:c>
    </x:row>
    <x:row r="2373" ht="22" customHeight="1">
      <x:c r="A2373" s="21" t="str">
        <x:v>data/formation/formation_allies.json</x:v>
      </x:c>
      <x:c r="B2373" s="21" t="str">
        <x:v>$/allies/0/skill_cd</x:v>
      </x:c>
      <x:c r="C2373" s="21" t="str">
        <x:v>float</x:v>
      </x:c>
      <x:c r="D2373" s="21" t="str">
        <x:v>5.0</x:v>
      </x:c>
    </x:row>
    <x:row r="2374" ht="22" customHeight="1">
      <x:c r="A2374" s="21" t="str">
        <x:v>data/formation/formation_allies.json</x:v>
      </x:c>
      <x:c r="B2374" s="21" t="str">
        <x:v>$/allies/0/self_heal</x:v>
      </x:c>
      <x:c r="C2374" s="21" t="str">
        <x:v>int</x:v>
      </x:c>
      <x:c r="D2374" s="21" t="str">
        <x:v>200</x:v>
      </x:c>
    </x:row>
    <x:row r="2375" ht="22" customHeight="1">
      <x:c r="A2375" s="21" t="str">
        <x:v>data/formation/formation_allies.json</x:v>
      </x:c>
      <x:c r="B2375" s="21" t="str">
        <x:v>$/allies/0/self_shield</x:v>
      </x:c>
      <x:c r="C2375" s="21" t="str">
        <x:v>int</x:v>
      </x:c>
      <x:c r="D2375" s="21" t="str">
        <x:v>100</x:v>
      </x:c>
    </x:row>
    <x:row r="2376" ht="22" customHeight="1">
      <x:c r="A2376" s="21" t="str">
        <x:v>data/formation/formation_allies.json</x:v>
      </x:c>
      <x:c r="B2376" s="21" t="str">
        <x:v>$/allies/0/shield_cap</x:v>
      </x:c>
      <x:c r="C2376" s="21" t="str">
        <x:v>int</x:v>
      </x:c>
      <x:c r="D2376" s="21" t="str">
        <x:v>300</x:v>
      </x:c>
    </x:row>
    <x:row r="2377" ht="22" customHeight="1">
      <x:c r="A2377" s="21" t="str">
        <x:v>data/formation/formation_allies.json</x:v>
      </x:c>
      <x:c r="B2377" s="21" t="str">
        <x:v>$/allies/0/burn_dps</x:v>
      </x:c>
      <x:c r="C2377" s="21" t="str">
        <x:v>int</x:v>
      </x:c>
      <x:c r="D2377" s="21" t="str">
        <x:v>36</x:v>
      </x:c>
    </x:row>
    <x:row r="2378" ht="22" customHeight="1">
      <x:c r="A2378" s="21" t="str">
        <x:v>data/formation/formation_allies.json</x:v>
      </x:c>
      <x:c r="B2378" s="21" t="str">
        <x:v>$/allies/0/burn_duration</x:v>
      </x:c>
      <x:c r="C2378" s="21" t="str">
        <x:v>float</x:v>
      </x:c>
      <x:c r="D2378" s="21" t="str">
        <x:v>3.0</x:v>
      </x:c>
    </x:row>
    <x:row r="2379" ht="22" customHeight="1">
      <x:c r="A2379" s="21" t="str">
        <x:v>data/formation/formation_allies.json</x:v>
      </x:c>
      <x:c r="B2379" s="21" t="str">
        <x:v>$/allies/0/model</x:v>
      </x:c>
      <x:c r="C2379" s="21" t="str">
        <x:v>string</x:v>
      </x:c>
      <x:c r="D2379" s="21" t="str">
        <x:v>"res://assets/models/allies/formation_ally_1_animated/formation_ally_1_animated.tscn"</x:v>
      </x:c>
    </x:row>
    <x:row r="2380" ht="22" customHeight="1">
      <x:c r="A2380" s="21" t="str">
        <x:v>data/formation/formation_allies.json</x:v>
      </x:c>
      <x:c r="B2380" s="21" t="str">
        <x:v>$/allies/0/model_visual_scale</x:v>
      </x:c>
      <x:c r="C2380" s="21" t="str">
        <x:v>int</x:v>
      </x:c>
      <x:c r="D2380" s="21" t="str">
        <x:v>3</x:v>
      </x:c>
    </x:row>
    <x:row r="2381" ht="22" customHeight="1">
      <x:c r="A2381" s="21" t="str">
        <x:v>data/formation/formation_allies.json</x:v>
      </x:c>
      <x:c r="B2381" s="21" t="str">
        <x:v>$/allies/0/footprint_cells</x:v>
      </x:c>
      <x:c r="C2381" s="21" t="str">
        <x:v>int</x:v>
      </x:c>
      <x:c r="D2381" s="21" t="str">
        <x:v>3</x:v>
      </x:c>
    </x:row>
    <x:row r="2382" ht="22" customHeight="1">
      <x:c r="A2382" s="21" t="str">
        <x:v>data/formation/formation_allies.json</x:v>
      </x:c>
      <x:c r="B2382" s="21" t="str">
        <x:v>$/allies/0/model_base_yaw</x:v>
      </x:c>
      <x:c r="C2382" s="21" t="str">
        <x:v>float</x:v>
      </x:c>
      <x:c r="D2382" s="21" t="str">
        <x:v>180.0</x:v>
      </x:c>
    </x:row>
    <x:row r="2383" ht="22" customHeight="1">
      <x:c r="A2383" s="21" t="str">
        <x:v>data/formation/formation_allies.json</x:v>
      </x:c>
      <x:c r="B2383" s="21" t="str">
        <x:v>$/allies/0/model_idle_animation_name</x:v>
      </x:c>
      <x:c r="C2383" s="21" t="str">
        <x:v>string</x:v>
      </x:c>
      <x:c r="D2383" s="21" t="str">
        <x:v>"idle"</x:v>
      </x:c>
    </x:row>
    <x:row r="2384" ht="22" customHeight="1">
      <x:c r="A2384" s="21" t="str">
        <x:v>data/formation/formation_allies.json</x:v>
      </x:c>
      <x:c r="B2384" s="21" t="str">
        <x:v>$/allies/0/model_attack_animation_name</x:v>
      </x:c>
      <x:c r="C2384" s="21" t="str">
        <x:v>string</x:v>
      </x:c>
      <x:c r="D2384" s="21" t="str">
        <x:v>"attack"</x:v>
      </x:c>
    </x:row>
    <x:row r="2385" ht="22" customHeight="1">
      <x:c r="A2385" s="21" t="str">
        <x:v>data/formation/formation_allies.json</x:v>
      </x:c>
      <x:c r="B2385" s="21" t="str">
        <x:v>$/allies/0/model_attack_sync_seek</x:v>
      </x:c>
      <x:c r="C2385" s="21" t="str">
        <x:v>float</x:v>
      </x:c>
      <x:c r="D2385" s="21" t="str">
        <x:v>0.2</x:v>
      </x:c>
    </x:row>
    <x:row r="2386" ht="22" customHeight="1">
      <x:c r="A2386" s="21" t="str">
        <x:v>data/formation/formation_allies.json</x:v>
      </x:c>
      <x:c r="B2386" s="21" t="str">
        <x:v>$/allies/0/model_attack_lock_time</x:v>
      </x:c>
      <x:c r="C2386" s="21" t="str">
        <x:v>float</x:v>
      </x:c>
      <x:c r="D2386" s="21" t="str">
        <x:v>0.45</x:v>
      </x:c>
    </x:row>
    <x:row r="2387" ht="22" customHeight="1">
      <x:c r="A2387" s="21" t="str">
        <x:v>data/formation/formation_allies.json</x:v>
      </x:c>
      <x:c r="B2387" s="21" t="str">
        <x:v>$/allies/0/model_run_animation_name</x:v>
      </x:c>
      <x:c r="C2387" s="21" t="str">
        <x:v>string</x:v>
      </x:c>
      <x:c r="D2387" s="21" t="str">
        <x:v>"run"</x:v>
      </x:c>
    </x:row>
    <x:row r="2388" ht="22" customHeight="1">
      <x:c r="A2388" s="21" t="str">
        <x:v>data/formation/formation_allies.json</x:v>
      </x:c>
      <x:c r="B2388" s="21" t="str">
        <x:v>$/allies/1</x:v>
      </x:c>
      <x:c r="C2388" s="21" t="str">
        <x:v>object</x:v>
      </x:c>
      <x:c r="D2388" s="21" t="str"/>
    </x:row>
    <x:row r="2389" ht="22" customHeight="1">
      <x:c r="A2389" s="21" t="str">
        <x:v>data/formation/formation_allies.json</x:v>
      </x:c>
      <x:c r="B2389" s="21" t="str">
        <x:v>$/allies/1/id</x:v>
      </x:c>
      <x:c r="C2389" s="21" t="str">
        <x:v>string</x:v>
      </x:c>
      <x:c r="D2389" s="21" t="str">
        <x:v>"ally_soul_chain"</x:v>
      </x:c>
    </x:row>
    <x:row r="2390" ht="22" customHeight="1">
      <x:c r="A2390" s="21" t="str">
        <x:v>data/formation/formation_allies.json</x:v>
      </x:c>
      <x:c r="B2390" s="21" t="str">
        <x:v>$/allies/1/name</x:v>
      </x:c>
      <x:c r="C2390" s="21" t="str">
        <x:v>string</x:v>
      </x:c>
      <x:c r="D2390" s="21" t="str">
        <x:v>"暗狱锁魂者"</x:v>
      </x:c>
    </x:row>
    <x:row r="2391" ht="22" customHeight="1">
      <x:c r="A2391" s="21" t="str">
        <x:v>data/formation/formation_allies.json</x:v>
      </x:c>
      <x:c r="B2391" s="21" t="str">
        <x:v>$/allies/1/name_en</x:v>
      </x:c>
      <x:c r="C2391" s="21" t="str">
        <x:v>string</x:v>
      </x:c>
      <x:c r="D2391" s="21" t="str">
        <x:v>"Abyssal Soulbinder"</x:v>
      </x:c>
    </x:row>
    <x:row r="2392" ht="22" customHeight="1">
      <x:c r="A2392" s="21" t="str">
        <x:v>data/formation/formation_allies.json</x:v>
      </x:c>
      <x:c r="B2392" s="21" t="str">
        <x:v>$/allies/1/hp_band</x:v>
      </x:c>
      <x:c r="C2392" s="21" t="str">
        <x:v>array</x:v>
      </x:c>
      <x:c r="D2392" s="21" t="str"/>
    </x:row>
    <x:row r="2393" ht="22" customHeight="1">
      <x:c r="A2393" s="21" t="str">
        <x:v>data/formation/formation_allies.json</x:v>
      </x:c>
      <x:c r="B2393" s="21" t="str">
        <x:v>$/allies/1/hp_band/0</x:v>
      </x:c>
      <x:c r="C2393" s="21" t="str">
        <x:v>int</x:v>
      </x:c>
      <x:c r="D2393" s="21" t="str">
        <x:v>11</x:v>
      </x:c>
    </x:row>
    <x:row r="2394" ht="22" customHeight="1">
      <x:c r="A2394" s="21" t="str">
        <x:v>data/formation/formation_allies.json</x:v>
      </x:c>
      <x:c r="B2394" s="21" t="str">
        <x:v>$/allies/1/hp_band/1</x:v>
      </x:c>
      <x:c r="C2394" s="21" t="str">
        <x:v>int</x:v>
      </x:c>
      <x:c r="D2394" s="21" t="str">
        <x:v>20</x:v>
      </x:c>
    </x:row>
    <x:row r="2395" ht="22" customHeight="1">
      <x:c r="A2395" s="21" t="str">
        <x:v>data/formation/formation_allies.json</x:v>
      </x:c>
      <x:c r="B2395" s="21" t="str">
        <x:v>$/allies/1/hp</x:v>
      </x:c>
      <x:c r="C2395" s="21" t="str">
        <x:v>int</x:v>
      </x:c>
      <x:c r="D2395" s="21" t="str">
        <x:v>2400</x:v>
      </x:c>
    </x:row>
    <x:row r="2396" ht="22" customHeight="1">
      <x:c r="A2396" s="21" t="str">
        <x:v>data/formation/formation_allies.json</x:v>
      </x:c>
      <x:c r="B2396" s="21" t="str">
        <x:v>$/allies/1/atk</x:v>
      </x:c>
      <x:c r="C2396" s="21" t="str">
        <x:v>int</x:v>
      </x:c>
      <x:c r="D2396" s="21" t="str">
        <x:v>86</x:v>
      </x:c>
    </x:row>
    <x:row r="2397" ht="22" customHeight="1">
      <x:c r="A2397" s="21" t="str">
        <x:v>data/formation/formation_allies.json</x:v>
      </x:c>
      <x:c r="B2397" s="21" t="str">
        <x:v>$/allies/1/def</x:v>
      </x:c>
      <x:c r="C2397" s="21" t="str">
        <x:v>int</x:v>
      </x:c>
      <x:c r="D2397" s="21" t="str">
        <x:v>14</x:v>
      </x:c>
    </x:row>
    <x:row r="2398" ht="22" customHeight="1">
      <x:c r="A2398" s="21" t="str">
        <x:v>data/formation/formation_allies.json</x:v>
      </x:c>
      <x:c r="B2398" s="21" t="str">
        <x:v>$/allies/1/attack_speed</x:v>
      </x:c>
      <x:c r="C2398" s="21" t="str">
        <x:v>float</x:v>
      </x:c>
      <x:c r="D2398" s="21" t="str">
        <x:v>0.95</x:v>
      </x:c>
    </x:row>
    <x:row r="2399" ht="22" customHeight="1">
      <x:c r="A2399" s="21" t="str">
        <x:v>data/formation/formation_allies.json</x:v>
      </x:c>
      <x:c r="B2399" s="21" t="str">
        <x:v>$/allies/1/range</x:v>
      </x:c>
      <x:c r="C2399" s="21" t="str">
        <x:v>int</x:v>
      </x:c>
      <x:c r="D2399" s="21" t="str">
        <x:v>4</x:v>
      </x:c>
    </x:row>
    <x:row r="2400" ht="22" customHeight="1">
      <x:c r="A2400" s="21" t="str">
        <x:v>data/formation/formation_allies.json</x:v>
      </x:c>
      <x:c r="B2400" s="21" t="str">
        <x:v>$/allies/1/move_speed</x:v>
      </x:c>
      <x:c r="C2400" s="21" t="str">
        <x:v>float</x:v>
      </x:c>
      <x:c r="D2400" s="21" t="str">
        <x:v>3.0</x:v>
      </x:c>
    </x:row>
    <x:row r="2401" ht="22" customHeight="1">
      <x:c r="A2401" s="21" t="str">
        <x:v>data/formation/formation_allies.json</x:v>
      </x:c>
      <x:c r="B2401" s="21" t="str">
        <x:v>$/allies/1/skill_id</x:v>
      </x:c>
      <x:c r="C2401" s="21" t="str">
        <x:v>string</x:v>
      </x:c>
      <x:c r="D2401" s="21" t="str">
        <x:v>"soul_chain"</x:v>
      </x:c>
    </x:row>
    <x:row r="2402" ht="22" customHeight="1">
      <x:c r="A2402" s="21" t="str">
        <x:v>data/formation/formation_allies.json</x:v>
      </x:c>
      <x:c r="B2402" s="21" t="str">
        <x:v>$/allies/1/skill_global</x:v>
      </x:c>
      <x:c r="C2402" s="21" t="str">
        <x:v>bool</x:v>
      </x:c>
      <x:c r="D2402" s="21" t="str">
        <x:v>true</x:v>
      </x:c>
    </x:row>
    <x:row r="2403" ht="22" customHeight="1">
      <x:c r="A2403" s="21" t="str">
        <x:v>data/formation/formation_allies.json</x:v>
      </x:c>
      <x:c r="B2403" s="21" t="str">
        <x:v>$/allies/1/opening_cd</x:v>
      </x:c>
      <x:c r="C2403" s="21" t="str">
        <x:v>float</x:v>
      </x:c>
      <x:c r="D2403" s="21" t="str">
        <x:v>2.5</x:v>
      </x:c>
    </x:row>
    <x:row r="2404" ht="22" customHeight="1">
      <x:c r="A2404" s="21" t="str">
        <x:v>data/formation/formation_allies.json</x:v>
      </x:c>
      <x:c r="B2404" s="21" t="str">
        <x:v>$/allies/1/skill_cd</x:v>
      </x:c>
      <x:c r="C2404" s="21" t="str">
        <x:v>float</x:v>
      </x:c>
      <x:c r="D2404" s="21" t="str">
        <x:v>9.0</x:v>
      </x:c>
    </x:row>
    <x:row r="2405" ht="22" customHeight="1">
      <x:c r="A2405" s="21" t="str">
        <x:v>data/formation/formation_allies.json</x:v>
      </x:c>
      <x:c r="B2405" s="21" t="str">
        <x:v>$/allies/1/stun_sec</x:v>
      </x:c>
      <x:c r="C2405" s="21" t="str">
        <x:v>float</x:v>
      </x:c>
      <x:c r="D2405" s="21" t="str">
        <x:v>1.5</x:v>
      </x:c>
    </x:row>
    <x:row r="2406" ht="22" customHeight="1">
      <x:c r="A2406" s="21" t="str">
        <x:v>data/formation/formation_allies.json</x:v>
      </x:c>
      <x:c r="B2406" s="21" t="str">
        <x:v>$/allies/1/aspd_down_pct</x:v>
      </x:c>
      <x:c r="C2406" s="21" t="str">
        <x:v>float</x:v>
      </x:c>
      <x:c r="D2406" s="21" t="str">
        <x:v>0.5</x:v>
      </x:c>
    </x:row>
    <x:row r="2407" ht="22" customHeight="1">
      <x:c r="A2407" s="21" t="str">
        <x:v>data/formation/formation_allies.json</x:v>
      </x:c>
      <x:c r="B2407" s="21" t="str">
        <x:v>$/allies/1/aspd_down_duration</x:v>
      </x:c>
      <x:c r="C2407" s="21" t="str">
        <x:v>float</x:v>
      </x:c>
      <x:c r="D2407" s="21" t="str">
        <x:v>3.0</x:v>
      </x:c>
    </x:row>
    <x:row r="2408" ht="22" customHeight="1">
      <x:c r="A2408" s="21" t="str">
        <x:v>data/formation/formation_allies.json</x:v>
      </x:c>
      <x:c r="B2408" s="21" t="str">
        <x:v>$/allies/1/model</x:v>
      </x:c>
      <x:c r="C2408" s="21" t="str">
        <x:v>string</x:v>
      </x:c>
      <x:c r="D2408" s="21" t="str">
        <x:v>"res://assets/models/allies/formation_ally_2_animated/formation_ally_2_animated.tscn"</x:v>
      </x:c>
    </x:row>
    <x:row r="2409" ht="22" customHeight="1">
      <x:c r="A2409" s="21" t="str">
        <x:v>data/formation/formation_allies.json</x:v>
      </x:c>
      <x:c r="B2409" s="21" t="str">
        <x:v>$/allies/1/model_visual_scale</x:v>
      </x:c>
      <x:c r="C2409" s="21" t="str">
        <x:v>int</x:v>
      </x:c>
      <x:c r="D2409" s="21" t="str">
        <x:v>3</x:v>
      </x:c>
    </x:row>
    <x:row r="2410" ht="22" customHeight="1">
      <x:c r="A2410" s="21" t="str">
        <x:v>data/formation/formation_allies.json</x:v>
      </x:c>
      <x:c r="B2410" s="21" t="str">
        <x:v>$/allies/1/footprint_cells</x:v>
      </x:c>
      <x:c r="C2410" s="21" t="str">
        <x:v>int</x:v>
      </x:c>
      <x:c r="D2410" s="21" t="str">
        <x:v>3</x:v>
      </x:c>
    </x:row>
    <x:row r="2411" ht="22" customHeight="1">
      <x:c r="A2411" s="21" t="str">
        <x:v>data/formation/formation_allies.json</x:v>
      </x:c>
      <x:c r="B2411" s="21" t="str">
        <x:v>$/allies/1/model_base_yaw</x:v>
      </x:c>
      <x:c r="C2411" s="21" t="str">
        <x:v>float</x:v>
      </x:c>
      <x:c r="D2411" s="21" t="str">
        <x:v>180.0</x:v>
      </x:c>
    </x:row>
    <x:row r="2412" ht="22" customHeight="1">
      <x:c r="A2412" s="21" t="str">
        <x:v>data/formation/formation_allies.json</x:v>
      </x:c>
      <x:c r="B2412" s="21" t="str">
        <x:v>$/allies/1/model_idle_animation_name</x:v>
      </x:c>
      <x:c r="C2412" s="21" t="str">
        <x:v>string</x:v>
      </x:c>
      <x:c r="D2412" s="21" t="str">
        <x:v>"idle"</x:v>
      </x:c>
    </x:row>
    <x:row r="2413" ht="22" customHeight="1">
      <x:c r="A2413" s="21" t="str">
        <x:v>data/formation/formation_allies.json</x:v>
      </x:c>
      <x:c r="B2413" s="21" t="str">
        <x:v>$/allies/1/model_attack_animation_name</x:v>
      </x:c>
      <x:c r="C2413" s="21" t="str">
        <x:v>string</x:v>
      </x:c>
      <x:c r="D2413" s="21" t="str">
        <x:v>"attack"</x:v>
      </x:c>
    </x:row>
    <x:row r="2414" ht="22" customHeight="1">
      <x:c r="A2414" s="21" t="str">
        <x:v>data/formation/formation_allies.json</x:v>
      </x:c>
      <x:c r="B2414" s="21" t="str">
        <x:v>$/allies/1/model_attack_sync_seek</x:v>
      </x:c>
      <x:c r="C2414" s="21" t="str">
        <x:v>float</x:v>
      </x:c>
      <x:c r="D2414" s="21" t="str">
        <x:v>0.2</x:v>
      </x:c>
    </x:row>
    <x:row r="2415" ht="22" customHeight="1">
      <x:c r="A2415" s="21" t="str">
        <x:v>data/formation/formation_allies.json</x:v>
      </x:c>
      <x:c r="B2415" s="21" t="str">
        <x:v>$/allies/1/model_attack_lock_time</x:v>
      </x:c>
      <x:c r="C2415" s="21" t="str">
        <x:v>float</x:v>
      </x:c>
      <x:c r="D2415" s="21" t="str">
        <x:v>0.45</x:v>
      </x:c>
    </x:row>
    <x:row r="2416" ht="22" customHeight="1">
      <x:c r="A2416" s="21" t="str">
        <x:v>data/formation/formation_allies.json</x:v>
      </x:c>
      <x:c r="B2416" s="21" t="str">
        <x:v>$/allies/1/model_run_animation_name</x:v>
      </x:c>
      <x:c r="C2416" s="21" t="str">
        <x:v>string</x:v>
      </x:c>
      <x:c r="D2416" s="21" t="str">
        <x:v>"run"</x:v>
      </x:c>
    </x:row>
    <x:row r="2417" ht="22" customHeight="1">
      <x:c r="A2417" s="21" t="str">
        <x:v>data/formation/formation_allies.json</x:v>
      </x:c>
      <x:c r="B2417" s="21" t="str">
        <x:v>$/allies/2</x:v>
      </x:c>
      <x:c r="C2417" s="21" t="str">
        <x:v>object</x:v>
      </x:c>
      <x:c r="D2417" s="21" t="str"/>
    </x:row>
    <x:row r="2418" ht="22" customHeight="1">
      <x:c r="A2418" s="21" t="str">
        <x:v>data/formation/formation_allies.json</x:v>
      </x:c>
      <x:c r="B2418" s="21" t="str">
        <x:v>$/allies/2/id</x:v>
      </x:c>
      <x:c r="C2418" s="21" t="str">
        <x:v>string</x:v>
      </x:c>
      <x:c r="D2418" s="21" t="str">
        <x:v>"ally_abyss_beast"</x:v>
      </x:c>
    </x:row>
    <x:row r="2419" ht="22" customHeight="1">
      <x:c r="A2419" s="21" t="str">
        <x:v>data/formation/formation_allies.json</x:v>
      </x:c>
      <x:c r="B2419" s="21" t="str">
        <x:v>$/allies/2/name</x:v>
      </x:c>
      <x:c r="C2419" s="21" t="str">
        <x:v>string</x:v>
      </x:c>
      <x:c r="D2419" s="21" t="str">
        <x:v>"深渊噬兽"</x:v>
      </x:c>
    </x:row>
    <x:row r="2420" ht="22" customHeight="1">
      <x:c r="A2420" s="21" t="str">
        <x:v>data/formation/formation_allies.json</x:v>
      </x:c>
      <x:c r="B2420" s="21" t="str">
        <x:v>$/allies/2/name_en</x:v>
      </x:c>
      <x:c r="C2420" s="21" t="str">
        <x:v>string</x:v>
      </x:c>
      <x:c r="D2420" s="21" t="str">
        <x:v>"Abyss Devourer"</x:v>
      </x:c>
    </x:row>
    <x:row r="2421" ht="22" customHeight="1">
      <x:c r="A2421" s="21" t="str">
        <x:v>data/formation/formation_allies.json</x:v>
      </x:c>
      <x:c r="B2421" s="21" t="str">
        <x:v>$/allies/2/hp_band</x:v>
      </x:c>
      <x:c r="C2421" s="21" t="str">
        <x:v>array</x:v>
      </x:c>
      <x:c r="D2421" s="21" t="str"/>
    </x:row>
    <x:row r="2422" ht="22" customHeight="1">
      <x:c r="A2422" s="21" t="str">
        <x:v>data/formation/formation_allies.json</x:v>
      </x:c>
      <x:c r="B2422" s="21" t="str">
        <x:v>$/allies/2/hp_band/0</x:v>
      </x:c>
      <x:c r="C2422" s="21" t="str">
        <x:v>int</x:v>
      </x:c>
      <x:c r="D2422" s="21" t="str">
        <x:v>21</x:v>
      </x:c>
    </x:row>
    <x:row r="2423" ht="22" customHeight="1">
      <x:c r="A2423" s="21" t="str">
        <x:v>data/formation/formation_allies.json</x:v>
      </x:c>
      <x:c r="B2423" s="21" t="str">
        <x:v>$/allies/2/hp_band/1</x:v>
      </x:c>
      <x:c r="C2423" s="21" t="str">
        <x:v>int</x:v>
      </x:c>
      <x:c r="D2423" s="21" t="str">
        <x:v>30</x:v>
      </x:c>
    </x:row>
    <x:row r="2424" ht="22" customHeight="1">
      <x:c r="A2424" s="21" t="str">
        <x:v>data/formation/formation_allies.json</x:v>
      </x:c>
      <x:c r="B2424" s="21" t="str">
        <x:v>$/allies/2/hp</x:v>
      </x:c>
      <x:c r="C2424" s="21" t="str">
        <x:v>int</x:v>
      </x:c>
      <x:c r="D2424" s="21" t="str">
        <x:v>3200</x:v>
      </x:c>
    </x:row>
    <x:row r="2425" ht="22" customHeight="1">
      <x:c r="A2425" s="21" t="str">
        <x:v>data/formation/formation_allies.json</x:v>
      </x:c>
      <x:c r="B2425" s="21" t="str">
        <x:v>$/allies/2/atk</x:v>
      </x:c>
      <x:c r="C2425" s="21" t="str">
        <x:v>int</x:v>
      </x:c>
      <x:c r="D2425" s="21" t="str">
        <x:v>105</x:v>
      </x:c>
    </x:row>
    <x:row r="2426" ht="22" customHeight="1">
      <x:c r="A2426" s="21" t="str">
        <x:v>data/formation/formation_allies.json</x:v>
      </x:c>
      <x:c r="B2426" s="21" t="str">
        <x:v>$/allies/2/def</x:v>
      </x:c>
      <x:c r="C2426" s="21" t="str">
        <x:v>int</x:v>
      </x:c>
      <x:c r="D2426" s="21" t="str">
        <x:v>18</x:v>
      </x:c>
    </x:row>
    <x:row r="2427" ht="22" customHeight="1">
      <x:c r="A2427" s="21" t="str">
        <x:v>data/formation/formation_allies.json</x:v>
      </x:c>
      <x:c r="B2427" s="21" t="str">
        <x:v>$/allies/2/attack_speed</x:v>
      </x:c>
      <x:c r="C2427" s="21" t="str">
        <x:v>float</x:v>
      </x:c>
      <x:c r="D2427" s="21" t="str">
        <x:v>0.9</x:v>
      </x:c>
    </x:row>
    <x:row r="2428" ht="22" customHeight="1">
      <x:c r="A2428" s="21" t="str">
        <x:v>data/formation/formation_allies.json</x:v>
      </x:c>
      <x:c r="B2428" s="21" t="str">
        <x:v>$/allies/2/range</x:v>
      </x:c>
      <x:c r="C2428" s="21" t="str">
        <x:v>int</x:v>
      </x:c>
      <x:c r="D2428" s="21" t="str">
        <x:v>1</x:v>
      </x:c>
    </x:row>
    <x:row r="2429" ht="22" customHeight="1">
      <x:c r="A2429" s="21" t="str">
        <x:v>data/formation/formation_allies.json</x:v>
      </x:c>
      <x:c r="B2429" s="21" t="str">
        <x:v>$/allies/2/move_speed</x:v>
      </x:c>
      <x:c r="C2429" s="21" t="str">
        <x:v>float</x:v>
      </x:c>
      <x:c r="D2429" s="21" t="str">
        <x:v>3.0</x:v>
      </x:c>
    </x:row>
    <x:row r="2430" ht="22" customHeight="1">
      <x:c r="A2430" s="21" t="str">
        <x:v>data/formation/formation_allies.json</x:v>
      </x:c>
      <x:c r="B2430" s="21" t="str">
        <x:v>$/allies/2/skill_id</x:v>
      </x:c>
      <x:c r="C2430" s="21" t="str">
        <x:v>string</x:v>
      </x:c>
      <x:c r="D2430" s="21" t="str">
        <x:v>"devour_bite"</x:v>
      </x:c>
    </x:row>
    <x:row r="2431" ht="22" customHeight="1">
      <x:c r="A2431" s="21" t="str">
        <x:v>data/formation/formation_allies.json</x:v>
      </x:c>
      <x:c r="B2431" s="21" t="str">
        <x:v>$/allies/2/skill_global</x:v>
      </x:c>
      <x:c r="C2431" s="21" t="str">
        <x:v>bool</x:v>
      </x:c>
      <x:c r="D2431" s="21" t="str">
        <x:v>true</x:v>
      </x:c>
    </x:row>
    <x:row r="2432" ht="22" customHeight="1">
      <x:c r="A2432" s="21" t="str">
        <x:v>data/formation/formation_allies.json</x:v>
      </x:c>
      <x:c r="B2432" s="21" t="str">
        <x:v>$/allies/2/opening_cd</x:v>
      </x:c>
      <x:c r="C2432" s="21" t="str">
        <x:v>float</x:v>
      </x:c>
      <x:c r="D2432" s="21" t="str">
        <x:v>3.0</x:v>
      </x:c>
    </x:row>
    <x:row r="2433" ht="22" customHeight="1">
      <x:c r="A2433" s="21" t="str">
        <x:v>data/formation/formation_allies.json</x:v>
      </x:c>
      <x:c r="B2433" s="21" t="str">
        <x:v>$/allies/2/skill_cd</x:v>
      </x:c>
      <x:c r="C2433" s="21" t="str">
        <x:v>float</x:v>
      </x:c>
      <x:c r="D2433" s="21" t="str">
        <x:v>12.0</x:v>
      </x:c>
    </x:row>
    <x:row r="2434" ht="22" customHeight="1">
      <x:c r="A2434" s="21" t="str">
        <x:v>data/formation/formation_allies.json</x:v>
      </x:c>
      <x:c r="B2434" s="21" t="str">
        <x:v>$/allies/2/silence_sec</x:v>
      </x:c>
      <x:c r="C2434" s="21" t="str">
        <x:v>float</x:v>
      </x:c>
      <x:c r="D2434" s="21" t="str">
        <x:v>3.5</x:v>
      </x:c>
    </x:row>
    <x:row r="2435" ht="22" customHeight="1">
      <x:c r="A2435" s="21" t="str">
        <x:v>data/formation/formation_allies.json</x:v>
      </x:c>
      <x:c r="B2435" s="21" t="str">
        <x:v>$/allies/2/lifesteal</x:v>
      </x:c>
      <x:c r="C2435" s="21" t="str">
        <x:v>float</x:v>
      </x:c>
      <x:c r="D2435" s="21" t="str">
        <x:v>0.18</x:v>
      </x:c>
    </x:row>
    <x:row r="2436" ht="22" customHeight="1">
      <x:c r="A2436" s="21" t="str">
        <x:v>data/formation/formation_allies.json</x:v>
      </x:c>
      <x:c r="B2436" s="21" t="str">
        <x:v>$/allies/2/model</x:v>
      </x:c>
      <x:c r="C2436" s="21" t="str">
        <x:v>string</x:v>
      </x:c>
      <x:c r="D2436" s="21" t="str">
        <x:v>"res://assets/models/allies/formation_ally_3_animated/formation_ally_3_animated.tscn"</x:v>
      </x:c>
    </x:row>
    <x:row r="2437" ht="22" customHeight="1">
      <x:c r="A2437" s="21" t="str">
        <x:v>data/formation/formation_allies.json</x:v>
      </x:c>
      <x:c r="B2437" s="21" t="str">
        <x:v>$/allies/2/model_visual_scale</x:v>
      </x:c>
      <x:c r="C2437" s="21" t="str">
        <x:v>int</x:v>
      </x:c>
      <x:c r="D2437" s="21" t="str">
        <x:v>3</x:v>
      </x:c>
    </x:row>
    <x:row r="2438" ht="22" customHeight="1">
      <x:c r="A2438" s="21" t="str">
        <x:v>data/formation/formation_allies.json</x:v>
      </x:c>
      <x:c r="B2438" s="21" t="str">
        <x:v>$/allies/2/footprint_cells</x:v>
      </x:c>
      <x:c r="C2438" s="21" t="str">
        <x:v>int</x:v>
      </x:c>
      <x:c r="D2438" s="21" t="str">
        <x:v>3</x:v>
      </x:c>
    </x:row>
    <x:row r="2439" ht="22" customHeight="1">
      <x:c r="A2439" s="21" t="str">
        <x:v>data/formation/formation_allies.json</x:v>
      </x:c>
      <x:c r="B2439" s="21" t="str">
        <x:v>$/allies/2/model_base_yaw</x:v>
      </x:c>
      <x:c r="C2439" s="21" t="str">
        <x:v>float</x:v>
      </x:c>
      <x:c r="D2439" s="21" t="str">
        <x:v>180.0</x:v>
      </x:c>
    </x:row>
    <x:row r="2440" ht="22" customHeight="1">
      <x:c r="A2440" s="21" t="str">
        <x:v>data/formation/formation_allies.json</x:v>
      </x:c>
      <x:c r="B2440" s="21" t="str">
        <x:v>$/allies/2/model_idle_animation_name</x:v>
      </x:c>
      <x:c r="C2440" s="21" t="str">
        <x:v>string</x:v>
      </x:c>
      <x:c r="D2440" s="21" t="str">
        <x:v>"idle"</x:v>
      </x:c>
    </x:row>
    <x:row r="2441" ht="22" customHeight="1">
      <x:c r="A2441" s="21" t="str">
        <x:v>data/formation/formation_allies.json</x:v>
      </x:c>
      <x:c r="B2441" s="21" t="str">
        <x:v>$/allies/2/model_attack_animation_name</x:v>
      </x:c>
      <x:c r="C2441" s="21" t="str">
        <x:v>string</x:v>
      </x:c>
      <x:c r="D2441" s="21" t="str">
        <x:v>"attack"</x:v>
      </x:c>
    </x:row>
    <x:row r="2442" ht="22" customHeight="1">
      <x:c r="A2442" s="21" t="str">
        <x:v>data/formation/formation_allies.json</x:v>
      </x:c>
      <x:c r="B2442" s="21" t="str">
        <x:v>$/allies/2/model_attack_sync_seek</x:v>
      </x:c>
      <x:c r="C2442" s="21" t="str">
        <x:v>float</x:v>
      </x:c>
      <x:c r="D2442" s="21" t="str">
        <x:v>0.2</x:v>
      </x:c>
    </x:row>
    <x:row r="2443" ht="22" customHeight="1">
      <x:c r="A2443" s="21" t="str">
        <x:v>data/formation/formation_allies.json</x:v>
      </x:c>
      <x:c r="B2443" s="21" t="str">
        <x:v>$/allies/2/model_attack_lock_time</x:v>
      </x:c>
      <x:c r="C2443" s="21" t="str">
        <x:v>float</x:v>
      </x:c>
      <x:c r="D2443" s="21" t="str">
        <x:v>0.45</x:v>
      </x:c>
    </x:row>
    <x:row r="2444" ht="22" customHeight="1">
      <x:c r="A2444" s="21" t="str">
        <x:v>data/formation/formation_allies.json</x:v>
      </x:c>
      <x:c r="B2444" s="21" t="str">
        <x:v>$/allies/2/model_run_animation_name</x:v>
      </x:c>
      <x:c r="C2444" s="21" t="str">
        <x:v>string</x:v>
      </x:c>
      <x:c r="D2444" s="21" t="str">
        <x:v>"run"</x:v>
      </x:c>
    </x:row>
    <x:row r="2445" ht="22" customHeight="1">
      <x:c r="A2445" s="21" t="str">
        <x:v>data/formation/formation_allies.json</x:v>
      </x:c>
      <x:c r="B2445" s="21" t="str">
        <x:v>$/allies/3</x:v>
      </x:c>
      <x:c r="C2445" s="21" t="str">
        <x:v>object</x:v>
      </x:c>
      <x:c r="D2445" s="21" t="str"/>
    </x:row>
    <x:row r="2446" ht="22" customHeight="1">
      <x:c r="A2446" s="21" t="str">
        <x:v>data/formation/formation_allies.json</x:v>
      </x:c>
      <x:c r="B2446" s="21" t="str">
        <x:v>$/allies/3/id</x:v>
      </x:c>
      <x:c r="C2446" s="21" t="str">
        <x:v>string</x:v>
      </x:c>
      <x:c r="D2446" s="21" t="str">
        <x:v>"ally_hell_inferno"</x:v>
      </x:c>
    </x:row>
    <x:row r="2447" ht="22" customHeight="1">
      <x:c r="A2447" s="21" t="str">
        <x:v>data/formation/formation_allies.json</x:v>
      </x:c>
      <x:c r="B2447" s="21" t="str">
        <x:v>$/allies/3/name</x:v>
      </x:c>
      <x:c r="C2447" s="21" t="str">
        <x:v>string</x:v>
      </x:c>
      <x:c r="D2447" s="21" t="str">
        <x:v>"炼狱焚界者"</x:v>
      </x:c>
    </x:row>
    <x:row r="2448" ht="22" customHeight="1">
      <x:c r="A2448" s="21" t="str">
        <x:v>data/formation/formation_allies.json</x:v>
      </x:c>
      <x:c r="B2448" s="21" t="str">
        <x:v>$/allies/3/name_en</x:v>
      </x:c>
      <x:c r="C2448" s="21" t="str">
        <x:v>string</x:v>
      </x:c>
      <x:c r="D2448" s="21" t="str">
        <x:v>"Inferno Scorcher"</x:v>
      </x:c>
    </x:row>
    <x:row r="2449" ht="22" customHeight="1">
      <x:c r="A2449" s="21" t="str">
        <x:v>data/formation/formation_allies.json</x:v>
      </x:c>
      <x:c r="B2449" s="21" t="str">
        <x:v>$/allies/3/hp_band</x:v>
      </x:c>
      <x:c r="C2449" s="21" t="str">
        <x:v>array</x:v>
      </x:c>
      <x:c r="D2449" s="21" t="str"/>
    </x:row>
    <x:row r="2450" ht="22" customHeight="1">
      <x:c r="A2450" s="21" t="str">
        <x:v>data/formation/formation_allies.json</x:v>
      </x:c>
      <x:c r="B2450" s="21" t="str">
        <x:v>$/allies/3/hp_band/0</x:v>
      </x:c>
      <x:c r="C2450" s="21" t="str">
        <x:v>int</x:v>
      </x:c>
      <x:c r="D2450" s="21" t="str">
        <x:v>31</x:v>
      </x:c>
    </x:row>
    <x:row r="2451" ht="22" customHeight="1">
      <x:c r="A2451" s="21" t="str">
        <x:v>data/formation/formation_allies.json</x:v>
      </x:c>
      <x:c r="B2451" s="21" t="str">
        <x:v>$/allies/3/hp_band/1</x:v>
      </x:c>
      <x:c r="C2451" s="21" t="str">
        <x:v>int</x:v>
      </x:c>
      <x:c r="D2451" s="21" t="str">
        <x:v>40</x:v>
      </x:c>
    </x:row>
    <x:row r="2452" ht="22" customHeight="1">
      <x:c r="A2452" s="21" t="str">
        <x:v>data/formation/formation_allies.json</x:v>
      </x:c>
      <x:c r="B2452" s="21" t="str">
        <x:v>$/allies/3/hp</x:v>
      </x:c>
      <x:c r="C2452" s="21" t="str">
        <x:v>int</x:v>
      </x:c>
      <x:c r="D2452" s="21" t="str">
        <x:v>4000</x:v>
      </x:c>
    </x:row>
    <x:row r="2453" ht="22" customHeight="1">
      <x:c r="A2453" s="21" t="str">
        <x:v>data/formation/formation_allies.json</x:v>
      </x:c>
      <x:c r="B2453" s="21" t="str">
        <x:v>$/allies/3/atk</x:v>
      </x:c>
      <x:c r="C2453" s="21" t="str">
        <x:v>int</x:v>
      </x:c>
      <x:c r="D2453" s="21" t="str">
        <x:v>127</x:v>
      </x:c>
    </x:row>
    <x:row r="2454" ht="22" customHeight="1">
      <x:c r="A2454" s="21" t="str">
        <x:v>data/formation/formation_allies.json</x:v>
      </x:c>
      <x:c r="B2454" s="21" t="str">
        <x:v>$/allies/3/def</x:v>
      </x:c>
      <x:c r="C2454" s="21" t="str">
        <x:v>int</x:v>
      </x:c>
      <x:c r="D2454" s="21" t="str">
        <x:v>24</x:v>
      </x:c>
    </x:row>
    <x:row r="2455" ht="22" customHeight="1">
      <x:c r="A2455" s="21" t="str">
        <x:v>data/formation/formation_allies.json</x:v>
      </x:c>
      <x:c r="B2455" s="21" t="str">
        <x:v>$/allies/3/attack_speed</x:v>
      </x:c>
      <x:c r="C2455" s="21" t="str">
        <x:v>float</x:v>
      </x:c>
      <x:c r="D2455" s="21" t="str">
        <x:v>0.9</x:v>
      </x:c>
    </x:row>
    <x:row r="2456" ht="22" customHeight="1">
      <x:c r="A2456" s="21" t="str">
        <x:v>data/formation/formation_allies.json</x:v>
      </x:c>
      <x:c r="B2456" s="21" t="str">
        <x:v>$/allies/3/range</x:v>
      </x:c>
      <x:c r="C2456" s="21" t="str">
        <x:v>int</x:v>
      </x:c>
      <x:c r="D2456" s="21" t="str">
        <x:v>5</x:v>
      </x:c>
    </x:row>
    <x:row r="2457" ht="22" customHeight="1">
      <x:c r="A2457" s="21" t="str">
        <x:v>data/formation/formation_allies.json</x:v>
      </x:c>
      <x:c r="B2457" s="21" t="str">
        <x:v>$/allies/3/move_speed</x:v>
      </x:c>
      <x:c r="C2457" s="21" t="str">
        <x:v>float</x:v>
      </x:c>
      <x:c r="D2457" s="21" t="str">
        <x:v>2.8</x:v>
      </x:c>
    </x:row>
    <x:row r="2458" ht="22" customHeight="1">
      <x:c r="A2458" s="21" t="str">
        <x:v>data/formation/formation_allies.json</x:v>
      </x:c>
      <x:c r="B2458" s="21" t="str">
        <x:v>$/allies/3/skill_id</x:v>
      </x:c>
      <x:c r="C2458" s="21" t="str">
        <x:v>string</x:v>
      </x:c>
      <x:c r="D2458" s="21" t="str">
        <x:v>"hell_burst"</x:v>
      </x:c>
    </x:row>
    <x:row r="2459" ht="22" customHeight="1">
      <x:c r="A2459" s="21" t="str">
        <x:v>data/formation/formation_allies.json</x:v>
      </x:c>
      <x:c r="B2459" s="21" t="str">
        <x:v>$/allies/3/skill_global</x:v>
      </x:c>
      <x:c r="C2459" s="21" t="str">
        <x:v>bool</x:v>
      </x:c>
      <x:c r="D2459" s="21" t="str">
        <x:v>true</x:v>
      </x:c>
    </x:row>
    <x:row r="2460" ht="22" customHeight="1">
      <x:c r="A2460" s="21" t="str">
        <x:v>data/formation/formation_allies.json</x:v>
      </x:c>
      <x:c r="B2460" s="21" t="str">
        <x:v>$/allies/3/opening_cd</x:v>
      </x:c>
      <x:c r="C2460" s="21" t="str">
        <x:v>float</x:v>
      </x:c>
      <x:c r="D2460" s="21" t="str">
        <x:v>3.0</x:v>
      </x:c>
    </x:row>
    <x:row r="2461" ht="22" customHeight="1">
      <x:c r="A2461" s="21" t="str">
        <x:v>data/formation/formation_allies.json</x:v>
      </x:c>
      <x:c r="B2461" s="21" t="str">
        <x:v>$/allies/3/skill_cd</x:v>
      </x:c>
      <x:c r="C2461" s="21" t="str">
        <x:v>float</x:v>
      </x:c>
      <x:c r="D2461" s="21" t="str">
        <x:v>9.0</x:v>
      </x:c>
    </x:row>
    <x:row r="2462" ht="22" customHeight="1">
      <x:c r="A2462" s="21" t="str">
        <x:v>data/formation/formation_allies.json</x:v>
      </x:c>
      <x:c r="B2462" s="21" t="str">
        <x:v>$/allies/3/burn_dps</x:v>
      </x:c>
      <x:c r="C2462" s="21" t="str">
        <x:v>int</x:v>
      </x:c>
      <x:c r="D2462" s="21" t="str">
        <x:v>100</x:v>
      </x:c>
    </x:row>
    <x:row r="2463" ht="22" customHeight="1">
      <x:c r="A2463" s="21" t="str">
        <x:v>data/formation/formation_allies.json</x:v>
      </x:c>
      <x:c r="B2463" s="21" t="str">
        <x:v>$/allies/3/burn_duration</x:v>
      </x:c>
      <x:c r="C2463" s="21" t="str">
        <x:v>float</x:v>
      </x:c>
      <x:c r="D2463" s="21" t="str">
        <x:v>5.0</x:v>
      </x:c>
    </x:row>
    <x:row r="2464" ht="22" customHeight="1">
      <x:c r="A2464" s="21" t="str">
        <x:v>data/formation/formation_allies.json</x:v>
      </x:c>
      <x:c r="B2464" s="21" t="str">
        <x:v>$/allies/3/attack_down_pct</x:v>
      </x:c>
      <x:c r="C2464" s="21" t="str">
        <x:v>float</x:v>
      </x:c>
      <x:c r="D2464" s="21" t="str">
        <x:v>0.25</x:v>
      </x:c>
    </x:row>
    <x:row r="2465" ht="22" customHeight="1">
      <x:c r="A2465" s="21" t="str">
        <x:v>data/formation/formation_allies.json</x:v>
      </x:c>
      <x:c r="B2465" s="21" t="str">
        <x:v>$/allies/3/attack_down_duration</x:v>
      </x:c>
      <x:c r="C2465" s="21" t="str">
        <x:v>float</x:v>
      </x:c>
      <x:c r="D2465" s="21" t="str">
        <x:v>5.0</x:v>
      </x:c>
    </x:row>
    <x:row r="2466" ht="22" customHeight="1">
      <x:c r="A2466" s="21" t="str">
        <x:v>data/formation/formation_allies.json</x:v>
      </x:c>
      <x:c r="B2466" s="21" t="str">
        <x:v>$/allies/3/model</x:v>
      </x:c>
      <x:c r="C2466" s="21" t="str">
        <x:v>string</x:v>
      </x:c>
      <x:c r="D2466" s="21" t="str">
        <x:v>"res://assets/models/allies/formation_ally_4_animated/formation_ally_4_animated.tscn"</x:v>
      </x:c>
    </x:row>
    <x:row r="2467" ht="22" customHeight="1">
      <x:c r="A2467" s="21" t="str">
        <x:v>data/formation/formation_allies.json</x:v>
      </x:c>
      <x:c r="B2467" s="21" t="str">
        <x:v>$/allies/3/model_visual_scale</x:v>
      </x:c>
      <x:c r="C2467" s="21" t="str">
        <x:v>int</x:v>
      </x:c>
      <x:c r="D2467" s="21" t="str">
        <x:v>4</x:v>
      </x:c>
    </x:row>
    <x:row r="2468" ht="22" customHeight="1">
      <x:c r="A2468" s="21" t="str">
        <x:v>data/formation/formation_allies.json</x:v>
      </x:c>
      <x:c r="B2468" s="21" t="str">
        <x:v>$/allies/3/footprint_cells</x:v>
      </x:c>
      <x:c r="C2468" s="21" t="str">
        <x:v>int</x:v>
      </x:c>
      <x:c r="D2468" s="21" t="str">
        <x:v>4</x:v>
      </x:c>
    </x:row>
    <x:row r="2469" ht="22" customHeight="1">
      <x:c r="A2469" s="21" t="str">
        <x:v>data/formation/formation_allies.json</x:v>
      </x:c>
      <x:c r="B2469" s="21" t="str">
        <x:v>$/allies/3/model_base_yaw</x:v>
      </x:c>
      <x:c r="C2469" s="21" t="str">
        <x:v>float</x:v>
      </x:c>
      <x:c r="D2469" s="21" t="str">
        <x:v>180.0</x:v>
      </x:c>
    </x:row>
    <x:row r="2470" ht="22" customHeight="1">
      <x:c r="A2470" s="21" t="str">
        <x:v>data/formation/formation_allies.json</x:v>
      </x:c>
      <x:c r="B2470" s="21" t="str">
        <x:v>$/allies/3/model_idle_animation_name</x:v>
      </x:c>
      <x:c r="C2470" s="21" t="str">
        <x:v>string</x:v>
      </x:c>
      <x:c r="D2470" s="21" t="str">
        <x:v>"idle"</x:v>
      </x:c>
    </x:row>
    <x:row r="2471" ht="22" customHeight="1">
      <x:c r="A2471" s="21" t="str">
        <x:v>data/formation/formation_allies.json</x:v>
      </x:c>
      <x:c r="B2471" s="21" t="str">
        <x:v>$/allies/3/model_attack_animation_name</x:v>
      </x:c>
      <x:c r="C2471" s="21" t="str">
        <x:v>string</x:v>
      </x:c>
      <x:c r="D2471" s="21" t="str">
        <x:v>"attack"</x:v>
      </x:c>
    </x:row>
    <x:row r="2472" ht="22" customHeight="1">
      <x:c r="A2472" s="21" t="str">
        <x:v>data/formation/formation_allies.json</x:v>
      </x:c>
      <x:c r="B2472" s="21" t="str">
        <x:v>$/allies/3/model_attack_sync_seek</x:v>
      </x:c>
      <x:c r="C2472" s="21" t="str">
        <x:v>float</x:v>
      </x:c>
      <x:c r="D2472" s="21" t="str">
        <x:v>0.2</x:v>
      </x:c>
    </x:row>
    <x:row r="2473" ht="22" customHeight="1">
      <x:c r="A2473" s="21" t="str">
        <x:v>data/formation/formation_allies.json</x:v>
      </x:c>
      <x:c r="B2473" s="21" t="str">
        <x:v>$/allies/3/model_attack_lock_time</x:v>
      </x:c>
      <x:c r="C2473" s="21" t="str">
        <x:v>float</x:v>
      </x:c>
      <x:c r="D2473" s="21" t="str">
        <x:v>0.45</x:v>
      </x:c>
    </x:row>
    <x:row r="2474" ht="22" customHeight="1">
      <x:c r="A2474" s="21" t="str">
        <x:v>data/formation/formation_allies.json</x:v>
      </x:c>
      <x:c r="B2474" s="21" t="str">
        <x:v>$/allies/3/model_run_animation_name</x:v>
      </x:c>
      <x:c r="C2474" s="21" t="str">
        <x:v>string</x:v>
      </x:c>
      <x:c r="D2474" s="21" t="str">
        <x:v>"run"</x:v>
      </x:c>
    </x:row>
    <x:row r="2475" ht="22" customHeight="1">
      <x:c r="A2475" s="21" t="str">
        <x:v>data/formation/formation_allies.json</x:v>
      </x:c>
      <x:c r="B2475" s="21" t="str">
        <x:v>$/allies/4</x:v>
      </x:c>
      <x:c r="C2475" s="21" t="str">
        <x:v>object</x:v>
      </x:c>
      <x:c r="D2475" s="21" t="str"/>
    </x:row>
    <x:row r="2476" ht="22" customHeight="1">
      <x:c r="A2476" s="21" t="str">
        <x:v>data/formation/formation_allies.json</x:v>
      </x:c>
      <x:c r="B2476" s="21" t="str">
        <x:v>$/allies/4/id</x:v>
      </x:c>
      <x:c r="C2476" s="21" t="str">
        <x:v>string</x:v>
      </x:c>
      <x:c r="D2476" s="21" t="str">
        <x:v>"ally_eternal_night"</x:v>
      </x:c>
    </x:row>
    <x:row r="2477" ht="22" customHeight="1">
      <x:c r="A2477" s="21" t="str">
        <x:v>data/formation/formation_allies.json</x:v>
      </x:c>
      <x:c r="B2477" s="21" t="str">
        <x:v>$/allies/4/name</x:v>
      </x:c>
      <x:c r="C2477" s="21" t="str">
        <x:v>string</x:v>
      </x:c>
      <x:c r="D2477" s="21" t="str">
        <x:v>"深渊魔君·厄夜"</x:v>
      </x:c>
    </x:row>
    <x:row r="2478" ht="22" customHeight="1">
      <x:c r="A2478" s="21" t="str">
        <x:v>data/formation/formation_allies.json</x:v>
      </x:c>
      <x:c r="B2478" s="21" t="str">
        <x:v>$/allies/4/name_en</x:v>
      </x:c>
      <x:c r="C2478" s="21" t="str">
        <x:v>string</x:v>
      </x:c>
      <x:c r="D2478" s="21" t="str">
        <x:v>"Abyss Lord · Eternal Night"</x:v>
      </x:c>
    </x:row>
    <x:row r="2479" ht="22" customHeight="1">
      <x:c r="A2479" s="21" t="str">
        <x:v>data/formation/formation_allies.json</x:v>
      </x:c>
      <x:c r="B2479" s="21" t="str">
        <x:v>$/allies/4/hp_band</x:v>
      </x:c>
      <x:c r="C2479" s="21" t="str">
        <x:v>array</x:v>
      </x:c>
      <x:c r="D2479" s="21" t="str"/>
    </x:row>
    <x:row r="2480" ht="22" customHeight="1">
      <x:c r="A2480" s="21" t="str">
        <x:v>data/formation/formation_allies.json</x:v>
      </x:c>
      <x:c r="B2480" s="21" t="str">
        <x:v>$/allies/4/hp_band/0</x:v>
      </x:c>
      <x:c r="C2480" s="21" t="str">
        <x:v>int</x:v>
      </x:c>
      <x:c r="D2480" s="21" t="str">
        <x:v>41</x:v>
      </x:c>
    </x:row>
    <x:row r="2481" ht="22" customHeight="1">
      <x:c r="A2481" s="21" t="str">
        <x:v>data/formation/formation_allies.json</x:v>
      </x:c>
      <x:c r="B2481" s="21" t="str">
        <x:v>$/allies/4/hp_band/1</x:v>
      </x:c>
      <x:c r="C2481" s="21" t="str">
        <x:v>int</x:v>
      </x:c>
      <x:c r="D2481" s="21" t="str">
        <x:v>50</x:v>
      </x:c>
    </x:row>
    <x:row r="2482" ht="22" customHeight="1">
      <x:c r="A2482" s="21" t="str">
        <x:v>data/formation/formation_allies.json</x:v>
      </x:c>
      <x:c r="B2482" s="21" t="str">
        <x:v>$/allies/4/hp</x:v>
      </x:c>
      <x:c r="C2482" s="21" t="str">
        <x:v>int</x:v>
      </x:c>
      <x:c r="D2482" s="21" t="str">
        <x:v>5200</x:v>
      </x:c>
    </x:row>
    <x:row r="2483" ht="22" customHeight="1">
      <x:c r="A2483" s="21" t="str">
        <x:v>data/formation/formation_allies.json</x:v>
      </x:c>
      <x:c r="B2483" s="21" t="str">
        <x:v>$/allies/4/atk</x:v>
      </x:c>
      <x:c r="C2483" s="21" t="str">
        <x:v>int</x:v>
      </x:c>
      <x:c r="D2483" s="21" t="str">
        <x:v>160</x:v>
      </x:c>
    </x:row>
    <x:row r="2484" ht="22" customHeight="1">
      <x:c r="A2484" s="21" t="str">
        <x:v>data/formation/formation_allies.json</x:v>
      </x:c>
      <x:c r="B2484" s="21" t="str">
        <x:v>$/allies/4/def</x:v>
      </x:c>
      <x:c r="C2484" s="21" t="str">
        <x:v>int</x:v>
      </x:c>
      <x:c r="D2484" s="21" t="str">
        <x:v>30</x:v>
      </x:c>
    </x:row>
    <x:row r="2485" ht="22" customHeight="1">
      <x:c r="A2485" s="21" t="str">
        <x:v>data/formation/formation_allies.json</x:v>
      </x:c>
      <x:c r="B2485" s="21" t="str">
        <x:v>$/allies/4/attack_speed</x:v>
      </x:c>
      <x:c r="C2485" s="21" t="str">
        <x:v>float</x:v>
      </x:c>
      <x:c r="D2485" s="21" t="str">
        <x:v>0.85</x:v>
      </x:c>
    </x:row>
    <x:row r="2486" ht="22" customHeight="1">
      <x:c r="A2486" s="21" t="str">
        <x:v>data/formation/formation_allies.json</x:v>
      </x:c>
      <x:c r="B2486" s="21" t="str">
        <x:v>$/allies/4/range</x:v>
      </x:c>
      <x:c r="C2486" s="21" t="str">
        <x:v>int</x:v>
      </x:c>
      <x:c r="D2486" s="21" t="str">
        <x:v>1</x:v>
      </x:c>
    </x:row>
    <x:row r="2487" ht="22" customHeight="1">
      <x:c r="A2487" s="21" t="str">
        <x:v>data/formation/formation_allies.json</x:v>
      </x:c>
      <x:c r="B2487" s="21" t="str">
        <x:v>$/allies/4/move_speed</x:v>
      </x:c>
      <x:c r="C2487" s="21" t="str">
        <x:v>float</x:v>
      </x:c>
      <x:c r="D2487" s="21" t="str">
        <x:v>3.0</x:v>
      </x:c>
    </x:row>
    <x:row r="2488" ht="22" customHeight="1">
      <x:c r="A2488" s="21" t="str">
        <x:v>data/formation/formation_allies.json</x:v>
      </x:c>
      <x:c r="B2488" s="21" t="str">
        <x:v>$/allies/4/skill_id</x:v>
      </x:c>
      <x:c r="C2488" s="21" t="str">
        <x:v>string</x:v>
      </x:c>
      <x:c r="D2488" s="21" t="str">
        <x:v>"eternal_night"</x:v>
      </x:c>
    </x:row>
    <x:row r="2489" ht="22" customHeight="1">
      <x:c r="A2489" s="21" t="str">
        <x:v>data/formation/formation_allies.json</x:v>
      </x:c>
      <x:c r="B2489" s="21" t="str">
        <x:v>$/allies/4/skill_global</x:v>
      </x:c>
      <x:c r="C2489" s="21" t="str">
        <x:v>bool</x:v>
      </x:c>
      <x:c r="D2489" s="21" t="str">
        <x:v>true</x:v>
      </x:c>
    </x:row>
    <x:row r="2490" ht="22" customHeight="1">
      <x:c r="A2490" s="21" t="str">
        <x:v>data/formation/formation_allies.json</x:v>
      </x:c>
      <x:c r="B2490" s="21" t="str">
        <x:v>$/allies/4/opening_cd</x:v>
      </x:c>
      <x:c r="C2490" s="21" t="str">
        <x:v>float</x:v>
      </x:c>
      <x:c r="D2490" s="21" t="str">
        <x:v>3.5</x:v>
      </x:c>
    </x:row>
    <x:row r="2491" ht="22" customHeight="1">
      <x:c r="A2491" s="21" t="str">
        <x:v>data/formation/formation_allies.json</x:v>
      </x:c>
      <x:c r="B2491" s="21" t="str">
        <x:v>$/allies/4/skill_cd</x:v>
      </x:c>
      <x:c r="C2491" s="21" t="str">
        <x:v>float</x:v>
      </x:c>
      <x:c r="D2491" s="21" t="str">
        <x:v>12.0</x:v>
      </x:c>
    </x:row>
    <x:row r="2492" ht="22" customHeight="1">
      <x:c r="A2492" s="21" t="str">
        <x:v>data/formation/formation_allies.json</x:v>
      </x:c>
      <x:c r="B2492" s="21" t="str">
        <x:v>$/allies/4/meteor_damage</x:v>
      </x:c>
      <x:c r="C2492" s="21" t="str">
        <x:v>int</x:v>
      </x:c>
      <x:c r="D2492" s="21" t="str">
        <x:v>800</x:v>
      </x:c>
    </x:row>
    <x:row r="2493" ht="22" customHeight="1">
      <x:c r="A2493" s="21" t="str">
        <x:v>data/formation/formation_allies.json</x:v>
      </x:c>
      <x:c r="B2493" s="21" t="str">
        <x:v>$/allies/4/model</x:v>
      </x:c>
      <x:c r="C2493" s="21" t="str">
        <x:v>string</x:v>
      </x:c>
      <x:c r="D2493" s="21" t="str">
        <x:v>"res://assets/models/allies/formation_ally_5_animated/formation_ally_5_animated.tscn"</x:v>
      </x:c>
    </x:row>
    <x:row r="2494" ht="22" customHeight="1">
      <x:c r="A2494" s="21" t="str">
        <x:v>data/formation/formation_allies.json</x:v>
      </x:c>
      <x:c r="B2494" s="21" t="str">
        <x:v>$/allies/4/model_visual_scale</x:v>
      </x:c>
      <x:c r="C2494" s="21" t="str">
        <x:v>int</x:v>
      </x:c>
      <x:c r="D2494" s="21" t="str">
        <x:v>3</x:v>
      </x:c>
    </x:row>
    <x:row r="2495" ht="22" customHeight="1">
      <x:c r="A2495" s="21" t="str">
        <x:v>data/formation/formation_allies.json</x:v>
      </x:c>
      <x:c r="B2495" s="21" t="str">
        <x:v>$/allies/4/footprint_cells</x:v>
      </x:c>
      <x:c r="C2495" s="21" t="str">
        <x:v>int</x:v>
      </x:c>
      <x:c r="D2495" s="21" t="str">
        <x:v>3</x:v>
      </x:c>
    </x:row>
    <x:row r="2496" ht="22" customHeight="1">
      <x:c r="A2496" s="21" t="str">
        <x:v>data/formation/formation_allies.json</x:v>
      </x:c>
      <x:c r="B2496" s="21" t="str">
        <x:v>$/allies/4/model_base_yaw</x:v>
      </x:c>
      <x:c r="C2496" s="21" t="str">
        <x:v>float</x:v>
      </x:c>
      <x:c r="D2496" s="21" t="str">
        <x:v>180.0</x:v>
      </x:c>
    </x:row>
    <x:row r="2497" ht="22" customHeight="1">
      <x:c r="A2497" s="21" t="str">
        <x:v>data/formation/formation_allies.json</x:v>
      </x:c>
      <x:c r="B2497" s="21" t="str">
        <x:v>$/allies/4/model_idle_animation_name</x:v>
      </x:c>
      <x:c r="C2497" s="21" t="str">
        <x:v>string</x:v>
      </x:c>
      <x:c r="D2497" s="21" t="str">
        <x:v>"idle"</x:v>
      </x:c>
    </x:row>
    <x:row r="2498" ht="22" customHeight="1">
      <x:c r="A2498" s="21" t="str">
        <x:v>data/formation/formation_allies.json</x:v>
      </x:c>
      <x:c r="B2498" s="21" t="str">
        <x:v>$/allies/4/model_attack_animation_name</x:v>
      </x:c>
      <x:c r="C2498" s="21" t="str">
        <x:v>string</x:v>
      </x:c>
      <x:c r="D2498" s="21" t="str">
        <x:v>"attack"</x:v>
      </x:c>
    </x:row>
    <x:row r="2499" ht="22" customHeight="1">
      <x:c r="A2499" s="21" t="str">
        <x:v>data/formation/formation_allies.json</x:v>
      </x:c>
      <x:c r="B2499" s="21" t="str">
        <x:v>$/allies/4/model_attack_sync_seek</x:v>
      </x:c>
      <x:c r="C2499" s="21" t="str">
        <x:v>float</x:v>
      </x:c>
      <x:c r="D2499" s="21" t="str">
        <x:v>0.2</x:v>
      </x:c>
    </x:row>
    <x:row r="2500" ht="22" customHeight="1">
      <x:c r="A2500" s="21" t="str">
        <x:v>data/formation/formation_allies.json</x:v>
      </x:c>
      <x:c r="B2500" s="21" t="str">
        <x:v>$/allies/4/model_attack_lock_time</x:v>
      </x:c>
      <x:c r="C2500" s="21" t="str">
        <x:v>float</x:v>
      </x:c>
      <x:c r="D2500" s="21" t="str">
        <x:v>0.45</x:v>
      </x:c>
    </x:row>
    <x:row r="2501" ht="22" customHeight="1">
      <x:c r="A2501" s="21" t="str">
        <x:v>data/formation/formation_allies.json</x:v>
      </x:c>
      <x:c r="B2501" s="21" t="str">
        <x:v>$/allies/4/model_run_animation_name</x:v>
      </x:c>
      <x:c r="C2501" s="21" t="str">
        <x:v>string</x:v>
      </x:c>
      <x:c r="D2501" s="21" t="str">
        <x:v>"run"</x:v>
      </x:c>
    </x:row>
    <x:row r="2502" ht="22" customHeight="1">
      <x:c r="A2502" s="21" t="str">
        <x:v>data/pets/pets.json</x:v>
      </x:c>
      <x:c r="B2502" s="21" t="str">
        <x:v>$</x:v>
      </x:c>
      <x:c r="C2502" s="21" t="str">
        <x:v>object</x:v>
      </x:c>
      <x:c r="D2502" s="21" t="str"/>
    </x:row>
    <x:row r="2503" ht="22" customHeight="1">
      <x:c r="A2503" s="21" t="str">
        <x:v>data/pets/pets.json</x:v>
      </x:c>
      <x:c r="B2503" s="21" t="str">
        <x:v>$/starter_ids</x:v>
      </x:c>
      <x:c r="C2503" s="21" t="str">
        <x:v>array</x:v>
      </x:c>
      <x:c r="D2503" s="21" t="str"/>
    </x:row>
    <x:row r="2504" ht="22" customHeight="1">
      <x:c r="A2504" s="21" t="str">
        <x:v>data/pets/pets.json</x:v>
      </x:c>
      <x:c r="B2504" s="21" t="str">
        <x:v>$/starter_ids/0</x:v>
      </x:c>
      <x:c r="C2504" s="21" t="str">
        <x:v>string</x:v>
      </x:c>
      <x:c r="D2504" s="21" t="str">
        <x:v>"pet_mushroom"</x:v>
      </x:c>
    </x:row>
    <x:row r="2505" ht="22" customHeight="1">
      <x:c r="A2505" s="21" t="str">
        <x:v>data/pets/pets.json</x:v>
      </x:c>
      <x:c r="B2505" s="21" t="str">
        <x:v>$/starter_ids/1</x:v>
      </x:c>
      <x:c r="C2505" s="21" t="str">
        <x:v>string</x:v>
      </x:c>
      <x:c r="D2505" s="21" t="str">
        <x:v>"pet_cat"</x:v>
      </x:c>
    </x:row>
    <x:row r="2506" ht="22" customHeight="1">
      <x:c r="A2506" s="21" t="str">
        <x:v>data/pets/pets.json</x:v>
      </x:c>
      <x:c r="B2506" s="21" t="str">
        <x:v>$/starter_ids/2</x:v>
      </x:c>
      <x:c r="C2506" s="21" t="str">
        <x:v>string</x:v>
      </x:c>
      <x:c r="D2506" s="21" t="str">
        <x:v>"pet_rabbit"</x:v>
      </x:c>
    </x:row>
    <x:row r="2507" ht="22" customHeight="1">
      <x:c r="A2507" s="21" t="str">
        <x:v>data/pets/pets.json</x:v>
      </x:c>
      <x:c r="B2507" s="21" t="str">
        <x:v>$/pets</x:v>
      </x:c>
      <x:c r="C2507" s="21" t="str">
        <x:v>array</x:v>
      </x:c>
      <x:c r="D2507" s="21" t="str"/>
    </x:row>
    <x:row r="2508" ht="22" customHeight="1">
      <x:c r="A2508" s="21" t="str">
        <x:v>data/pets/pets.json</x:v>
      </x:c>
      <x:c r="B2508" s="21" t="str">
        <x:v>$/pets/0</x:v>
      </x:c>
      <x:c r="C2508" s="21" t="str">
        <x:v>object</x:v>
      </x:c>
      <x:c r="D2508" s="21" t="str"/>
    </x:row>
    <x:row r="2509" ht="22" customHeight="1">
      <x:c r="A2509" s="21" t="str">
        <x:v>data/pets/pets.json</x:v>
      </x:c>
      <x:c r="B2509" s="21" t="str">
        <x:v>$/pets/0/id</x:v>
      </x:c>
      <x:c r="C2509" s="21" t="str">
        <x:v>string</x:v>
      </x:c>
      <x:c r="D2509" s="21" t="str">
        <x:v>"pet_mushroom"</x:v>
      </x:c>
    </x:row>
    <x:row r="2510" ht="22" customHeight="1">
      <x:c r="A2510" s="21" t="str">
        <x:v>data/pets/pets.json</x:v>
      </x:c>
      <x:c r="B2510" s="21" t="str">
        <x:v>$/pets/0/name</x:v>
      </x:c>
      <x:c r="C2510" s="21" t="str">
        <x:v>string</x:v>
      </x:c>
      <x:c r="D2510" s="21" t="str">
        <x:v>"蘑菇"</x:v>
      </x:c>
    </x:row>
    <x:row r="2511" ht="22" customHeight="1">
      <x:c r="A2511" s="21" t="str">
        <x:v>data/pets/pets.json</x:v>
      </x:c>
      <x:c r="B2511" s="21" t="str">
        <x:v>$/pets/0/name_en</x:v>
      </x:c>
      <x:c r="C2511" s="21" t="str">
        <x:v>string</x:v>
      </x:c>
      <x:c r="D2511" s="21" t="str">
        <x:v>"Mushroom"</x:v>
      </x:c>
    </x:row>
    <x:row r="2512" ht="22" customHeight="1">
      <x:c r="A2512" s="21" t="str">
        <x:v>data/pets/pets.json</x:v>
      </x:c>
      <x:c r="B2512" s="21" t="str">
        <x:v>$/pets/0/effect</x:v>
      </x:c>
      <x:c r="C2512" s="21" t="str">
        <x:v>string</x:v>
      </x:c>
      <x:c r="D2512" s="21" t="str">
        <x:v>"self_hp_pct"</x:v>
      </x:c>
    </x:row>
    <x:row r="2513" ht="22" customHeight="1">
      <x:c r="A2513" s="21" t="str">
        <x:v>data/pets/pets.json</x:v>
      </x:c>
      <x:c r="B2513" s="21" t="str">
        <x:v>$/pets/0/value</x:v>
      </x:c>
      <x:c r="C2513" s="21" t="str">
        <x:v>float</x:v>
      </x:c>
      <x:c r="D2513" s="21" t="str">
        <x:v>0.1</x:v>
      </x:c>
    </x:row>
    <x:row r="2514" ht="22" customHeight="1">
      <x:c r="A2514" s="21" t="str">
        <x:v>data/pets/pets.json</x:v>
      </x:c>
      <x:c r="B2514" s="21" t="str">
        <x:v>$/pets/0/model</x:v>
      </x:c>
      <x:c r="C2514" s="21" t="str">
        <x:v>string</x:v>
      </x:c>
      <x:c r="D2514" s="21" t="str">
        <x:v>"res://assets/models/pets/pet_mushroom/pet_mushroom_animated.tscn"</x:v>
      </x:c>
    </x:row>
    <x:row r="2515" ht="22" customHeight="1">
      <x:c r="A2515" s="21" t="str">
        <x:v>data/pets/pets.json</x:v>
      </x:c>
      <x:c r="B2515" s="21" t="str">
        <x:v>$/pets/0/model_scale</x:v>
      </x:c>
      <x:c r="C2515" s="21" t="str">
        <x:v>float</x:v>
      </x:c>
      <x:c r="D2515" s="21" t="str">
        <x:v>1.0</x:v>
      </x:c>
    </x:row>
    <x:row r="2516" ht="22" customHeight="1">
      <x:c r="A2516" s="21" t="str">
        <x:v>data/pets/pets.json</x:v>
      </x:c>
      <x:c r="B2516" s="21" t="str">
        <x:v>$/pets/0/model_y</x:v>
      </x:c>
      <x:c r="C2516" s="21" t="str">
        <x:v>float</x:v>
      </x:c>
      <x:c r="D2516" s="21" t="str">
        <x:v>0.0</x:v>
      </x:c>
    </x:row>
    <x:row r="2517" ht="22" customHeight="1">
      <x:c r="A2517" s="21" t="str">
        <x:v>data/pets/pets.json</x:v>
      </x:c>
      <x:c r="B2517" s="21" t="str">
        <x:v>$/pets/0/icon</x:v>
      </x:c>
      <x:c r="C2517" s="21" t="str">
        <x:v>string</x:v>
      </x:c>
      <x:c r="D2517" s="21" t="str">
        <x:v>"res://assets/ui/pets/pet_mushroom_illustration.png"</x:v>
      </x:c>
    </x:row>
    <x:row r="2518" ht="22" customHeight="1">
      <x:c r="A2518" s="21" t="str">
        <x:v>data/pets/pets.json</x:v>
      </x:c>
      <x:c r="B2518" s="21" t="str">
        <x:v>$/pets/1</x:v>
      </x:c>
      <x:c r="C2518" s="21" t="str">
        <x:v>object</x:v>
      </x:c>
      <x:c r="D2518" s="21" t="str"/>
    </x:row>
    <x:row r="2519" ht="22" customHeight="1">
      <x:c r="A2519" s="21" t="str">
        <x:v>data/pets/pets.json</x:v>
      </x:c>
      <x:c r="B2519" s="21" t="str">
        <x:v>$/pets/1/id</x:v>
      </x:c>
      <x:c r="C2519" s="21" t="str">
        <x:v>string</x:v>
      </x:c>
      <x:c r="D2519" s="21" t="str">
        <x:v>"pet_cat"</x:v>
      </x:c>
    </x:row>
    <x:row r="2520" ht="22" customHeight="1">
      <x:c r="A2520" s="21" t="str">
        <x:v>data/pets/pets.json</x:v>
      </x:c>
      <x:c r="B2520" s="21" t="str">
        <x:v>$/pets/1/name</x:v>
      </x:c>
      <x:c r="C2520" s="21" t="str">
        <x:v>string</x:v>
      </x:c>
      <x:c r="D2520" s="21" t="str">
        <x:v>"猫"</x:v>
      </x:c>
    </x:row>
    <x:row r="2521" ht="22" customHeight="1">
      <x:c r="A2521" s="21" t="str">
        <x:v>data/pets/pets.json</x:v>
      </x:c>
      <x:c r="B2521" s="21" t="str">
        <x:v>$/pets/1/name_en</x:v>
      </x:c>
      <x:c r="C2521" s="21" t="str">
        <x:v>string</x:v>
      </x:c>
      <x:c r="D2521" s="21" t="str">
        <x:v>"Cat"</x:v>
      </x:c>
    </x:row>
    <x:row r="2522" ht="22" customHeight="1">
      <x:c r="A2522" s="21" t="str">
        <x:v>data/pets/pets.json</x:v>
      </x:c>
      <x:c r="B2522" s="21" t="str">
        <x:v>$/pets/1/effect</x:v>
      </x:c>
      <x:c r="C2522" s="21" t="str">
        <x:v>string</x:v>
      </x:c>
      <x:c r="D2522" s="21" t="str">
        <x:v>"interest_pct"</x:v>
      </x:c>
    </x:row>
    <x:row r="2523" ht="22" customHeight="1">
      <x:c r="A2523" s="21" t="str">
        <x:v>data/pets/pets.json</x:v>
      </x:c>
      <x:c r="B2523" s="21" t="str">
        <x:v>$/pets/1/value</x:v>
      </x:c>
      <x:c r="C2523" s="21" t="str">
        <x:v>float</x:v>
      </x:c>
      <x:c r="D2523" s="21" t="str">
        <x:v>0.05</x:v>
      </x:c>
    </x:row>
    <x:row r="2524" ht="22" customHeight="1">
      <x:c r="A2524" s="21" t="str">
        <x:v>data/pets/pets.json</x:v>
      </x:c>
      <x:c r="B2524" s="21" t="str">
        <x:v>$/pets/1/model</x:v>
      </x:c>
      <x:c r="C2524" s="21" t="str">
        <x:v>string</x:v>
      </x:c>
      <x:c r="D2524" s="21" t="str">
        <x:v>"res://assets/models/pets/pet_cat/pet_cat_animated.tscn"</x:v>
      </x:c>
    </x:row>
    <x:row r="2525" ht="22" customHeight="1">
      <x:c r="A2525" s="21" t="str">
        <x:v>data/pets/pets.json</x:v>
      </x:c>
      <x:c r="B2525" s="21" t="str">
        <x:v>$/pets/1/model_scale</x:v>
      </x:c>
      <x:c r="C2525" s="21" t="str">
        <x:v>float</x:v>
      </x:c>
      <x:c r="D2525" s="21" t="str">
        <x:v>1.0</x:v>
      </x:c>
    </x:row>
    <x:row r="2526" ht="22" customHeight="1">
      <x:c r="A2526" s="21" t="str">
        <x:v>data/pets/pets.json</x:v>
      </x:c>
      <x:c r="B2526" s="21" t="str">
        <x:v>$/pets/1/model_y</x:v>
      </x:c>
      <x:c r="C2526" s="21" t="str">
        <x:v>float</x:v>
      </x:c>
      <x:c r="D2526" s="21" t="str">
        <x:v>0.0</x:v>
      </x:c>
    </x:row>
    <x:row r="2527" ht="22" customHeight="1">
      <x:c r="A2527" s="21" t="str">
        <x:v>data/pets/pets.json</x:v>
      </x:c>
      <x:c r="B2527" s="21" t="str">
        <x:v>$/pets/1/icon</x:v>
      </x:c>
      <x:c r="C2527" s="21" t="str">
        <x:v>string</x:v>
      </x:c>
      <x:c r="D2527" s="21" t="str">
        <x:v>"res://assets/ui/pets/pet_cat_illustration.png"</x:v>
      </x:c>
    </x:row>
    <x:row r="2528" ht="22" customHeight="1">
      <x:c r="A2528" s="21" t="str">
        <x:v>data/pets/pets.json</x:v>
      </x:c>
      <x:c r="B2528" s="21" t="str">
        <x:v>$/pets/2</x:v>
      </x:c>
      <x:c r="C2528" s="21" t="str">
        <x:v>object</x:v>
      </x:c>
      <x:c r="D2528" s="21" t="str"/>
    </x:row>
    <x:row r="2529" ht="22" customHeight="1">
      <x:c r="A2529" s="21" t="str">
        <x:v>data/pets/pets.json</x:v>
      </x:c>
      <x:c r="B2529" s="21" t="str">
        <x:v>$/pets/2/id</x:v>
      </x:c>
      <x:c r="C2529" s="21" t="str">
        <x:v>string</x:v>
      </x:c>
      <x:c r="D2529" s="21" t="str">
        <x:v>"pet_rabbit"</x:v>
      </x:c>
    </x:row>
    <x:row r="2530" ht="22" customHeight="1">
      <x:c r="A2530" s="21" t="str">
        <x:v>data/pets/pets.json</x:v>
      </x:c>
      <x:c r="B2530" s="21" t="str">
        <x:v>$/pets/2/name</x:v>
      </x:c>
      <x:c r="C2530" s="21" t="str">
        <x:v>string</x:v>
      </x:c>
      <x:c r="D2530" s="21" t="str">
        <x:v>"兔子"</x:v>
      </x:c>
    </x:row>
    <x:row r="2531" ht="22" customHeight="1">
      <x:c r="A2531" s="21" t="str">
        <x:v>data/pets/pets.json</x:v>
      </x:c>
      <x:c r="B2531" s="21" t="str">
        <x:v>$/pets/2/name_en</x:v>
      </x:c>
      <x:c r="C2531" s="21" t="str">
        <x:v>string</x:v>
      </x:c>
      <x:c r="D2531" s="21" t="str">
        <x:v>"Rabbit"</x:v>
      </x:c>
    </x:row>
    <x:row r="2532" ht="22" customHeight="1">
      <x:c r="A2532" s="21" t="str">
        <x:v>data/pets/pets.json</x:v>
      </x:c>
      <x:c r="B2532" s="21" t="str">
        <x:v>$/pets/2/effect</x:v>
      </x:c>
      <x:c r="C2532" s="21" t="str">
        <x:v>string</x:v>
      </x:c>
      <x:c r="D2532" s="21" t="str">
        <x:v>"self_atk_pct"</x:v>
      </x:c>
    </x:row>
    <x:row r="2533" ht="22" customHeight="1">
      <x:c r="A2533" s="21" t="str">
        <x:v>data/pets/pets.json</x:v>
      </x:c>
      <x:c r="B2533" s="21" t="str">
        <x:v>$/pets/2/value</x:v>
      </x:c>
      <x:c r="C2533" s="21" t="str">
        <x:v>float</x:v>
      </x:c>
      <x:c r="D2533" s="21" t="str">
        <x:v>0.1</x:v>
      </x:c>
    </x:row>
    <x:row r="2534" ht="22" customHeight="1">
      <x:c r="A2534" s="21" t="str">
        <x:v>data/pets/pets.json</x:v>
      </x:c>
      <x:c r="B2534" s="21" t="str">
        <x:v>$/pets/2/model</x:v>
      </x:c>
      <x:c r="C2534" s="21" t="str">
        <x:v>string</x:v>
      </x:c>
      <x:c r="D2534" s="21" t="str">
        <x:v>"res://assets/models/pets/pet_rabbit/pet_rabbit_animated.tscn"</x:v>
      </x:c>
    </x:row>
    <x:row r="2535" ht="22" customHeight="1">
      <x:c r="A2535" s="21" t="str">
        <x:v>data/pets/pets.json</x:v>
      </x:c>
      <x:c r="B2535" s="21" t="str">
        <x:v>$/pets/2/model_scale</x:v>
      </x:c>
      <x:c r="C2535" s="21" t="str">
        <x:v>float</x:v>
      </x:c>
      <x:c r="D2535" s="21" t="str">
        <x:v>1.0</x:v>
      </x:c>
    </x:row>
    <x:row r="2536" ht="22" customHeight="1">
      <x:c r="A2536" s="21" t="str">
        <x:v>data/pets/pets.json</x:v>
      </x:c>
      <x:c r="B2536" s="21" t="str">
        <x:v>$/pets/2/model_y</x:v>
      </x:c>
      <x:c r="C2536" s="21" t="str">
        <x:v>float</x:v>
      </x:c>
      <x:c r="D2536" s="21" t="str">
        <x:v>0.0</x:v>
      </x:c>
    </x:row>
    <x:row r="2537" ht="22" customHeight="1">
      <x:c r="A2537" s="21" t="str">
        <x:v>data/pets/pets.json</x:v>
      </x:c>
      <x:c r="B2537" s="21" t="str">
        <x:v>$/pets/2/icon</x:v>
      </x:c>
      <x:c r="C2537" s="21" t="str">
        <x:v>string</x:v>
      </x:c>
      <x:c r="D2537" s="21" t="str">
        <x:v>"res://assets/ui/pets/pet_rabbit_illustration.png"</x:v>
      </x:c>
    </x:row>
    <x:row r="2538" ht="22" customHeight="1">
      <x:c r="A2538" s="21" t="str">
        <x:v>data/pets/pets.json</x:v>
      </x:c>
      <x:c r="B2538" s="21" t="str">
        <x:v>$/pets/3</x:v>
      </x:c>
      <x:c r="C2538" s="21" t="str">
        <x:v>object</x:v>
      </x:c>
      <x:c r="D2538" s="21" t="str"/>
    </x:row>
    <x:row r="2539" ht="22" customHeight="1">
      <x:c r="A2539" s="21" t="str">
        <x:v>data/pets/pets.json</x:v>
      </x:c>
      <x:c r="B2539" s="21" t="str">
        <x:v>$/pets/3/id</x:v>
      </x:c>
      <x:c r="C2539" s="21" t="str">
        <x:v>string</x:v>
      </x:c>
      <x:c r="D2539" s="21" t="str">
        <x:v>"pet_squirrel"</x:v>
      </x:c>
    </x:row>
    <x:row r="2540" ht="22" customHeight="1">
      <x:c r="A2540" s="21" t="str">
        <x:v>data/pets/pets.json</x:v>
      </x:c>
      <x:c r="B2540" s="21" t="str">
        <x:v>$/pets/3/name</x:v>
      </x:c>
      <x:c r="C2540" s="21" t="str">
        <x:v>string</x:v>
      </x:c>
      <x:c r="D2540" s="21" t="str">
        <x:v>"松鼠"</x:v>
      </x:c>
    </x:row>
    <x:row r="2541" ht="22" customHeight="1">
      <x:c r="A2541" s="21" t="str">
        <x:v>data/pets/pets.json</x:v>
      </x:c>
      <x:c r="B2541" s="21" t="str">
        <x:v>$/pets/3/name_en</x:v>
      </x:c>
      <x:c r="C2541" s="21" t="str">
        <x:v>string</x:v>
      </x:c>
      <x:c r="D2541" s="21" t="str">
        <x:v>"Squirrel"</x:v>
      </x:c>
    </x:row>
    <x:row r="2542" ht="22" customHeight="1">
      <x:c r="A2542" s="21" t="str">
        <x:v>data/pets/pets.json</x:v>
      </x:c>
      <x:c r="B2542" s="21" t="str">
        <x:v>$/pets/3/effect</x:v>
      </x:c>
      <x:c r="C2542" s="21" t="str">
        <x:v>string</x:v>
      </x:c>
      <x:c r="D2542" s="21" t="str">
        <x:v>"carrot_harvest_capacity_pct"</x:v>
      </x:c>
    </x:row>
    <x:row r="2543" ht="22" customHeight="1">
      <x:c r="A2543" s="21" t="str">
        <x:v>data/pets/pets.json</x:v>
      </x:c>
      <x:c r="B2543" s="21" t="str">
        <x:v>$/pets/3/value</x:v>
      </x:c>
      <x:c r="C2543" s="21" t="str">
        <x:v>float</x:v>
      </x:c>
      <x:c r="D2543" s="21" t="str">
        <x:v>0.2</x:v>
      </x:c>
    </x:row>
    <x:row r="2544" ht="22" customHeight="1">
      <x:c r="A2544" s="21" t="str">
        <x:v>data/pets/pets.json</x:v>
      </x:c>
      <x:c r="B2544" s="21" t="str">
        <x:v>$/pets/3/model</x:v>
      </x:c>
      <x:c r="C2544" s="21" t="str">
        <x:v>string</x:v>
      </x:c>
      <x:c r="D2544" s="21" t="str">
        <x:v>"res://assets/models/pets/pet_squirrel/pet_squirrel_animated.tscn"</x:v>
      </x:c>
    </x:row>
    <x:row r="2545" ht="22" customHeight="1">
      <x:c r="A2545" s="21" t="str">
        <x:v>data/pets/pets.json</x:v>
      </x:c>
      <x:c r="B2545" s="21" t="str">
        <x:v>$/pets/3/model_scale</x:v>
      </x:c>
      <x:c r="C2545" s="21" t="str">
        <x:v>float</x:v>
      </x:c>
      <x:c r="D2545" s="21" t="str">
        <x:v>1.0</x:v>
      </x:c>
    </x:row>
    <x:row r="2546" ht="22" customHeight="1">
      <x:c r="A2546" s="21" t="str">
        <x:v>data/pets/pets.json</x:v>
      </x:c>
      <x:c r="B2546" s="21" t="str">
        <x:v>$/pets/3/model_y</x:v>
      </x:c>
      <x:c r="C2546" s="21" t="str">
        <x:v>float</x:v>
      </x:c>
      <x:c r="D2546" s="21" t="str">
        <x:v>0.0</x:v>
      </x:c>
    </x:row>
    <x:row r="2547" ht="22" customHeight="1">
      <x:c r="A2547" s="21" t="str">
        <x:v>data/pets/pets.json</x:v>
      </x:c>
      <x:c r="B2547" s="21" t="str">
        <x:v>$/pets/3/icon</x:v>
      </x:c>
      <x:c r="C2547" s="21" t="str">
        <x:v>string</x:v>
      </x:c>
      <x:c r="D2547" s="21" t="str">
        <x:v>"res://assets/ui/pets/pet_squirrel_illustration.png"</x:v>
      </x:c>
    </x:row>
    <x:row r="2548" ht="22" customHeight="1">
      <x:c r="A2548" s="21" t="str">
        <x:v>data/pets/pets.json</x:v>
      </x:c>
      <x:c r="B2548" s="21" t="str">
        <x:v>$/pets/4</x:v>
      </x:c>
      <x:c r="C2548" s="21" t="str">
        <x:v>object</x:v>
      </x:c>
      <x:c r="D2548" s="21" t="str"/>
    </x:row>
    <x:row r="2549" ht="22" customHeight="1">
      <x:c r="A2549" s="21" t="str">
        <x:v>data/pets/pets.json</x:v>
      </x:c>
      <x:c r="B2549" s="21" t="str">
        <x:v>$/pets/4/id</x:v>
      </x:c>
      <x:c r="C2549" s="21" t="str">
        <x:v>string</x:v>
      </x:c>
      <x:c r="D2549" s="21" t="str">
        <x:v>"pet_tiger"</x:v>
      </x:c>
    </x:row>
    <x:row r="2550" ht="22" customHeight="1">
      <x:c r="A2550" s="21" t="str">
        <x:v>data/pets/pets.json</x:v>
      </x:c>
      <x:c r="B2550" s="21" t="str">
        <x:v>$/pets/4/name</x:v>
      </x:c>
      <x:c r="C2550" s="21" t="str">
        <x:v>string</x:v>
      </x:c>
      <x:c r="D2550" s="21" t="str">
        <x:v>"老虎"</x:v>
      </x:c>
    </x:row>
    <x:row r="2551" ht="22" customHeight="1">
      <x:c r="A2551" s="21" t="str">
        <x:v>data/pets/pets.json</x:v>
      </x:c>
      <x:c r="B2551" s="21" t="str">
        <x:v>$/pets/4/name_en</x:v>
      </x:c>
      <x:c r="C2551" s="21" t="str">
        <x:v>string</x:v>
      </x:c>
      <x:c r="D2551" s="21" t="str">
        <x:v>"Tiger"</x:v>
      </x:c>
    </x:row>
    <x:row r="2552" ht="22" customHeight="1">
      <x:c r="A2552" s="21" t="str">
        <x:v>data/pets/pets.json</x:v>
      </x:c>
      <x:c r="B2552" s="21" t="str">
        <x:v>$/pets/4/effect</x:v>
      </x:c>
      <x:c r="C2552" s="21" t="str">
        <x:v>string</x:v>
      </x:c>
      <x:c r="D2552" s="21" t="str">
        <x:v>"tier1_upgrade_growth"</x:v>
      </x:c>
    </x:row>
    <x:row r="2553" ht="22" customHeight="1">
      <x:c r="A2553" s="21" t="str">
        <x:v>data/pets/pets.json</x:v>
      </x:c>
      <x:c r="B2553" s="21" t="str">
        <x:v>$/pets/4/value</x:v>
      </x:c>
      <x:c r="C2553" s="21" t="str">
        <x:v>float</x:v>
      </x:c>
      <x:c r="D2553" s="21" t="str">
        <x:v>0.05</x:v>
      </x:c>
    </x:row>
    <x:row r="2554" ht="22" customHeight="1">
      <x:c r="A2554" s="21" t="str">
        <x:v>data/pets/pets.json</x:v>
      </x:c>
      <x:c r="B2554" s="21" t="str">
        <x:v>$/pets/4/model</x:v>
      </x:c>
      <x:c r="C2554" s="21" t="str">
        <x:v>string</x:v>
      </x:c>
      <x:c r="D2554" s="21" t="str">
        <x:v>"res://assets/models/pets/pet_tiger/pet_tiger_animated.tscn"</x:v>
      </x:c>
    </x:row>
    <x:row r="2555" ht="22" customHeight="1">
      <x:c r="A2555" s="21" t="str">
        <x:v>data/pets/pets.json</x:v>
      </x:c>
      <x:c r="B2555" s="21" t="str">
        <x:v>$/pets/4/model_scale</x:v>
      </x:c>
      <x:c r="C2555" s="21" t="str">
        <x:v>float</x:v>
      </x:c>
      <x:c r="D2555" s="21" t="str">
        <x:v>1.0</x:v>
      </x:c>
    </x:row>
    <x:row r="2556" ht="22" customHeight="1">
      <x:c r="A2556" s="21" t="str">
        <x:v>data/pets/pets.json</x:v>
      </x:c>
      <x:c r="B2556" s="21" t="str">
        <x:v>$/pets/4/model_y</x:v>
      </x:c>
      <x:c r="C2556" s="21" t="str">
        <x:v>float</x:v>
      </x:c>
      <x:c r="D2556" s="21" t="str">
        <x:v>0.0</x:v>
      </x:c>
    </x:row>
    <x:row r="2557" ht="22" customHeight="1">
      <x:c r="A2557" s="21" t="str">
        <x:v>data/pets/pets.json</x:v>
      </x:c>
      <x:c r="B2557" s="21" t="str">
        <x:v>$/pets/4/icon</x:v>
      </x:c>
      <x:c r="C2557" s="21" t="str">
        <x:v>string</x:v>
      </x:c>
      <x:c r="D2557" s="21" t="str">
        <x:v>"res://assets/ui/pets/pet_tiger_illustration.png"</x:v>
      </x:c>
    </x:row>
    <x:row r="2558" ht="22" customHeight="1">
      <x:c r="A2558" s="21" t="str">
        <x:v>data/shop.json</x:v>
      </x:c>
      <x:c r="B2558" s="21" t="str">
        <x:v>$</x:v>
      </x:c>
      <x:c r="C2558" s="21" t="str">
        <x:v>object</x:v>
      </x:c>
      <x:c r="D2558" s="21" t="str"/>
    </x:row>
    <x:row r="2559" ht="22" customHeight="1">
      <x:c r="A2559" s="21" t="str">
        <x:v>data/shop.json</x:v>
      </x:c>
      <x:c r="B2559" s="21" t="str">
        <x:v>$/schema_version</x:v>
      </x:c>
      <x:c r="C2559" s="21" t="str">
        <x:v>int</x:v>
      </x:c>
      <x:c r="D2559" s="21" t="str">
        <x:v>1</x:v>
      </x:c>
    </x:row>
    <x:row r="2560" ht="22" customHeight="1">
      <x:c r="A2560" s="21" t="str">
        <x:v>data/shop.json</x:v>
      </x:c>
      <x:c r="B2560" s="21" t="str">
        <x:v>$/_why</x:v>
      </x:c>
      <x:c r="C2560" s="21" t="str">
        <x:v>string</x:v>
      </x:c>
      <x:c r="D2560" s="21" t="str">
        <x:v>"商品 id 与内容 id 刻意脱钩。id 卖出去过就永不改变，改名、改图、改模型都只改 grants 指向的那份数据；同一只宠物可以在不同活动里以不同价格、不同包装上架，都指向同一个 grants。理由与事故先例见 docs/商城系统设计.md 第四节。"</x:v>
      </x:c>
    </x:row>
    <x:row r="2561" ht="22" customHeight="1">
      <x:c r="A2561" s="21" t="str">
        <x:v>data/shop.json</x:v>
      </x:c>
      <x:c r="B2561" s="21" t="str">
        <x:v>$/_free_by_omission</x:v>
      </x:c>
      <x:c r="C2561" s="21" t="str">
        <x:v>string</x:v>
      </x:c>
      <x:c r="D2561" s="21" t="str">
        <x:v>"🔴 不在这个文件里的内容一律免费。现有 20 张头像与 frame_default 上线时就是免费的，不能因为做了商城就变成付费 —— 那是对已经在用它的玩家的回收。要卖新头像就出新图、给新 id，别把老的挪进来。判定在 backend/app/shop.py 的 requires_entitlement()。"</x:v>
      </x:c>
    </x:row>
    <x:row r="2562" ht="22" customHeight="1">
      <x:c r="A2562" s="21" t="str">
        <x:v>data/shop.json</x:v>
      </x:c>
      <x:c r="B2562" s="21" t="str">
        <x:v>$/_price_note</x:v>
      </x:c>
      <x:c r="C2562" s="21" t="str">
        <x:v>string</x:v>
      </x:c>
      <x:c r="D2562" s="21" t="str">
        <x:v>"普通宠物按七日登录规格定价 500 游戏币。改价格不会改动历史订单的价格快照。"</x:v>
      </x:c>
    </x:row>
    <x:row r="2563" ht="22" customHeight="1">
      <x:c r="A2563" s="21" t="str">
        <x:v>data/shop.json</x:v>
      </x:c>
      <x:c r="B2563" s="21" t="str">
        <x:v>$/_currency_note</x:v>
      </x:c>
      <x:c r="C2563" s="21" t="str">
        <x:v>string</x:v>
      </x:c>
      <x:c r="D2563" s="21" t="str">
        <x:v>"currency 只能是 diamond 或 coin。coin 是账号游戏币，区别于对局内 gold。enabled=false 的内容仍需归属，但不在商店出售。"</x:v>
      </x:c>
    </x:row>
    <x:row r="2564" ht="22" customHeight="1">
      <x:c r="A2564" s="21" t="str">
        <x:v>data/shop.json</x:v>
      </x:c>
      <x:c r="B2564" s="21" t="str">
        <x:v>$/items</x:v>
      </x:c>
      <x:c r="C2564" s="21" t="str">
        <x:v>array</x:v>
      </x:c>
      <x:c r="D2564" s="21" t="str"/>
    </x:row>
    <x:row r="2565" ht="22" customHeight="1">
      <x:c r="A2565" s="21" t="str">
        <x:v>data/shop.json</x:v>
      </x:c>
      <x:c r="B2565" s="21" t="str">
        <x:v>$/items/0</x:v>
      </x:c>
      <x:c r="C2565" s="21" t="str">
        <x:v>object</x:v>
      </x:c>
      <x:c r="D2565" s="21" t="str"/>
    </x:row>
    <x:row r="2566" ht="22" customHeight="1">
      <x:c r="A2566" s="21" t="str">
        <x:v>data/shop.json</x:v>
      </x:c>
      <x:c r="B2566" s="21" t="str">
        <x:v>$/items/0/id</x:v>
      </x:c>
      <x:c r="C2566" s="21" t="str">
        <x:v>string</x:v>
      </x:c>
      <x:c r="D2566" s="21" t="str">
        <x:v>"shop_pet_mushroom"</x:v>
      </x:c>
    </x:row>
    <x:row r="2567" ht="22" customHeight="1">
      <x:c r="A2567" s="21" t="str">
        <x:v>data/shop.json</x:v>
      </x:c>
      <x:c r="B2567" s="21" t="str">
        <x:v>$/items/0/kind</x:v>
      </x:c>
      <x:c r="C2567" s="21" t="str">
        <x:v>string</x:v>
      </x:c>
      <x:c r="D2567" s="21" t="str">
        <x:v>"pet"</x:v>
      </x:c>
    </x:row>
    <x:row r="2568" ht="22" customHeight="1">
      <x:c r="A2568" s="21" t="str">
        <x:v>data/shop.json</x:v>
      </x:c>
      <x:c r="B2568" s="21" t="str">
        <x:v>$/items/0/grants</x:v>
      </x:c>
      <x:c r="C2568" s="21" t="str">
        <x:v>string</x:v>
      </x:c>
      <x:c r="D2568" s="21" t="str">
        <x:v>"pet_mushroom"</x:v>
      </x:c>
    </x:row>
    <x:row r="2569" ht="22" customHeight="1">
      <x:c r="A2569" s="21" t="str">
        <x:v>data/shop.json</x:v>
      </x:c>
      <x:c r="B2569" s="21" t="str">
        <x:v>$/items/0/currency</x:v>
      </x:c>
      <x:c r="C2569" s="21" t="str">
        <x:v>string</x:v>
      </x:c>
      <x:c r="D2569" s="21" t="str">
        <x:v>"coin"</x:v>
      </x:c>
    </x:row>
    <x:row r="2570" ht="22" customHeight="1">
      <x:c r="A2570" s="21" t="str">
        <x:v>data/shop.json</x:v>
      </x:c>
      <x:c r="B2570" s="21" t="str">
        <x:v>$/items/0/price</x:v>
      </x:c>
      <x:c r="C2570" s="21" t="str">
        <x:v>int</x:v>
      </x:c>
      <x:c r="D2570" s="21" t="str">
        <x:v>500</x:v>
      </x:c>
    </x:row>
    <x:row r="2571" ht="22" customHeight="1">
      <x:c r="A2571" s="21" t="str">
        <x:v>data/shop.json</x:v>
      </x:c>
      <x:c r="B2571" s="21" t="str">
        <x:v>$/items/0/name</x:v>
      </x:c>
      <x:c r="C2571" s="21" t="str">
        <x:v>string</x:v>
      </x:c>
      <x:c r="D2571" s="21" t="str">
        <x:v>"蘑菇"</x:v>
      </x:c>
    </x:row>
    <x:row r="2572" ht="22" customHeight="1">
      <x:c r="A2572" s="21" t="str">
        <x:v>data/shop.json</x:v>
      </x:c>
      <x:c r="B2572" s="21" t="str">
        <x:v>$/items/0/name_en</x:v>
      </x:c>
      <x:c r="C2572" s="21" t="str">
        <x:v>string</x:v>
      </x:c>
      <x:c r="D2572" s="21" t="str">
        <x:v>"Mushroom"</x:v>
      </x:c>
    </x:row>
    <x:row r="2573" ht="22" customHeight="1">
      <x:c r="A2573" s="21" t="str">
        <x:v>data/shop.json</x:v>
      </x:c>
      <x:c r="B2573" s="21" t="str">
        <x:v>$/items/1</x:v>
      </x:c>
      <x:c r="C2573" s="21" t="str">
        <x:v>object</x:v>
      </x:c>
      <x:c r="D2573" s="21" t="str"/>
    </x:row>
    <x:row r="2574" ht="22" customHeight="1">
      <x:c r="A2574" s="21" t="str">
        <x:v>data/shop.json</x:v>
      </x:c>
      <x:c r="B2574" s="21" t="str">
        <x:v>$/items/1/id</x:v>
      </x:c>
      <x:c r="C2574" s="21" t="str">
        <x:v>string</x:v>
      </x:c>
      <x:c r="D2574" s="21" t="str">
        <x:v>"shop_pet_cat"</x:v>
      </x:c>
    </x:row>
    <x:row r="2575" ht="22" customHeight="1">
      <x:c r="A2575" s="21" t="str">
        <x:v>data/shop.json</x:v>
      </x:c>
      <x:c r="B2575" s="21" t="str">
        <x:v>$/items/1/kind</x:v>
      </x:c>
      <x:c r="C2575" s="21" t="str">
        <x:v>string</x:v>
      </x:c>
      <x:c r="D2575" s="21" t="str">
        <x:v>"pet"</x:v>
      </x:c>
    </x:row>
    <x:row r="2576" ht="22" customHeight="1">
      <x:c r="A2576" s="21" t="str">
        <x:v>data/shop.json</x:v>
      </x:c>
      <x:c r="B2576" s="21" t="str">
        <x:v>$/items/1/grants</x:v>
      </x:c>
      <x:c r="C2576" s="21" t="str">
        <x:v>string</x:v>
      </x:c>
      <x:c r="D2576" s="21" t="str">
        <x:v>"pet_cat"</x:v>
      </x:c>
    </x:row>
    <x:row r="2577" ht="22" customHeight="1">
      <x:c r="A2577" s="21" t="str">
        <x:v>data/shop.json</x:v>
      </x:c>
      <x:c r="B2577" s="21" t="str">
        <x:v>$/items/1/currency</x:v>
      </x:c>
      <x:c r="C2577" s="21" t="str">
        <x:v>string</x:v>
      </x:c>
      <x:c r="D2577" s="21" t="str">
        <x:v>"coin"</x:v>
      </x:c>
    </x:row>
    <x:row r="2578" ht="22" customHeight="1">
      <x:c r="A2578" s="21" t="str">
        <x:v>data/shop.json</x:v>
      </x:c>
      <x:c r="B2578" s="21" t="str">
        <x:v>$/items/1/price</x:v>
      </x:c>
      <x:c r="C2578" s="21" t="str">
        <x:v>int</x:v>
      </x:c>
      <x:c r="D2578" s="21" t="str">
        <x:v>500</x:v>
      </x:c>
    </x:row>
    <x:row r="2579" ht="22" customHeight="1">
      <x:c r="A2579" s="21" t="str">
        <x:v>data/shop.json</x:v>
      </x:c>
      <x:c r="B2579" s="21" t="str">
        <x:v>$/items/1/name</x:v>
      </x:c>
      <x:c r="C2579" s="21" t="str">
        <x:v>string</x:v>
      </x:c>
      <x:c r="D2579" s="21" t="str">
        <x:v>"猫"</x:v>
      </x:c>
    </x:row>
    <x:row r="2580" ht="22" customHeight="1">
      <x:c r="A2580" s="21" t="str">
        <x:v>data/shop.json</x:v>
      </x:c>
      <x:c r="B2580" s="21" t="str">
        <x:v>$/items/1/name_en</x:v>
      </x:c>
      <x:c r="C2580" s="21" t="str">
        <x:v>string</x:v>
      </x:c>
      <x:c r="D2580" s="21" t="str">
        <x:v>"Cat"</x:v>
      </x:c>
    </x:row>
    <x:row r="2581" ht="22" customHeight="1">
      <x:c r="A2581" s="21" t="str">
        <x:v>data/shop.json</x:v>
      </x:c>
      <x:c r="B2581" s="21" t="str">
        <x:v>$/items/2</x:v>
      </x:c>
      <x:c r="C2581" s="21" t="str">
        <x:v>object</x:v>
      </x:c>
      <x:c r="D2581" s="21" t="str"/>
    </x:row>
    <x:row r="2582" ht="22" customHeight="1">
      <x:c r="A2582" s="21" t="str">
        <x:v>data/shop.json</x:v>
      </x:c>
      <x:c r="B2582" s="21" t="str">
        <x:v>$/items/2/id</x:v>
      </x:c>
      <x:c r="C2582" s="21" t="str">
        <x:v>string</x:v>
      </x:c>
      <x:c r="D2582" s="21" t="str">
        <x:v>"shop_pet_rabbit"</x:v>
      </x:c>
    </x:row>
    <x:row r="2583" ht="22" customHeight="1">
      <x:c r="A2583" s="21" t="str">
        <x:v>data/shop.json</x:v>
      </x:c>
      <x:c r="B2583" s="21" t="str">
        <x:v>$/items/2/kind</x:v>
      </x:c>
      <x:c r="C2583" s="21" t="str">
        <x:v>string</x:v>
      </x:c>
      <x:c r="D2583" s="21" t="str">
        <x:v>"pet"</x:v>
      </x:c>
    </x:row>
    <x:row r="2584" ht="22" customHeight="1">
      <x:c r="A2584" s="21" t="str">
        <x:v>data/shop.json</x:v>
      </x:c>
      <x:c r="B2584" s="21" t="str">
        <x:v>$/items/2/grants</x:v>
      </x:c>
      <x:c r="C2584" s="21" t="str">
        <x:v>string</x:v>
      </x:c>
      <x:c r="D2584" s="21" t="str">
        <x:v>"pet_rabbit"</x:v>
      </x:c>
    </x:row>
    <x:row r="2585" ht="22" customHeight="1">
      <x:c r="A2585" s="21" t="str">
        <x:v>data/shop.json</x:v>
      </x:c>
      <x:c r="B2585" s="21" t="str">
        <x:v>$/items/2/currency</x:v>
      </x:c>
      <x:c r="C2585" s="21" t="str">
        <x:v>string</x:v>
      </x:c>
      <x:c r="D2585" s="21" t="str">
        <x:v>"coin"</x:v>
      </x:c>
    </x:row>
    <x:row r="2586" ht="22" customHeight="1">
      <x:c r="A2586" s="21" t="str">
        <x:v>data/shop.json</x:v>
      </x:c>
      <x:c r="B2586" s="21" t="str">
        <x:v>$/items/2/price</x:v>
      </x:c>
      <x:c r="C2586" s="21" t="str">
        <x:v>int</x:v>
      </x:c>
      <x:c r="D2586" s="21" t="str">
        <x:v>500</x:v>
      </x:c>
    </x:row>
    <x:row r="2587" ht="22" customHeight="1">
      <x:c r="A2587" s="21" t="str">
        <x:v>data/shop.json</x:v>
      </x:c>
      <x:c r="B2587" s="21" t="str">
        <x:v>$/items/2/name</x:v>
      </x:c>
      <x:c r="C2587" s="21" t="str">
        <x:v>string</x:v>
      </x:c>
      <x:c r="D2587" s="21" t="str">
        <x:v>"兔子"</x:v>
      </x:c>
    </x:row>
    <x:row r="2588" ht="22" customHeight="1">
      <x:c r="A2588" s="21" t="str">
        <x:v>data/shop.json</x:v>
      </x:c>
      <x:c r="B2588" s="21" t="str">
        <x:v>$/items/2/name_en</x:v>
      </x:c>
      <x:c r="C2588" s="21" t="str">
        <x:v>string</x:v>
      </x:c>
      <x:c r="D2588" s="21" t="str">
        <x:v>"Rabbit"</x:v>
      </x:c>
    </x:row>
    <x:row r="2589" ht="22" customHeight="1">
      <x:c r="A2589" s="21" t="str">
        <x:v>data/shop.json</x:v>
      </x:c>
      <x:c r="B2589" s="21" t="str">
        <x:v>$/items/3</x:v>
      </x:c>
      <x:c r="C2589" s="21" t="str">
        <x:v>object</x:v>
      </x:c>
      <x:c r="D2589" s="21" t="str"/>
    </x:row>
    <x:row r="2590" ht="22" customHeight="1">
      <x:c r="A2590" s="21" t="str">
        <x:v>data/shop.json</x:v>
      </x:c>
      <x:c r="B2590" s="21" t="str">
        <x:v>$/items/3/id</x:v>
      </x:c>
      <x:c r="C2590" s="21" t="str">
        <x:v>string</x:v>
      </x:c>
      <x:c r="D2590" s="21" t="str">
        <x:v>"shop_prep_skin_ice"</x:v>
      </x:c>
    </x:row>
    <x:row r="2591" ht="22" customHeight="1">
      <x:c r="A2591" s="21" t="str">
        <x:v>data/shop.json</x:v>
      </x:c>
      <x:c r="B2591" s="21" t="str">
        <x:v>$/items/3/kind</x:v>
      </x:c>
      <x:c r="C2591" s="21" t="str">
        <x:v>string</x:v>
      </x:c>
      <x:c r="D2591" s="21" t="str">
        <x:v>"prep_skin"</x:v>
      </x:c>
    </x:row>
    <x:row r="2592" ht="22" customHeight="1">
      <x:c r="A2592" s="21" t="str">
        <x:v>data/shop.json</x:v>
      </x:c>
      <x:c r="B2592" s="21" t="str">
        <x:v>$/items/3/grants</x:v>
      </x:c>
      <x:c r="C2592" s="21" t="str">
        <x:v>string</x:v>
      </x:c>
      <x:c r="D2592" s="21" t="str">
        <x:v>"prep_skin_ice"</x:v>
      </x:c>
    </x:row>
    <x:row r="2593" ht="22" customHeight="1">
      <x:c r="A2593" s="21" t="str">
        <x:v>data/shop.json</x:v>
      </x:c>
      <x:c r="B2593" s="21" t="str">
        <x:v>$/items/3/currency</x:v>
      </x:c>
      <x:c r="C2593" s="21" t="str">
        <x:v>string</x:v>
      </x:c>
      <x:c r="D2593" s="21" t="str">
        <x:v>"diamond"</x:v>
      </x:c>
    </x:row>
    <x:row r="2594" ht="22" customHeight="1">
      <x:c r="A2594" s="21" t="str">
        <x:v>data/shop.json</x:v>
      </x:c>
      <x:c r="B2594" s="21" t="str">
        <x:v>$/items/3/price</x:v>
      </x:c>
      <x:c r="C2594" s="21" t="str">
        <x:v>int</x:v>
      </x:c>
      <x:c r="D2594" s="21" t="str">
        <x:v>0</x:v>
      </x:c>
    </x:row>
    <x:row r="2595" ht="22" customHeight="1">
      <x:c r="A2595" s="21" t="str">
        <x:v>data/shop.json</x:v>
      </x:c>
      <x:c r="B2595" s="21" t="str">
        <x:v>$/items/3/enabled</x:v>
      </x:c>
      <x:c r="C2595" s="21" t="str">
        <x:v>bool</x:v>
      </x:c>
      <x:c r="D2595" s="21" t="str">
        <x:v>false</x:v>
      </x:c>
    </x:row>
    <x:row r="2596" ht="22" customHeight="1">
      <x:c r="A2596" s="21" t="str">
        <x:v>data/shop.json</x:v>
      </x:c>
      <x:c r="B2596" s="21" t="str">
        <x:v>$/items/3/name</x:v>
      </x:c>
      <x:c r="C2596" s="21" t="str">
        <x:v>string</x:v>
      </x:c>
      <x:c r="D2596" s="21" t="str">
        <x:v>"冰雪棋盘"</x:v>
      </x:c>
    </x:row>
    <x:row r="2597" ht="22" customHeight="1">
      <x:c r="A2597" s="21" t="str">
        <x:v>data/shop.json</x:v>
      </x:c>
      <x:c r="B2597" s="21" t="str">
        <x:v>$/items/3/name_en</x:v>
      </x:c>
      <x:c r="C2597" s="21" t="str">
        <x:v>string</x:v>
      </x:c>
      <x:c r="D2597" s="21" t="str">
        <x:v>"Frost Board"</x:v>
      </x:c>
    </x:row>
    <x:row r="2598" ht="22" customHeight="1">
      <x:c r="A2598" s="21" t="str">
        <x:v>data/shop.json</x:v>
      </x:c>
      <x:c r="B2598" s="21" t="str">
        <x:v>$/items/4</x:v>
      </x:c>
      <x:c r="C2598" s="21" t="str">
        <x:v>object</x:v>
      </x:c>
      <x:c r="D2598" s="21" t="str"/>
    </x:row>
    <x:row r="2599" ht="22" customHeight="1">
      <x:c r="A2599" s="21" t="str">
        <x:v>data/shop.json</x:v>
      </x:c>
      <x:c r="B2599" s="21" t="str">
        <x:v>$/items/4/id</x:v>
      </x:c>
      <x:c r="C2599" s="21" t="str">
        <x:v>string</x:v>
      </x:c>
      <x:c r="D2599" s="21" t="str">
        <x:v>"event_frame_7day_ice"</x:v>
      </x:c>
    </x:row>
    <x:row r="2600" ht="22" customHeight="1">
      <x:c r="A2600" s="21" t="str">
        <x:v>data/shop.json</x:v>
      </x:c>
      <x:c r="B2600" s="21" t="str">
        <x:v>$/items/4/kind</x:v>
      </x:c>
      <x:c r="C2600" s="21" t="str">
        <x:v>string</x:v>
      </x:c>
      <x:c r="D2600" s="21" t="str">
        <x:v>"avatar_frame"</x:v>
      </x:c>
    </x:row>
    <x:row r="2601" ht="22" customHeight="1">
      <x:c r="A2601" s="21" t="str">
        <x:v>data/shop.json</x:v>
      </x:c>
      <x:c r="B2601" s="21" t="str">
        <x:v>$/items/4/grants</x:v>
      </x:c>
      <x:c r="C2601" s="21" t="str">
        <x:v>string</x:v>
      </x:c>
      <x:c r="D2601" s="21" t="str">
        <x:v>"preset:avatar_frame_7day_01"</x:v>
      </x:c>
    </x:row>
    <x:row r="2602" ht="22" customHeight="1">
      <x:c r="A2602" s="21" t="str">
        <x:v>data/shop.json</x:v>
      </x:c>
      <x:c r="B2602" s="21" t="str">
        <x:v>$/items/4/currency</x:v>
      </x:c>
      <x:c r="C2602" s="21" t="str">
        <x:v>string</x:v>
      </x:c>
      <x:c r="D2602" s="21" t="str">
        <x:v>"diamond"</x:v>
      </x:c>
    </x:row>
    <x:row r="2603" ht="22" customHeight="1">
      <x:c r="A2603" s="21" t="str">
        <x:v>data/shop.json</x:v>
      </x:c>
      <x:c r="B2603" s="21" t="str">
        <x:v>$/items/4/price</x:v>
      </x:c>
      <x:c r="C2603" s="21" t="str">
        <x:v>int</x:v>
      </x:c>
      <x:c r="D2603" s="21" t="str">
        <x:v>0</x:v>
      </x:c>
    </x:row>
    <x:row r="2604" ht="22" customHeight="1">
      <x:c r="A2604" s="21" t="str">
        <x:v>data/shop.json</x:v>
      </x:c>
      <x:c r="B2604" s="21" t="str">
        <x:v>$/items/4/enabled</x:v>
      </x:c>
      <x:c r="C2604" s="21" t="str">
        <x:v>bool</x:v>
      </x:c>
      <x:c r="D2604" s="21" t="str">
        <x:v>false</x:v>
      </x:c>
    </x:row>
    <x:row r="2605" ht="22" customHeight="1">
      <x:c r="A2605" s="21" t="str">
        <x:v>data/shop.json</x:v>
      </x:c>
      <x:c r="B2605" s="21" t="str">
        <x:v>$/items/4/name</x:v>
      </x:c>
      <x:c r="C2605" s="21" t="str">
        <x:v>string</x:v>
      </x:c>
      <x:c r="D2605" s="21" t="str">
        <x:v>"冰雪七日头像框"</x:v>
      </x:c>
    </x:row>
    <x:row r="2606" ht="22" customHeight="1">
      <x:c r="A2606" s="21" t="str">
        <x:v>data/shop.json</x:v>
      </x:c>
      <x:c r="B2606" s="21" t="str">
        <x:v>$/items/4/name_en</x:v>
      </x:c>
      <x:c r="C2606" s="21" t="str">
        <x:v>string</x:v>
      </x:c>
      <x:c r="D2606" s="21" t="str">
        <x:v>"Frost Seven-Day Frame"</x:v>
      </x:c>
    </x:row>
    <x:row r="2607" ht="22" customHeight="1">
      <x:c r="A2607" s="21" t="str">
        <x:v>data/shop.json</x:v>
      </x:c>
      <x:c r="B2607" s="21" t="str">
        <x:v>$/items/5</x:v>
      </x:c>
      <x:c r="C2607" s="21" t="str">
        <x:v>object</x:v>
      </x:c>
      <x:c r="D2607" s="21" t="str"/>
    </x:row>
    <x:row r="2608" ht="22" customHeight="1">
      <x:c r="A2608" s="21" t="str">
        <x:v>data/shop.json</x:v>
      </x:c>
      <x:c r="B2608" s="21" t="str">
        <x:v>$/items/5/id</x:v>
      </x:c>
      <x:c r="C2608" s="21" t="str">
        <x:v>string</x:v>
      </x:c>
      <x:c r="D2608" s="21" t="str">
        <x:v>"shop_frame_emerald"</x:v>
      </x:c>
    </x:row>
    <x:row r="2609" ht="22" customHeight="1">
      <x:c r="A2609" s="21" t="str">
        <x:v>data/shop.json</x:v>
      </x:c>
      <x:c r="B2609" s="21" t="str">
        <x:v>$/items/5/kind</x:v>
      </x:c>
      <x:c r="C2609" s="21" t="str">
        <x:v>string</x:v>
      </x:c>
      <x:c r="D2609" s="21" t="str">
        <x:v>"avatar_frame"</x:v>
      </x:c>
    </x:row>
    <x:row r="2610" ht="22" customHeight="1">
      <x:c r="A2610" s="21" t="str">
        <x:v>data/shop.json</x:v>
      </x:c>
      <x:c r="B2610" s="21" t="str">
        <x:v>$/items/5/grants</x:v>
      </x:c>
      <x:c r="C2610" s="21" t="str">
        <x:v>string</x:v>
      </x:c>
      <x:c r="D2610" s="21" t="str">
        <x:v>"preset:avatar_frame_shop_01"</x:v>
      </x:c>
    </x:row>
    <x:row r="2611" ht="22" customHeight="1">
      <x:c r="A2611" s="21" t="str">
        <x:v>data/shop.json</x:v>
      </x:c>
      <x:c r="B2611" s="21" t="str">
        <x:v>$/items/5/currency</x:v>
      </x:c>
      <x:c r="C2611" s="21" t="str">
        <x:v>string</x:v>
      </x:c>
      <x:c r="D2611" s="21" t="str">
        <x:v>"coin"</x:v>
      </x:c>
    </x:row>
    <x:row r="2612" ht="22" customHeight="1">
      <x:c r="A2612" s="21" t="str">
        <x:v>data/shop.json</x:v>
      </x:c>
      <x:c r="B2612" s="21" t="str">
        <x:v>$/items/5/price</x:v>
      </x:c>
      <x:c r="C2612" s="21" t="str">
        <x:v>int</x:v>
      </x:c>
      <x:c r="D2612" s="21" t="str">
        <x:v>600</x:v>
      </x:c>
    </x:row>
    <x:row r="2613" ht="22" customHeight="1">
      <x:c r="A2613" s="21" t="str">
        <x:v>data/shop.json</x:v>
      </x:c>
      <x:c r="B2613" s="21" t="str">
        <x:v>$/items/5/name</x:v>
      </x:c>
      <x:c r="C2613" s="21" t="str">
        <x:v>string</x:v>
      </x:c>
      <x:c r="D2613" s="21" t="str">
        <x:v>"翡翠森境"</x:v>
      </x:c>
    </x:row>
    <x:row r="2614" ht="22" customHeight="1">
      <x:c r="A2614" s="21" t="str">
        <x:v>data/shop.json</x:v>
      </x:c>
      <x:c r="B2614" s="21" t="str">
        <x:v>$/items/5/name_en</x:v>
      </x:c>
      <x:c r="C2614" s="21" t="str">
        <x:v>string</x:v>
      </x:c>
      <x:c r="D2614" s="21" t="str">
        <x:v>"Emerald Grove"</x:v>
      </x:c>
    </x:row>
    <x:row r="2615" ht="22" customHeight="1">
      <x:c r="A2615" s="21" t="str">
        <x:v>data/shop.json</x:v>
      </x:c>
      <x:c r="B2615" s="21" t="str">
        <x:v>$/items/6</x:v>
      </x:c>
      <x:c r="C2615" s="21" t="str">
        <x:v>object</x:v>
      </x:c>
      <x:c r="D2615" s="21" t="str"/>
    </x:row>
    <x:row r="2616" ht="22" customHeight="1">
      <x:c r="A2616" s="21" t="str">
        <x:v>data/shop.json</x:v>
      </x:c>
      <x:c r="B2616" s="21" t="str">
        <x:v>$/items/6/id</x:v>
      </x:c>
      <x:c r="C2616" s="21" t="str">
        <x:v>string</x:v>
      </x:c>
      <x:c r="D2616" s="21" t="str">
        <x:v>"shop_frame_frost"</x:v>
      </x:c>
    </x:row>
    <x:row r="2617" ht="22" customHeight="1">
      <x:c r="A2617" s="21" t="str">
        <x:v>data/shop.json</x:v>
      </x:c>
      <x:c r="B2617" s="21" t="str">
        <x:v>$/items/6/kind</x:v>
      </x:c>
      <x:c r="C2617" s="21" t="str">
        <x:v>string</x:v>
      </x:c>
      <x:c r="D2617" s="21" t="str">
        <x:v>"avatar_frame"</x:v>
      </x:c>
    </x:row>
    <x:row r="2618" ht="22" customHeight="1">
      <x:c r="A2618" s="21" t="str">
        <x:v>data/shop.json</x:v>
      </x:c>
      <x:c r="B2618" s="21" t="str">
        <x:v>$/items/6/grants</x:v>
      </x:c>
      <x:c r="C2618" s="21" t="str">
        <x:v>string</x:v>
      </x:c>
      <x:c r="D2618" s="21" t="str">
        <x:v>"preset:avatar_frame_shop_02"</x:v>
      </x:c>
    </x:row>
    <x:row r="2619" ht="22" customHeight="1">
      <x:c r="A2619" s="21" t="str">
        <x:v>data/shop.json</x:v>
      </x:c>
      <x:c r="B2619" s="21" t="str">
        <x:v>$/items/6/currency</x:v>
      </x:c>
      <x:c r="C2619" s="21" t="str">
        <x:v>string</x:v>
      </x:c>
      <x:c r="D2619" s="21" t="str">
        <x:v>"coin"</x:v>
      </x:c>
    </x:row>
    <x:row r="2620" ht="22" customHeight="1">
      <x:c r="A2620" s="21" t="str">
        <x:v>data/shop.json</x:v>
      </x:c>
      <x:c r="B2620" s="21" t="str">
        <x:v>$/items/6/price</x:v>
      </x:c>
      <x:c r="C2620" s="21" t="str">
        <x:v>int</x:v>
      </x:c>
      <x:c r="D2620" s="21" t="str">
        <x:v>600</x:v>
      </x:c>
    </x:row>
    <x:row r="2621" ht="22" customHeight="1">
      <x:c r="A2621" s="21" t="str">
        <x:v>data/shop.json</x:v>
      </x:c>
      <x:c r="B2621" s="21" t="str">
        <x:v>$/items/6/name</x:v>
      </x:c>
      <x:c r="C2621" s="21" t="str">
        <x:v>string</x:v>
      </x:c>
      <x:c r="D2621" s="21" t="str">
        <x:v>"霜晶王冠"</x:v>
      </x:c>
    </x:row>
    <x:row r="2622" ht="22" customHeight="1">
      <x:c r="A2622" s="21" t="str">
        <x:v>data/shop.json</x:v>
      </x:c>
      <x:c r="B2622" s="21" t="str">
        <x:v>$/items/6/name_en</x:v>
      </x:c>
      <x:c r="C2622" s="21" t="str">
        <x:v>string</x:v>
      </x:c>
      <x:c r="D2622" s="21" t="str">
        <x:v>"Frost Crown"</x:v>
      </x:c>
    </x:row>
    <x:row r="2623" ht="22" customHeight="1">
      <x:c r="A2623" s="21" t="str">
        <x:v>data/shop.json</x:v>
      </x:c>
      <x:c r="B2623" s="21" t="str">
        <x:v>$/items/7</x:v>
      </x:c>
      <x:c r="C2623" s="21" t="str">
        <x:v>object</x:v>
      </x:c>
      <x:c r="D2623" s="21" t="str"/>
    </x:row>
    <x:row r="2624" ht="22" customHeight="1">
      <x:c r="A2624" s="21" t="str">
        <x:v>data/shop.json</x:v>
      </x:c>
      <x:c r="B2624" s="21" t="str">
        <x:v>$/items/7/id</x:v>
      </x:c>
      <x:c r="C2624" s="21" t="str">
        <x:v>string</x:v>
      </x:c>
      <x:c r="D2624" s="21" t="str">
        <x:v>"shop_frame_dragon"</x:v>
      </x:c>
    </x:row>
    <x:row r="2625" ht="22" customHeight="1">
      <x:c r="A2625" s="21" t="str">
        <x:v>data/shop.json</x:v>
      </x:c>
      <x:c r="B2625" s="21" t="str">
        <x:v>$/items/7/kind</x:v>
      </x:c>
      <x:c r="C2625" s="21" t="str">
        <x:v>string</x:v>
      </x:c>
      <x:c r="D2625" s="21" t="str">
        <x:v>"avatar_frame"</x:v>
      </x:c>
    </x:row>
    <x:row r="2626" ht="22" customHeight="1">
      <x:c r="A2626" s="21" t="str">
        <x:v>data/shop.json</x:v>
      </x:c>
      <x:c r="B2626" s="21" t="str">
        <x:v>$/items/7/grants</x:v>
      </x:c>
      <x:c r="C2626" s="21" t="str">
        <x:v>string</x:v>
      </x:c>
      <x:c r="D2626" s="21" t="str">
        <x:v>"preset:avatar_frame_shop_03"</x:v>
      </x:c>
    </x:row>
    <x:row r="2627" ht="22" customHeight="1">
      <x:c r="A2627" s="21" t="str">
        <x:v>data/shop.json</x:v>
      </x:c>
      <x:c r="B2627" s="21" t="str">
        <x:v>$/items/7/currency</x:v>
      </x:c>
      <x:c r="C2627" s="21" t="str">
        <x:v>string</x:v>
      </x:c>
      <x:c r="D2627" s="21" t="str">
        <x:v>"coin"</x:v>
      </x:c>
    </x:row>
    <x:row r="2628" ht="22" customHeight="1">
      <x:c r="A2628" s="21" t="str">
        <x:v>data/shop.json</x:v>
      </x:c>
      <x:c r="B2628" s="21" t="str">
        <x:v>$/items/7/price</x:v>
      </x:c>
      <x:c r="C2628" s="21" t="str">
        <x:v>int</x:v>
      </x:c>
      <x:c r="D2628" s="21" t="str">
        <x:v>600</x:v>
      </x:c>
    </x:row>
    <x:row r="2629" ht="22" customHeight="1">
      <x:c r="A2629" s="21" t="str">
        <x:v>data/shop.json</x:v>
      </x:c>
      <x:c r="B2629" s="21" t="str">
        <x:v>$/items/7/name</x:v>
      </x:c>
      <x:c r="C2629" s="21" t="str">
        <x:v>string</x:v>
      </x:c>
      <x:c r="D2629" s="21" t="str">
        <x:v>"鎏金龙鳞"</x:v>
      </x:c>
    </x:row>
    <x:row r="2630" ht="22" customHeight="1">
      <x:c r="A2630" s="21" t="str">
        <x:v>data/shop.json</x:v>
      </x:c>
      <x:c r="B2630" s="21" t="str">
        <x:v>$/items/7/name_en</x:v>
      </x:c>
      <x:c r="C2630" s="21" t="str">
        <x:v>string</x:v>
      </x:c>
      <x:c r="D2630" s="21" t="str">
        <x:v>"Gilded Dragon"</x:v>
      </x:c>
    </x:row>
    <x:row r="2631" ht="22" customHeight="1">
      <x:c r="A2631" s="21" t="str">
        <x:v>data/shop.json</x:v>
      </x:c>
      <x:c r="B2631" s="21" t="str">
        <x:v>$/items/8</x:v>
      </x:c>
      <x:c r="C2631" s="21" t="str">
        <x:v>object</x:v>
      </x:c>
      <x:c r="D2631" s="21" t="str"/>
    </x:row>
    <x:row r="2632" ht="22" customHeight="1">
      <x:c r="A2632" s="21" t="str">
        <x:v>data/shop.json</x:v>
      </x:c>
      <x:c r="B2632" s="21" t="str">
        <x:v>$/items/8/id</x:v>
      </x:c>
      <x:c r="C2632" s="21" t="str">
        <x:v>string</x:v>
      </x:c>
      <x:c r="D2632" s="21" t="str">
        <x:v>"shop_frame_astral"</x:v>
      </x:c>
    </x:row>
    <x:row r="2633" ht="22" customHeight="1">
      <x:c r="A2633" s="21" t="str">
        <x:v>data/shop.json</x:v>
      </x:c>
      <x:c r="B2633" s="21" t="str">
        <x:v>$/items/8/kind</x:v>
      </x:c>
      <x:c r="C2633" s="21" t="str">
        <x:v>string</x:v>
      </x:c>
      <x:c r="D2633" s="21" t="str">
        <x:v>"avatar_frame"</x:v>
      </x:c>
    </x:row>
    <x:row r="2634" ht="22" customHeight="1">
      <x:c r="A2634" s="21" t="str">
        <x:v>data/shop.json</x:v>
      </x:c>
      <x:c r="B2634" s="21" t="str">
        <x:v>$/items/8/grants</x:v>
      </x:c>
      <x:c r="C2634" s="21" t="str">
        <x:v>string</x:v>
      </x:c>
      <x:c r="D2634" s="21" t="str">
        <x:v>"preset:avatar_frame_shop_04"</x:v>
      </x:c>
    </x:row>
    <x:row r="2635" ht="22" customHeight="1">
      <x:c r="A2635" s="21" t="str">
        <x:v>data/shop.json</x:v>
      </x:c>
      <x:c r="B2635" s="21" t="str">
        <x:v>$/items/8/currency</x:v>
      </x:c>
      <x:c r="C2635" s="21" t="str">
        <x:v>string</x:v>
      </x:c>
      <x:c r="D2635" s="21" t="str">
        <x:v>"coin"</x:v>
      </x:c>
    </x:row>
    <x:row r="2636" ht="22" customHeight="1">
      <x:c r="A2636" s="21" t="str">
        <x:v>data/shop.json</x:v>
      </x:c>
      <x:c r="B2636" s="21" t="str">
        <x:v>$/items/8/price</x:v>
      </x:c>
      <x:c r="C2636" s="21" t="str">
        <x:v>int</x:v>
      </x:c>
      <x:c r="D2636" s="21" t="str">
        <x:v>600</x:v>
      </x:c>
    </x:row>
    <x:row r="2637" ht="22" customHeight="1">
      <x:c r="A2637" s="21" t="str">
        <x:v>data/shop.json</x:v>
      </x:c>
      <x:c r="B2637" s="21" t="str">
        <x:v>$/items/8/name</x:v>
      </x:c>
      <x:c r="C2637" s="21" t="str">
        <x:v>string</x:v>
      </x:c>
      <x:c r="D2637" s="21" t="str">
        <x:v>"星穹秘环"</x:v>
      </x:c>
    </x:row>
    <x:row r="2638" ht="22" customHeight="1">
      <x:c r="A2638" s="21" t="str">
        <x:v>data/shop.json</x:v>
      </x:c>
      <x:c r="B2638" s="21" t="str">
        <x:v>$/items/8/name_en</x:v>
      </x:c>
      <x:c r="C2638" s="21" t="str">
        <x:v>string</x:v>
      </x:c>
      <x:c r="D2638" s="21" t="str">
        <x:v>"Astral Halo"</x:v>
      </x:c>
    </x:row>
    <x:row r="2639" ht="22" customHeight="1">
      <x:c r="A2639" s="21" t="str">
        <x:v>data/shop.json</x:v>
      </x:c>
      <x:c r="B2639" s="21" t="str">
        <x:v>$/items/9</x:v>
      </x:c>
      <x:c r="C2639" s="21" t="str">
        <x:v>object</x:v>
      </x:c>
      <x:c r="D2639" s="21" t="str"/>
    </x:row>
    <x:row r="2640" ht="22" customHeight="1">
      <x:c r="A2640" s="21" t="str">
        <x:v>data/shop.json</x:v>
      </x:c>
      <x:c r="B2640" s="21" t="str">
        <x:v>$/items/9/id</x:v>
      </x:c>
      <x:c r="C2640" s="21" t="str">
        <x:v>string</x:v>
      </x:c>
      <x:c r="D2640" s="21" t="str">
        <x:v>"shop_frame_inferno"</x:v>
      </x:c>
    </x:row>
    <x:row r="2641" ht="22" customHeight="1">
      <x:c r="A2641" s="21" t="str">
        <x:v>data/shop.json</x:v>
      </x:c>
      <x:c r="B2641" s="21" t="str">
        <x:v>$/items/9/kind</x:v>
      </x:c>
      <x:c r="C2641" s="21" t="str">
        <x:v>string</x:v>
      </x:c>
      <x:c r="D2641" s="21" t="str">
        <x:v>"avatar_frame"</x:v>
      </x:c>
    </x:row>
    <x:row r="2642" ht="22" customHeight="1">
      <x:c r="A2642" s="21" t="str">
        <x:v>data/shop.json</x:v>
      </x:c>
      <x:c r="B2642" s="21" t="str">
        <x:v>$/items/9/grants</x:v>
      </x:c>
      <x:c r="C2642" s="21" t="str">
        <x:v>string</x:v>
      </x:c>
      <x:c r="D2642" s="21" t="str">
        <x:v>"preset:avatar_frame_shop_05"</x:v>
      </x:c>
    </x:row>
    <x:row r="2643" ht="22" customHeight="1">
      <x:c r="A2643" s="21" t="str">
        <x:v>data/shop.json</x:v>
      </x:c>
      <x:c r="B2643" s="21" t="str">
        <x:v>$/items/9/currency</x:v>
      </x:c>
      <x:c r="C2643" s="21" t="str">
        <x:v>string</x:v>
      </x:c>
      <x:c r="D2643" s="21" t="str">
        <x:v>"coin"</x:v>
      </x:c>
    </x:row>
    <x:row r="2644" ht="22" customHeight="1">
      <x:c r="A2644" s="21" t="str">
        <x:v>data/shop.json</x:v>
      </x:c>
      <x:c r="B2644" s="21" t="str">
        <x:v>$/items/9/price</x:v>
      </x:c>
      <x:c r="C2644" s="21" t="str">
        <x:v>int</x:v>
      </x:c>
      <x:c r="D2644" s="21" t="str">
        <x:v>600</x:v>
      </x:c>
    </x:row>
    <x:row r="2645" ht="22" customHeight="1">
      <x:c r="A2645" s="21" t="str">
        <x:v>data/shop.json</x:v>
      </x:c>
      <x:c r="B2645" s="21" t="str">
        <x:v>$/items/9/name</x:v>
      </x:c>
      <x:c r="C2645" s="21" t="str">
        <x:v>string</x:v>
      </x:c>
      <x:c r="D2645" s="21" t="str">
        <x:v>"炽焰之心"</x:v>
      </x:c>
    </x:row>
    <x:row r="2646" ht="22" customHeight="1">
      <x:c r="A2646" s="21" t="str">
        <x:v>data/shop.json</x:v>
      </x:c>
      <x:c r="B2646" s="21" t="str">
        <x:v>$/items/9/name_en</x:v>
      </x:c>
      <x:c r="C2646" s="21" t="str">
        <x:v>string</x:v>
      </x:c>
      <x:c r="D2646" s="21" t="str">
        <x:v>"Inferno Heart"</x:v>
      </x:c>
    </x:row>
    <x:row r="2647" ht="22" customHeight="1">
      <x:c r="A2647" s="21" t="str">
        <x:v>data/shop.json</x:v>
      </x:c>
      <x:c r="B2647" s="21" t="str">
        <x:v>$/items/10</x:v>
      </x:c>
      <x:c r="C2647" s="21" t="str">
        <x:v>object</x:v>
      </x:c>
      <x:c r="D2647" s="21" t="str"/>
    </x:row>
    <x:row r="2648" ht="22" customHeight="1">
      <x:c r="A2648" s="21" t="str">
        <x:v>data/shop.json</x:v>
      </x:c>
      <x:c r="B2648" s="21" t="str">
        <x:v>$/items/10/id</x:v>
      </x:c>
      <x:c r="C2648" s="21" t="str">
        <x:v>string</x:v>
      </x:c>
      <x:c r="D2648" s="21" t="str">
        <x:v>"draw_pet_squirrel"</x:v>
      </x:c>
    </x:row>
    <x:row r="2649" ht="22" customHeight="1">
      <x:c r="A2649" s="21" t="str">
        <x:v>data/shop.json</x:v>
      </x:c>
      <x:c r="B2649" s="21" t="str">
        <x:v>$/items/10/kind</x:v>
      </x:c>
      <x:c r="C2649" s="21" t="str">
        <x:v>string</x:v>
      </x:c>
      <x:c r="D2649" s="21" t="str">
        <x:v>"pet"</x:v>
      </x:c>
    </x:row>
    <x:row r="2650" ht="22" customHeight="1">
      <x:c r="A2650" s="21" t="str">
        <x:v>data/shop.json</x:v>
      </x:c>
      <x:c r="B2650" s="21" t="str">
        <x:v>$/items/10/grants</x:v>
      </x:c>
      <x:c r="C2650" s="21" t="str">
        <x:v>string</x:v>
      </x:c>
      <x:c r="D2650" s="21" t="str">
        <x:v>"pet_squirrel"</x:v>
      </x:c>
    </x:row>
    <x:row r="2651" ht="22" customHeight="1">
      <x:c r="A2651" s="21" t="str">
        <x:v>data/shop.json</x:v>
      </x:c>
      <x:c r="B2651" s="21" t="str">
        <x:v>$/items/10/currency</x:v>
      </x:c>
      <x:c r="C2651" s="21" t="str">
        <x:v>string</x:v>
      </x:c>
      <x:c r="D2651" s="21" t="str">
        <x:v>"diamond"</x:v>
      </x:c>
    </x:row>
    <x:row r="2652" ht="22" customHeight="1">
      <x:c r="A2652" s="21" t="str">
        <x:v>data/shop.json</x:v>
      </x:c>
      <x:c r="B2652" s="21" t="str">
        <x:v>$/items/10/price</x:v>
      </x:c>
      <x:c r="C2652" s="21" t="str">
        <x:v>int</x:v>
      </x:c>
      <x:c r="D2652" s="21" t="str">
        <x:v>75</x:v>
      </x:c>
    </x:row>
    <x:row r="2653" ht="22" customHeight="1">
      <x:c r="A2653" s="21" t="str">
        <x:v>data/shop.json</x:v>
      </x:c>
      <x:c r="B2653" s="21" t="str">
        <x:v>$/items/10/enabled</x:v>
      </x:c>
      <x:c r="C2653" s="21" t="str">
        <x:v>bool</x:v>
      </x:c>
      <x:c r="D2653" s="21" t="str">
        <x:v>false</x:v>
      </x:c>
    </x:row>
    <x:row r="2654" ht="22" customHeight="1">
      <x:c r="A2654" s="21" t="str">
        <x:v>data/shop.json</x:v>
      </x:c>
      <x:c r="B2654" s="21" t="str">
        <x:v>$/items/10/name</x:v>
      </x:c>
      <x:c r="C2654" s="21" t="str">
        <x:v>string</x:v>
      </x:c>
      <x:c r="D2654" s="21" t="str">
        <x:v>"松鼠"</x:v>
      </x:c>
    </x:row>
    <x:row r="2655" ht="22" customHeight="1">
      <x:c r="A2655" s="21" t="str">
        <x:v>data/shop.json</x:v>
      </x:c>
      <x:c r="B2655" s="21" t="str">
        <x:v>$/items/10/name_en</x:v>
      </x:c>
      <x:c r="C2655" s="21" t="str">
        <x:v>string</x:v>
      </x:c>
      <x:c r="D2655" s="21" t="str">
        <x:v>"Squirrel"</x:v>
      </x:c>
    </x:row>
    <x:row r="2656" ht="22" customHeight="1">
      <x:c r="A2656" s="21" t="str">
        <x:v>data/shop.json</x:v>
      </x:c>
      <x:c r="B2656" s="21" t="str">
        <x:v>$/items/11</x:v>
      </x:c>
      <x:c r="C2656" s="21" t="str">
        <x:v>object</x:v>
      </x:c>
      <x:c r="D2656" s="21" t="str"/>
    </x:row>
    <x:row r="2657" ht="22" customHeight="1">
      <x:c r="A2657" s="21" t="str">
        <x:v>data/shop.json</x:v>
      </x:c>
      <x:c r="B2657" s="21" t="str">
        <x:v>$/items/11/id</x:v>
      </x:c>
      <x:c r="C2657" s="21" t="str">
        <x:v>string</x:v>
      </x:c>
      <x:c r="D2657" s="21" t="str">
        <x:v>"draw_pet_tiger"</x:v>
      </x:c>
    </x:row>
    <x:row r="2658" ht="22" customHeight="1">
      <x:c r="A2658" s="21" t="str">
        <x:v>data/shop.json</x:v>
      </x:c>
      <x:c r="B2658" s="21" t="str">
        <x:v>$/items/11/kind</x:v>
      </x:c>
      <x:c r="C2658" s="21" t="str">
        <x:v>string</x:v>
      </x:c>
      <x:c r="D2658" s="21" t="str">
        <x:v>"pet"</x:v>
      </x:c>
    </x:row>
    <x:row r="2659" ht="22" customHeight="1">
      <x:c r="A2659" s="21" t="str">
        <x:v>data/shop.json</x:v>
      </x:c>
      <x:c r="B2659" s="21" t="str">
        <x:v>$/items/11/grants</x:v>
      </x:c>
      <x:c r="C2659" s="21" t="str">
        <x:v>string</x:v>
      </x:c>
      <x:c r="D2659" s="21" t="str">
        <x:v>"pet_tiger"</x:v>
      </x:c>
    </x:row>
    <x:row r="2660" ht="22" customHeight="1">
      <x:c r="A2660" s="21" t="str">
        <x:v>data/shop.json</x:v>
      </x:c>
      <x:c r="B2660" s="21" t="str">
        <x:v>$/items/11/currency</x:v>
      </x:c>
      <x:c r="C2660" s="21" t="str">
        <x:v>string</x:v>
      </x:c>
      <x:c r="D2660" s="21" t="str">
        <x:v>"diamond"</x:v>
      </x:c>
    </x:row>
    <x:row r="2661" ht="22" customHeight="1">
      <x:c r="A2661" s="21" t="str">
        <x:v>data/shop.json</x:v>
      </x:c>
      <x:c r="B2661" s="21" t="str">
        <x:v>$/items/11/price</x:v>
      </x:c>
      <x:c r="C2661" s="21" t="str">
        <x:v>int</x:v>
      </x:c>
      <x:c r="D2661" s="21" t="str">
        <x:v>75</x:v>
      </x:c>
    </x:row>
    <x:row r="2662" ht="22" customHeight="1">
      <x:c r="A2662" s="21" t="str">
        <x:v>data/shop.json</x:v>
      </x:c>
      <x:c r="B2662" s="21" t="str">
        <x:v>$/items/11/enabled</x:v>
      </x:c>
      <x:c r="C2662" s="21" t="str">
        <x:v>bool</x:v>
      </x:c>
      <x:c r="D2662" s="21" t="str">
        <x:v>false</x:v>
      </x:c>
    </x:row>
    <x:row r="2663" ht="22" customHeight="1">
      <x:c r="A2663" s="21" t="str">
        <x:v>data/shop.json</x:v>
      </x:c>
      <x:c r="B2663" s="21" t="str">
        <x:v>$/items/11/name</x:v>
      </x:c>
      <x:c r="C2663" s="21" t="str">
        <x:v>string</x:v>
      </x:c>
      <x:c r="D2663" s="21" t="str">
        <x:v>"老虎"</x:v>
      </x:c>
    </x:row>
    <x:row r="2664" ht="22" customHeight="1">
      <x:c r="A2664" s="21" t="str">
        <x:v>data/shop.json</x:v>
      </x:c>
      <x:c r="B2664" s="21" t="str">
        <x:v>$/items/11/name_en</x:v>
      </x:c>
      <x:c r="C2664" s="21" t="str">
        <x:v>string</x:v>
      </x:c>
      <x:c r="D2664" s="21" t="str">
        <x:v>"Tiger"</x:v>
      </x:c>
    </x:row>
    <x:row r="2665" ht="22" customHeight="1">
      <x:c r="A2665" s="21" t="str">
        <x:v>data/codex/treasure_text.json</x:v>
      </x:c>
      <x:c r="B2665" s="21" t="str">
        <x:v>$</x:v>
      </x:c>
      <x:c r="C2665" s="21" t="str">
        <x:v>object</x:v>
      </x:c>
      <x:c r="D2665" s="21" t="str"/>
    </x:row>
    <x:row r="2666" ht="22" customHeight="1">
      <x:c r="A2666" s="21" t="str">
        <x:v>data/codex/treasure_text.json</x:v>
      </x:c>
      <x:c r="B2666" s="21" t="str">
        <x:v>$/_source</x:v>
      </x:c>
      <x:c r="C2666" s="21" t="str">
        <x:v>string</x:v>
      </x:c>
      <x:c r="D2666" s="21" t="str">
        <x:v>"Chinese fields were first parsed from docs/宝藏效果总表.md; that parser is not in the repo, so this file is now maintained by hand — keep it and the doc in sync. The *_en fields are hand-written. The sets section is the only copy of the set bonus text: the codex and the prep treasure detail both read it."</x:v>
      </x:c>
    </x:row>
    <x:row r="2667" ht="22" customHeight="1">
      <x:c r="A2667" s="21" t="str">
        <x:v>data/codex/treasure_text.json</x:v>
      </x:c>
      <x:c r="B2667" s="21" t="str">
        <x:v>$/treasures</x:v>
      </x:c>
      <x:c r="C2667" s="21" t="str">
        <x:v>object</x:v>
      </x:c>
      <x:c r="D2667" s="21" t="str"/>
    </x:row>
    <x:row r="2668" ht="22" customHeight="1">
      <x:c r="A2668" s="21" t="str">
        <x:v>data/codex/treasure_text.json</x:v>
      </x:c>
      <x:c r="B2668" s="21" t="str">
        <x:v>$/treasures/def_iron_wall</x:v>
      </x:c>
      <x:c r="C2668" s="21" t="str">
        <x:v>object</x:v>
      </x:c>
      <x:c r="D2668" s="21" t="str"/>
    </x:row>
    <x:row r="2669" ht="22" customHeight="1">
      <x:c r="A2669" s="21" t="str">
        <x:v>data/codex/treasure_text.json</x:v>
      </x:c>
      <x:c r="B2669" s="21" t="str">
        <x:v>$/treasures/def_iron_wall/name</x:v>
      </x:c>
      <x:c r="C2669" s="21" t="str">
        <x:v>string</x:v>
      </x:c>
      <x:c r="D2669" s="21" t="str">
        <x:v>"铁壁之护"</x:v>
      </x:c>
    </x:row>
    <x:row r="2670" ht="22" customHeight="1">
      <x:c r="A2670" s="21" t="str">
        <x:v>data/codex/treasure_text.json</x:v>
      </x:c>
      <x:c r="B2670" s="21" t="str">
        <x:v>$/treasures/def_iron_wall/name_en</x:v>
      </x:c>
      <x:c r="C2670" s="21" t="str">
        <x:v>string</x:v>
      </x:c>
      <x:c r="D2670" s="21" t="str">
        <x:v>"Iron Wall"</x:v>
      </x:c>
    </x:row>
    <x:row r="2671" ht="22" customHeight="1">
      <x:c r="A2671" s="21" t="str">
        <x:v>data/codex/treasure_text.json</x:v>
      </x:c>
      <x:c r="B2671" s="21" t="str">
        <x:v>$/treasures/def_iron_wall/effect</x:v>
      </x:c>
      <x:c r="C2671" s="21" t="str">
        <x:v>string</x:v>
      </x:c>
      <x:c r="D2671" s="21" t="str">
        <x:v>"我方普通棋子 DEF +10"</x:v>
      </x:c>
    </x:row>
    <x:row r="2672" ht="22" customHeight="1">
      <x:c r="A2672" s="21" t="str">
        <x:v>data/codex/treasure_text.json</x:v>
      </x:c>
      <x:c r="B2672" s="21" t="str">
        <x:v>$/treasures/def_iron_wall/effect_en</x:v>
      </x:c>
      <x:c r="C2672" s="21" t="str">
        <x:v>string</x:v>
      </x:c>
      <x:c r="D2672" s="21" t="str">
        <x:v>"Allied normal pieces gain DEF +10"</x:v>
      </x:c>
    </x:row>
    <x:row r="2673" ht="22" customHeight="1">
      <x:c r="A2673" s="21" t="str">
        <x:v>data/codex/treasure_text.json</x:v>
      </x:c>
      <x:c r="B2673" s="21" t="str">
        <x:v>$/treasures/def_iron_wall/trigger</x:v>
      </x:c>
      <x:c r="C2673" s="21" t="str">
        <x:v>string</x:v>
      </x:c>
      <x:c r="D2673" s="21" t="str">
        <x:v>"开战时"</x:v>
      </x:c>
    </x:row>
    <x:row r="2674" ht="22" customHeight="1">
      <x:c r="A2674" s="21" t="str">
        <x:v>data/codex/treasure_text.json</x:v>
      </x:c>
      <x:c r="B2674" s="21" t="str">
        <x:v>$/treasures/def_iron_wall/trigger_en</x:v>
      </x:c>
      <x:c r="C2674" s="21" t="str">
        <x:v>string</x:v>
      </x:c>
      <x:c r="D2674" s="21" t="str">
        <x:v>"Battle start"</x:v>
      </x:c>
    </x:row>
    <x:row r="2675" ht="22" customHeight="1">
      <x:c r="A2675" s="21" t="str">
        <x:v>data/codex/treasure_text.json</x:v>
      </x:c>
      <x:c r="B2675" s="21" t="str">
        <x:v>$/treasures/def_life_monument</x:v>
      </x:c>
      <x:c r="C2675" s="21" t="str">
        <x:v>object</x:v>
      </x:c>
      <x:c r="D2675" s="21" t="str"/>
    </x:row>
    <x:row r="2676" ht="22" customHeight="1">
      <x:c r="A2676" s="21" t="str">
        <x:v>data/codex/treasure_text.json</x:v>
      </x:c>
      <x:c r="B2676" s="21" t="str">
        <x:v>$/treasures/def_life_monument/name</x:v>
      </x:c>
      <x:c r="C2676" s="21" t="str">
        <x:v>string</x:v>
      </x:c>
      <x:c r="D2676" s="21" t="str">
        <x:v>"生命丰碑"</x:v>
      </x:c>
    </x:row>
    <x:row r="2677" ht="22" customHeight="1">
      <x:c r="A2677" s="21" t="str">
        <x:v>data/codex/treasure_text.json</x:v>
      </x:c>
      <x:c r="B2677" s="21" t="str">
        <x:v>$/treasures/def_life_monument/name_en</x:v>
      </x:c>
      <x:c r="C2677" s="21" t="str">
        <x:v>string</x:v>
      </x:c>
      <x:c r="D2677" s="21" t="str">
        <x:v>"Life Monument"</x:v>
      </x:c>
    </x:row>
    <x:row r="2678" ht="22" customHeight="1">
      <x:c r="A2678" s="21" t="str">
        <x:v>data/codex/treasure_text.json</x:v>
      </x:c>
      <x:c r="B2678" s="21" t="str">
        <x:v>$/treasures/def_life_monument/effect</x:v>
      </x:c>
      <x:c r="C2678" s="21" t="str">
        <x:v>string</x:v>
      </x:c>
      <x:c r="D2678" s="21" t="str">
        <x:v>"我方普通棋子最大生命 +20%，当前生命同步提高；胡牌手激活后为 +40%"</x:v>
      </x:c>
    </x:row>
    <x:row r="2679" ht="22" customHeight="1">
      <x:c r="A2679" s="21" t="str">
        <x:v>data/codex/treasure_text.json</x:v>
      </x:c>
      <x:c r="B2679" s="21" t="str">
        <x:v>$/treasures/def_life_monument/effect_en</x:v>
      </x:c>
      <x:c r="C2679" s="21" t="str">
        <x:v>string</x:v>
      </x:c>
      <x:c r="D2679" s="21" t="str">
        <x:v>"Allied normal pieces gain +20% max HP, current HP raised to match; +40% once Winning Hand is active"</x:v>
      </x:c>
    </x:row>
    <x:row r="2680" ht="22" customHeight="1">
      <x:c r="A2680" s="21" t="str">
        <x:v>data/codex/treasure_text.json</x:v>
      </x:c>
      <x:c r="B2680" s="21" t="str">
        <x:v>$/treasures/def_life_monument/trigger</x:v>
      </x:c>
      <x:c r="C2680" s="21" t="str">
        <x:v>string</x:v>
      </x:c>
      <x:c r="D2680" s="21" t="str">
        <x:v>"开战时"</x:v>
      </x:c>
    </x:row>
    <x:row r="2681" ht="22" customHeight="1">
      <x:c r="A2681" s="21" t="str">
        <x:v>data/codex/treasure_text.json</x:v>
      </x:c>
      <x:c r="B2681" s="21" t="str">
        <x:v>$/treasures/def_life_monument/trigger_en</x:v>
      </x:c>
      <x:c r="C2681" s="21" t="str">
        <x:v>string</x:v>
      </x:c>
      <x:c r="D2681" s="21" t="str">
        <x:v>"Battle start"</x:v>
      </x:c>
    </x:row>
    <x:row r="2682" ht="22" customHeight="1">
      <x:c r="A2682" s="21" t="str">
        <x:v>data/codex/treasure_text.json</x:v>
      </x:c>
      <x:c r="B2682" s="21" t="str">
        <x:v>$/treasures/def_formation_heal</x:v>
      </x:c>
      <x:c r="C2682" s="21" t="str">
        <x:v>object</x:v>
      </x:c>
      <x:c r="D2682" s="21" t="str"/>
    </x:row>
    <x:row r="2683" ht="22" customHeight="1">
      <x:c r="A2683" s="21" t="str">
        <x:v>data/codex/treasure_text.json</x:v>
      </x:c>
      <x:c r="B2683" s="21" t="str">
        <x:v>$/treasures/def_formation_heal/name</x:v>
      </x:c>
      <x:c r="C2683" s="21" t="str">
        <x:v>string</x:v>
      </x:c>
      <x:c r="D2683" s="21" t="str">
        <x:v>"法阵回春"</x:v>
      </x:c>
    </x:row>
    <x:row r="2684" ht="22" customHeight="1">
      <x:c r="A2684" s="21" t="str">
        <x:v>data/codex/treasure_text.json</x:v>
      </x:c>
      <x:c r="B2684" s="21" t="str">
        <x:v>$/treasures/def_formation_heal/name_en</x:v>
      </x:c>
      <x:c r="C2684" s="21" t="str">
        <x:v>string</x:v>
      </x:c>
      <x:c r="D2684" s="21" t="str">
        <x:v>"Formation Heal"</x:v>
      </x:c>
    </x:row>
    <x:row r="2685" ht="22" customHeight="1">
      <x:c r="A2685" s="21" t="str">
        <x:v>data/codex/treasure_text.json</x:v>
      </x:c>
      <x:c r="B2685" s="21" t="str">
        <x:v>$/treasures/def_formation_heal/effect</x:v>
      </x:c>
      <x:c r="C2685" s="21" t="str">
        <x:v>string</x:v>
      </x:c>
      <x:c r="D2685" s="21" t="str">
        <x:v>"胜利或平局后法阵 HP +1，失败后 +2，不超过初始上限"</x:v>
      </x:c>
    </x:row>
    <x:row r="2686" ht="22" customHeight="1">
      <x:c r="A2686" s="21" t="str">
        <x:v>data/codex/treasure_text.json</x:v>
      </x:c>
      <x:c r="B2686" s="21" t="str">
        <x:v>$/treasures/def_formation_heal/effect_en</x:v>
      </x:c>
      <x:c r="C2686" s="21" t="str">
        <x:v>string</x:v>
      </x:c>
      <x:c r="D2686" s="21" t="str">
        <x:v>"After a win or draw, restore 1 formation HP; after a loss, restore 2, up to the starting cap"</x:v>
      </x:c>
    </x:row>
    <x:row r="2687" ht="22" customHeight="1">
      <x:c r="A2687" s="21" t="str">
        <x:v>data/codex/treasure_text.json</x:v>
      </x:c>
      <x:c r="B2687" s="21" t="str">
        <x:v>$/treasures/def_formation_heal/trigger</x:v>
      </x:c>
      <x:c r="C2687" s="21" t="str">
        <x:v>string</x:v>
      </x:c>
      <x:c r="D2687" s="21" t="str">
        <x:v>"每次战后"</x:v>
      </x:c>
    </x:row>
    <x:row r="2688" ht="22" customHeight="1">
      <x:c r="A2688" s="21" t="str">
        <x:v>data/codex/treasure_text.json</x:v>
      </x:c>
      <x:c r="B2688" s="21" t="str">
        <x:v>$/treasures/def_formation_heal/trigger_en</x:v>
      </x:c>
      <x:c r="C2688" s="21" t="str">
        <x:v>string</x:v>
      </x:c>
      <x:c r="D2688" s="21" t="str">
        <x:v>"After each battle"</x:v>
      </x:c>
    </x:row>
    <x:row r="2689" ht="22" customHeight="1">
      <x:c r="A2689" s="21" t="str">
        <x:v>data/codex/treasure_text.json</x:v>
      </x:c>
      <x:c r="B2689" s="21" t="str">
        <x:v>$/treasures/def_soul_counter</x:v>
      </x:c>
      <x:c r="C2689" s="21" t="str">
        <x:v>object</x:v>
      </x:c>
      <x:c r="D2689" s="21" t="str"/>
    </x:row>
    <x:row r="2690" ht="22" customHeight="1">
      <x:c r="A2690" s="21" t="str">
        <x:v>data/codex/treasure_text.json</x:v>
      </x:c>
      <x:c r="B2690" s="21" t="str">
        <x:v>$/treasures/def_soul_counter/name</x:v>
      </x:c>
      <x:c r="C2690" s="21" t="str">
        <x:v>string</x:v>
      </x:c>
      <x:c r="D2690" s="21" t="str">
        <x:v>"亡魂反击"</x:v>
      </x:c>
    </x:row>
    <x:row r="2691" ht="22" customHeight="1">
      <x:c r="A2691" s="21" t="str">
        <x:v>data/codex/treasure_text.json</x:v>
      </x:c>
      <x:c r="B2691" s="21" t="str">
        <x:v>$/treasures/def_soul_counter/name_en</x:v>
      </x:c>
      <x:c r="C2691" s="21" t="str">
        <x:v>string</x:v>
      </x:c>
      <x:c r="D2691" s="21" t="str">
        <x:v>"Soul Counter"</x:v>
      </x:c>
    </x:row>
    <x:row r="2692" ht="22" customHeight="1">
      <x:c r="A2692" s="21" t="str">
        <x:v>data/codex/treasure_text.json</x:v>
      </x:c>
      <x:c r="B2692" s="21" t="str">
        <x:v>$/treasures/def_soul_counter/effect</x:v>
      </x:c>
      <x:c r="C2692" s="21" t="str">
        <x:v>string</x:v>
      </x:c>
      <x:c r="D2692" s="21" t="str">
        <x:v>"我方普通棋子死亡时，对击杀者造成击杀者最大生命 35% 真实伤害"</x:v>
      </x:c>
    </x:row>
    <x:row r="2693" ht="22" customHeight="1">
      <x:c r="A2693" s="21" t="str">
        <x:v>data/codex/treasure_text.json</x:v>
      </x:c>
      <x:c r="B2693" s="21" t="str">
        <x:v>$/treasures/def_soul_counter/effect_en</x:v>
      </x:c>
      <x:c r="C2693" s="21" t="str">
        <x:v>string</x:v>
      </x:c>
      <x:c r="D2693" s="21" t="str">
        <x:v>"When an allied normal piece dies, deal 35% of the killer's max HP to the killer as true damage"</x:v>
      </x:c>
    </x:row>
    <x:row r="2694" ht="22" customHeight="1">
      <x:c r="A2694" s="21" t="str">
        <x:v>data/codex/treasure_text.json</x:v>
      </x:c>
      <x:c r="B2694" s="21" t="str">
        <x:v>$/treasures/def_soul_counter/trigger</x:v>
      </x:c>
      <x:c r="C2694" s="21" t="str">
        <x:v>string</x:v>
      </x:c>
      <x:c r="D2694" s="21" t="str">
        <x:v>"我方普通棋子死亡时"</x:v>
      </x:c>
    </x:row>
    <x:row r="2695" ht="22" customHeight="1">
      <x:c r="A2695" s="21" t="str">
        <x:v>data/codex/treasure_text.json</x:v>
      </x:c>
      <x:c r="B2695" s="21" t="str">
        <x:v>$/treasures/def_soul_counter/trigger_en</x:v>
      </x:c>
      <x:c r="C2695" s="21" t="str">
        <x:v>string</x:v>
      </x:c>
      <x:c r="D2695" s="21" t="str">
        <x:v>"When an allied normal piece dies"</x:v>
      </x:c>
    </x:row>
    <x:row r="2696" ht="22" customHeight="1">
      <x:c r="A2696" s="21" t="str">
        <x:v>data/codex/treasure_text.json</x:v>
      </x:c>
      <x:c r="B2696" s="21" t="str">
        <x:v>$/treasures/def_lifesteal_emblem</x:v>
      </x:c>
      <x:c r="C2696" s="21" t="str">
        <x:v>object</x:v>
      </x:c>
      <x:c r="D2696" s="21" t="str"/>
    </x:row>
    <x:row r="2697" ht="22" customHeight="1">
      <x:c r="A2697" s="21" t="str">
        <x:v>data/codex/treasure_text.json</x:v>
      </x:c>
      <x:c r="B2697" s="21" t="str">
        <x:v>$/treasures/def_lifesteal_emblem/name</x:v>
      </x:c>
      <x:c r="C2697" s="21" t="str">
        <x:v>string</x:v>
      </x:c>
      <x:c r="D2697" s="21" t="str">
        <x:v>"吸血纹章"</x:v>
      </x:c>
    </x:row>
    <x:row r="2698" ht="22" customHeight="1">
      <x:c r="A2698" s="21" t="str">
        <x:v>data/codex/treasure_text.json</x:v>
      </x:c>
      <x:c r="B2698" s="21" t="str">
        <x:v>$/treasures/def_lifesteal_emblem/name_en</x:v>
      </x:c>
      <x:c r="C2698" s="21" t="str">
        <x:v>string</x:v>
      </x:c>
      <x:c r="D2698" s="21" t="str">
        <x:v>"Lifesteal Emblem"</x:v>
      </x:c>
    </x:row>
    <x:row r="2699" ht="22" customHeight="1">
      <x:c r="A2699" s="21" t="str">
        <x:v>data/codex/treasure_text.json</x:v>
      </x:c>
      <x:c r="B2699" s="21" t="str">
        <x:v>$/treasures/def_lifesteal_emblem/effect</x:v>
      </x:c>
      <x:c r="C2699" s="21" t="str">
        <x:v>string</x:v>
      </x:c>
      <x:c r="D2699" s="21" t="str">
        <x:v>"我方普通棋子造成伤害后，回复实际伤害 20% 的生命"</x:v>
      </x:c>
    </x:row>
    <x:row r="2700" ht="22" customHeight="1">
      <x:c r="A2700" s="21" t="str">
        <x:v>data/codex/treasure_text.json</x:v>
      </x:c>
      <x:c r="B2700" s="21" t="str">
        <x:v>$/treasures/def_lifesteal_emblem/effect_en</x:v>
      </x:c>
      <x:c r="C2700" s="21" t="str">
        <x:v>string</x:v>
      </x:c>
      <x:c r="D2700" s="21" t="str">
        <x:v>"Allied normal pieces heal for 20% of the damage they actually deal"</x:v>
      </x:c>
    </x:row>
    <x:row r="2701" ht="22" customHeight="1">
      <x:c r="A2701" s="21" t="str">
        <x:v>data/codex/treasure_text.json</x:v>
      </x:c>
      <x:c r="B2701" s="21" t="str">
        <x:v>$/treasures/def_lifesteal_emblem/trigger</x:v>
      </x:c>
      <x:c r="C2701" s="21" t="str">
        <x:v>string</x:v>
      </x:c>
      <x:c r="D2701" s="21" t="str">
        <x:v>"普通棋子造成伤害后"</x:v>
      </x:c>
    </x:row>
    <x:row r="2702" ht="22" customHeight="1">
      <x:c r="A2702" s="21" t="str">
        <x:v>data/codex/treasure_text.json</x:v>
      </x:c>
      <x:c r="B2702" s="21" t="str">
        <x:v>$/treasures/def_lifesteal_emblem/trigger_en</x:v>
      </x:c>
      <x:c r="C2702" s="21" t="str">
        <x:v>string</x:v>
      </x:c>
      <x:c r="D2702" s="21" t="str">
        <x:v>"After a normal piece deals damage"</x:v>
      </x:c>
    </x:row>
    <x:row r="2703" ht="22" customHeight="1">
      <x:c r="A2703" s="21" t="str">
        <x:v>data/codex/treasure_text.json</x:v>
      </x:c>
      <x:c r="B2703" s="21" t="str">
        <x:v>$/treasures/def_phantom_step</x:v>
      </x:c>
      <x:c r="C2703" s="21" t="str">
        <x:v>object</x:v>
      </x:c>
      <x:c r="D2703" s="21" t="str"/>
    </x:row>
    <x:row r="2704" ht="22" customHeight="1">
      <x:c r="A2704" s="21" t="str">
        <x:v>data/codex/treasure_text.json</x:v>
      </x:c>
      <x:c r="B2704" s="21" t="str">
        <x:v>$/treasures/def_phantom_step/name</x:v>
      </x:c>
      <x:c r="C2704" s="21" t="str">
        <x:v>string</x:v>
      </x:c>
      <x:c r="D2704" s="21" t="str">
        <x:v>"幻影步伐"</x:v>
      </x:c>
    </x:row>
    <x:row r="2705" ht="22" customHeight="1">
      <x:c r="A2705" s="21" t="str">
        <x:v>data/codex/treasure_text.json</x:v>
      </x:c>
      <x:c r="B2705" s="21" t="str">
        <x:v>$/treasures/def_phantom_step/name_en</x:v>
      </x:c>
      <x:c r="C2705" s="21" t="str">
        <x:v>string</x:v>
      </x:c>
      <x:c r="D2705" s="21" t="str">
        <x:v>"Phantom Step"</x:v>
      </x:c>
    </x:row>
    <x:row r="2706" ht="22" customHeight="1">
      <x:c r="A2706" s="21" t="str">
        <x:v>data/codex/treasure_text.json</x:v>
      </x:c>
      <x:c r="B2706" s="21" t="str">
        <x:v>$/treasures/def_phantom_step/effect</x:v>
      </x:c>
      <x:c r="C2706" s="21" t="str">
        <x:v>string</x:v>
      </x:c>
      <x:c r="D2706" s="21" t="str">
        <x:v>"我方普通棋子闪避 +20%"</x:v>
      </x:c>
    </x:row>
    <x:row r="2707" ht="22" customHeight="1">
      <x:c r="A2707" s="21" t="str">
        <x:v>data/codex/treasure_text.json</x:v>
      </x:c>
      <x:c r="B2707" s="21" t="str">
        <x:v>$/treasures/def_phantom_step/effect_en</x:v>
      </x:c>
      <x:c r="C2707" s="21" t="str">
        <x:v>string</x:v>
      </x:c>
      <x:c r="D2707" s="21" t="str">
        <x:v>"Allied normal pieces gain +20% dodge"</x:v>
      </x:c>
    </x:row>
    <x:row r="2708" ht="22" customHeight="1">
      <x:c r="A2708" s="21" t="str">
        <x:v>data/codex/treasure_text.json</x:v>
      </x:c>
      <x:c r="B2708" s="21" t="str">
        <x:v>$/treasures/def_phantom_step/trigger</x:v>
      </x:c>
      <x:c r="C2708" s="21" t="str">
        <x:v>string</x:v>
      </x:c>
      <x:c r="D2708" s="21" t="str">
        <x:v>"开战时"</x:v>
      </x:c>
    </x:row>
    <x:row r="2709" ht="22" customHeight="1">
      <x:c r="A2709" s="21" t="str">
        <x:v>data/codex/treasure_text.json</x:v>
      </x:c>
      <x:c r="B2709" s="21" t="str">
        <x:v>$/treasures/def_phantom_step/trigger_en</x:v>
      </x:c>
      <x:c r="C2709" s="21" t="str">
        <x:v>string</x:v>
      </x:c>
      <x:c r="D2709" s="21" t="str">
        <x:v>"Battle start"</x:v>
      </x:c>
    </x:row>
    <x:row r="2710" ht="22" customHeight="1">
      <x:c r="A2710" s="21" t="str">
        <x:v>data/codex/treasure_text.json</x:v>
      </x:c>
      <x:c r="B2710" s="21" t="str">
        <x:v>$/treasures/ctrl_shockwave</x:v>
      </x:c>
      <x:c r="C2710" s="21" t="str">
        <x:v>object</x:v>
      </x:c>
      <x:c r="D2710" s="21" t="str"/>
    </x:row>
    <x:row r="2711" ht="22" customHeight="1">
      <x:c r="A2711" s="21" t="str">
        <x:v>data/codex/treasure_text.json</x:v>
      </x:c>
      <x:c r="B2711" s="21" t="str">
        <x:v>$/treasures/ctrl_shockwave/name</x:v>
      </x:c>
      <x:c r="C2711" s="21" t="str">
        <x:v>string</x:v>
      </x:c>
      <x:c r="D2711" s="21" t="str">
        <x:v>"震荡余波"</x:v>
      </x:c>
    </x:row>
    <x:row r="2712" ht="22" customHeight="1">
      <x:c r="A2712" s="21" t="str">
        <x:v>data/codex/treasure_text.json</x:v>
      </x:c>
      <x:c r="B2712" s="21" t="str">
        <x:v>$/treasures/ctrl_shockwave/name_en</x:v>
      </x:c>
      <x:c r="C2712" s="21" t="str">
        <x:v>string</x:v>
      </x:c>
      <x:c r="D2712" s="21" t="str">
        <x:v>"Shockwave"</x:v>
      </x:c>
    </x:row>
    <x:row r="2713" ht="22" customHeight="1">
      <x:c r="A2713" s="21" t="str">
        <x:v>data/codex/treasure_text.json</x:v>
      </x:c>
      <x:c r="B2713" s="21" t="str">
        <x:v>$/treasures/ctrl_shockwave/effect</x:v>
      </x:c>
      <x:c r="C2713" s="21" t="str">
        <x:v>string</x:v>
      </x:c>
      <x:c r="D2713" s="21" t="str">
        <x:v>"当前目标眩晕 1 秒，冷却 5 秒；胡牌手激活后眩晕 2 秒"</x:v>
      </x:c>
    </x:row>
    <x:row r="2714" ht="22" customHeight="1">
      <x:c r="A2714" s="21" t="str">
        <x:v>data/codex/treasure_text.json</x:v>
      </x:c>
      <x:c r="B2714" s="21" t="str">
        <x:v>$/treasures/ctrl_shockwave/effect_en</x:v>
      </x:c>
      <x:c r="C2714" s="21" t="str">
        <x:v>string</x:v>
      </x:c>
      <x:c r="D2714" s="21" t="str">
        <x:v>"Stun the current target for 1s, 5s cooldown; 2s once Winning Hand is active"</x:v>
      </x:c>
    </x:row>
    <x:row r="2715" ht="22" customHeight="1">
      <x:c r="A2715" s="21" t="str">
        <x:v>data/codex/treasure_text.json</x:v>
      </x:c>
      <x:c r="B2715" s="21" t="str">
        <x:v>$/treasures/ctrl_shockwave/trigger</x:v>
      </x:c>
      <x:c r="C2715" s="21" t="str">
        <x:v>string</x:v>
      </x:c>
      <x:c r="D2715" s="21" t="str">
        <x:v>"我方普通棋子攻击时"</x:v>
      </x:c>
    </x:row>
    <x:row r="2716" ht="22" customHeight="1">
      <x:c r="A2716" s="21" t="str">
        <x:v>data/codex/treasure_text.json</x:v>
      </x:c>
      <x:c r="B2716" s="21" t="str">
        <x:v>$/treasures/ctrl_shockwave/trigger_en</x:v>
      </x:c>
      <x:c r="C2716" s="21" t="str">
        <x:v>string</x:v>
      </x:c>
      <x:c r="D2716" s="21" t="str">
        <x:v>"When an allied normal piece attacks"</x:v>
      </x:c>
    </x:row>
    <x:row r="2717" ht="22" customHeight="1">
      <x:c r="A2717" s="21" t="str">
        <x:v>data/codex/treasure_text.json</x:v>
      </x:c>
      <x:c r="B2717" s="21" t="str">
        <x:v>$/treasures/ctrl_corrosive_needle</x:v>
      </x:c>
      <x:c r="C2717" s="21" t="str">
        <x:v>object</x:v>
      </x:c>
      <x:c r="D2717" s="21" t="str"/>
    </x:row>
    <x:row r="2718" ht="22" customHeight="1">
      <x:c r="A2718" s="21" t="str">
        <x:v>data/codex/treasure_text.json</x:v>
      </x:c>
      <x:c r="B2718" s="21" t="str">
        <x:v>$/treasures/ctrl_corrosive_needle/name</x:v>
      </x:c>
      <x:c r="C2718" s="21" t="str">
        <x:v>string</x:v>
      </x:c>
      <x:c r="D2718" s="21" t="str">
        <x:v>"腐蚀毒针"</x:v>
      </x:c>
    </x:row>
    <x:row r="2719" ht="22" customHeight="1">
      <x:c r="A2719" s="21" t="str">
        <x:v>data/codex/treasure_text.json</x:v>
      </x:c>
      <x:c r="B2719" s="21" t="str">
        <x:v>$/treasures/ctrl_corrosive_needle/name_en</x:v>
      </x:c>
      <x:c r="C2719" s="21" t="str">
        <x:v>string</x:v>
      </x:c>
      <x:c r="D2719" s="21" t="str">
        <x:v>"Corrosive Needle"</x:v>
      </x:c>
    </x:row>
    <x:row r="2720" ht="22" customHeight="1">
      <x:c r="A2720" s="21" t="str">
        <x:v>data/codex/treasure_text.json</x:v>
      </x:c>
      <x:c r="B2720" s="21" t="str">
        <x:v>$/treasures/ctrl_corrosive_needle/effect</x:v>
      </x:c>
      <x:c r="C2720" s="21" t="str">
        <x:v>string</x:v>
      </x:c>
      <x:c r="D2720" s="21" t="str">
        <x:v>"每第 4 次攻击使目标失血 3 秒，冷却 5 秒"</x:v>
      </x:c>
    </x:row>
    <x:row r="2721" ht="22" customHeight="1">
      <x:c r="A2721" s="21" t="str">
        <x:v>data/codex/treasure_text.json</x:v>
      </x:c>
      <x:c r="B2721" s="21" t="str">
        <x:v>$/treasures/ctrl_corrosive_needle/effect_en</x:v>
      </x:c>
      <x:c r="C2721" s="21" t="str">
        <x:v>string</x:v>
      </x:c>
      <x:c r="D2721" s="21" t="str">
        <x:v>"Every 4th attack bleeds the target for 3s, 5s cooldown"</x:v>
      </x:c>
    </x:row>
    <x:row r="2722" ht="22" customHeight="1">
      <x:c r="A2722" s="21" t="str">
        <x:v>data/codex/treasure_text.json</x:v>
      </x:c>
      <x:c r="B2722" s="21" t="str">
        <x:v>$/treasures/ctrl_corrosive_needle/trigger</x:v>
      </x:c>
      <x:c r="C2722" s="21" t="str">
        <x:v>string</x:v>
      </x:c>
      <x:c r="D2722" s="21" t="str">
        <x:v>"我方普通棋子攻击时"</x:v>
      </x:c>
    </x:row>
    <x:row r="2723" ht="22" customHeight="1">
      <x:c r="A2723" s="21" t="str">
        <x:v>data/codex/treasure_text.json</x:v>
      </x:c>
      <x:c r="B2723" s="21" t="str">
        <x:v>$/treasures/ctrl_corrosive_needle/trigger_en</x:v>
      </x:c>
      <x:c r="C2723" s="21" t="str">
        <x:v>string</x:v>
      </x:c>
      <x:c r="D2723" s="21" t="str">
        <x:v>"When an allied normal piece attacks"</x:v>
      </x:c>
    </x:row>
    <x:row r="2724" ht="22" customHeight="1">
      <x:c r="A2724" s="21" t="str">
        <x:v>data/codex/treasure_text.json</x:v>
      </x:c>
      <x:c r="B2724" s="21" t="str">
        <x:v>$/treasures/ctrl_interrupt_chain</x:v>
      </x:c>
      <x:c r="C2724" s="21" t="str">
        <x:v>object</x:v>
      </x:c>
      <x:c r="D2724" s="21" t="str"/>
    </x:row>
    <x:row r="2725" ht="22" customHeight="1">
      <x:c r="A2725" s="21" t="str">
        <x:v>data/codex/treasure_text.json</x:v>
      </x:c>
      <x:c r="B2725" s="21" t="str">
        <x:v>$/treasures/ctrl_interrupt_chain/name</x:v>
      </x:c>
      <x:c r="C2725" s="21" t="str">
        <x:v>string</x:v>
      </x:c>
      <x:c r="D2725" s="21" t="str">
        <x:v>"打断锁链"</x:v>
      </x:c>
    </x:row>
    <x:row r="2726" ht="22" customHeight="1">
      <x:c r="A2726" s="21" t="str">
        <x:v>data/codex/treasure_text.json</x:v>
      </x:c>
      <x:c r="B2726" s="21" t="str">
        <x:v>$/treasures/ctrl_interrupt_chain/name_en</x:v>
      </x:c>
      <x:c r="C2726" s="21" t="str">
        <x:v>string</x:v>
      </x:c>
      <x:c r="D2726" s="21" t="str">
        <x:v>"Interrupt Chain"</x:v>
      </x:c>
    </x:row>
    <x:row r="2727" ht="22" customHeight="1">
      <x:c r="A2727" s="21" t="str">
        <x:v>data/codex/treasure_text.json</x:v>
      </x:c>
      <x:c r="B2727" s="21" t="str">
        <x:v>$/treasures/ctrl_interrupt_chain/effect</x:v>
      </x:c>
      <x:c r="C2727" s="21" t="str">
        <x:v>string</x:v>
      </x:c>
      <x:c r="D2727" s="21" t="str">
        <x:v>"攻击时 25% 概率缴械目标 1.5 秒，冷却 3 秒"</x:v>
      </x:c>
    </x:row>
    <x:row r="2728" ht="22" customHeight="1">
      <x:c r="A2728" s="21" t="str">
        <x:v>data/codex/treasure_text.json</x:v>
      </x:c>
      <x:c r="B2728" s="21" t="str">
        <x:v>$/treasures/ctrl_interrupt_chain/effect_en</x:v>
      </x:c>
      <x:c r="C2728" s="21" t="str">
        <x:v>string</x:v>
      </x:c>
      <x:c r="D2728" s="21" t="str">
        <x:v>"On attack, 25% chance to disarm for 1.5s, 3s cooldown"</x:v>
      </x:c>
    </x:row>
    <x:row r="2729" ht="22" customHeight="1">
      <x:c r="A2729" s="21" t="str">
        <x:v>data/codex/treasure_text.json</x:v>
      </x:c>
      <x:c r="B2729" s="21" t="str">
        <x:v>$/treasures/ctrl_interrupt_chain/trigger</x:v>
      </x:c>
      <x:c r="C2729" s="21" t="str">
        <x:v>string</x:v>
      </x:c>
      <x:c r="D2729" s="21" t="str">
        <x:v>"我方普通棋子攻击时"</x:v>
      </x:c>
    </x:row>
    <x:row r="2730" ht="22" customHeight="1">
      <x:c r="A2730" s="21" t="str">
        <x:v>data/codex/treasure_text.json</x:v>
      </x:c>
      <x:c r="B2730" s="21" t="str">
        <x:v>$/treasures/ctrl_interrupt_chain/trigger_en</x:v>
      </x:c>
      <x:c r="C2730" s="21" t="str">
        <x:v>string</x:v>
      </x:c>
      <x:c r="D2730" s="21" t="str">
        <x:v>"When an allied normal piece attacks"</x:v>
      </x:c>
    </x:row>
    <x:row r="2731" ht="22" customHeight="1">
      <x:c r="A2731" s="21" t="str">
        <x:v>data/codex/treasure_text.json</x:v>
      </x:c>
      <x:c r="B2731" s="21" t="str">
        <x:v>$/treasures/ctrl_time_compress</x:v>
      </x:c>
      <x:c r="C2731" s="21" t="str">
        <x:v>object</x:v>
      </x:c>
      <x:c r="D2731" s="21" t="str"/>
    </x:row>
    <x:row r="2732" ht="22" customHeight="1">
      <x:c r="A2732" s="21" t="str">
        <x:v>data/codex/treasure_text.json</x:v>
      </x:c>
      <x:c r="B2732" s="21" t="str">
        <x:v>$/treasures/ctrl_time_compress/name</x:v>
      </x:c>
      <x:c r="C2732" s="21" t="str">
        <x:v>string</x:v>
      </x:c>
      <x:c r="D2732" s="21" t="str">
        <x:v>"时空压缩"</x:v>
      </x:c>
    </x:row>
    <x:row r="2733" ht="22" customHeight="1">
      <x:c r="A2733" s="21" t="str">
        <x:v>data/codex/treasure_text.json</x:v>
      </x:c>
      <x:c r="B2733" s="21" t="str">
        <x:v>$/treasures/ctrl_time_compress/name_en</x:v>
      </x:c>
      <x:c r="C2733" s="21" t="str">
        <x:v>string</x:v>
      </x:c>
      <x:c r="D2733" s="21" t="str">
        <x:v>"Time Compress"</x:v>
      </x:c>
    </x:row>
    <x:row r="2734" ht="22" customHeight="1">
      <x:c r="A2734" s="21" t="str">
        <x:v>data/codex/treasure_text.json</x:v>
      </x:c>
      <x:c r="B2734" s="21" t="str">
        <x:v>$/treasures/ctrl_time_compress/effect</x:v>
      </x:c>
      <x:c r="C2734" s="21" t="str">
        <x:v>string</x:v>
      </x:c>
      <x:c r="D2734" s="21" t="str">
        <x:v>"我方普通棋子技能冷却缩短 25%，首次与后续冷却均乘以 0.75"</x:v>
      </x:c>
    </x:row>
    <x:row r="2735" ht="22" customHeight="1">
      <x:c r="A2735" s="21" t="str">
        <x:v>data/codex/treasure_text.json</x:v>
      </x:c>
      <x:c r="B2735" s="21" t="str">
        <x:v>$/treasures/ctrl_time_compress/effect_en</x:v>
      </x:c>
      <x:c r="C2735" s="21" t="str">
        <x:v>string</x:v>
      </x:c>
      <x:c r="D2735" s="21" t="str">
        <x:v>"Allied normal pieces' skill cooldowns are cut by 25% — opening and later cooldowns both ×0.75"</x:v>
      </x:c>
    </x:row>
    <x:row r="2736" ht="22" customHeight="1">
      <x:c r="A2736" s="21" t="str">
        <x:v>data/codex/treasure_text.json</x:v>
      </x:c>
      <x:c r="B2736" s="21" t="str">
        <x:v>$/treasures/ctrl_time_compress/trigger</x:v>
      </x:c>
      <x:c r="C2736" s="21" t="str">
        <x:v>string</x:v>
      </x:c>
      <x:c r="D2736" s="21" t="str">
        <x:v>"持续生效"</x:v>
      </x:c>
    </x:row>
    <x:row r="2737" ht="22" customHeight="1">
      <x:c r="A2737" s="21" t="str">
        <x:v>data/codex/treasure_text.json</x:v>
      </x:c>
      <x:c r="B2737" s="21" t="str">
        <x:v>$/treasures/ctrl_time_compress/trigger_en</x:v>
      </x:c>
      <x:c r="C2737" s="21" t="str">
        <x:v>string</x:v>
      </x:c>
      <x:c r="D2737" s="21" t="str">
        <x:v>"Always active"</x:v>
      </x:c>
    </x:row>
    <x:row r="2738" ht="22" customHeight="1">
      <x:c r="A2738" s="21" t="str">
        <x:v>data/codex/treasure_text.json</x:v>
      </x:c>
      <x:c r="B2738" s="21" t="str">
        <x:v>$/treasures/ctrl_binding_weight</x:v>
      </x:c>
      <x:c r="C2738" s="21" t="str">
        <x:v>object</x:v>
      </x:c>
      <x:c r="D2738" s="21" t="str"/>
    </x:row>
    <x:row r="2739" ht="22" customHeight="1">
      <x:c r="A2739" s="21" t="str">
        <x:v>data/codex/treasure_text.json</x:v>
      </x:c>
      <x:c r="B2739" s="21" t="str">
        <x:v>$/treasures/ctrl_binding_weight/name</x:v>
      </x:c>
      <x:c r="C2739" s="21" t="str">
        <x:v>string</x:v>
      </x:c>
      <x:c r="D2739" s="21" t="str">
        <x:v>"束缚重压"</x:v>
      </x:c>
    </x:row>
    <x:row r="2740" ht="22" customHeight="1">
      <x:c r="A2740" s="21" t="str">
        <x:v>data/codex/treasure_text.json</x:v>
      </x:c>
      <x:c r="B2740" s="21" t="str">
        <x:v>$/treasures/ctrl_binding_weight/name_en</x:v>
      </x:c>
      <x:c r="C2740" s="21" t="str">
        <x:v>string</x:v>
      </x:c>
      <x:c r="D2740" s="21" t="str">
        <x:v>"Binding Weight"</x:v>
      </x:c>
    </x:row>
    <x:row r="2741" ht="22" customHeight="1">
      <x:c r="A2741" s="21" t="str">
        <x:v>data/codex/treasure_text.json</x:v>
      </x:c>
      <x:c r="B2741" s="21" t="str">
        <x:v>$/treasures/ctrl_binding_weight/effect</x:v>
      </x:c>
      <x:c r="C2741" s="21" t="str">
        <x:v>string</x:v>
      </x:c>
      <x:c r="D2741" s="21" t="str">
        <x:v>"当前目标移动 -25%、攻速 -20%、造成伤害 -20%，持续 2 秒，冷却 5 秒"</x:v>
      </x:c>
    </x:row>
    <x:row r="2742" ht="22" customHeight="1">
      <x:c r="A2742" s="21" t="str">
        <x:v>data/codex/treasure_text.json</x:v>
      </x:c>
      <x:c r="B2742" s="21" t="str">
        <x:v>$/treasures/ctrl_binding_weight/effect_en</x:v>
      </x:c>
      <x:c r="C2742" s="21" t="str">
        <x:v>string</x:v>
      </x:c>
      <x:c r="D2742" s="21" t="str">
        <x:v>"Target movement -25%, attack speed -20%, and outgoing damage -20% for 2s, 5s cooldown"</x:v>
      </x:c>
    </x:row>
    <x:row r="2743" ht="22" customHeight="1">
      <x:c r="A2743" s="21" t="str">
        <x:v>data/codex/treasure_text.json</x:v>
      </x:c>
      <x:c r="B2743" s="21" t="str">
        <x:v>$/treasures/ctrl_binding_weight/trigger</x:v>
      </x:c>
      <x:c r="C2743" s="21" t="str">
        <x:v>string</x:v>
      </x:c>
      <x:c r="D2743" s="21" t="str">
        <x:v>"我方普通棋子攻击时"</x:v>
      </x:c>
    </x:row>
    <x:row r="2744" ht="22" customHeight="1">
      <x:c r="A2744" s="21" t="str">
        <x:v>data/codex/treasure_text.json</x:v>
      </x:c>
      <x:c r="B2744" s="21" t="str">
        <x:v>$/treasures/ctrl_binding_weight/trigger_en</x:v>
      </x:c>
      <x:c r="C2744" s="21" t="str">
        <x:v>string</x:v>
      </x:c>
      <x:c r="D2744" s="21" t="str">
        <x:v>"When an allied normal piece attacks"</x:v>
      </x:c>
    </x:row>
    <x:row r="2745" ht="22" customHeight="1">
      <x:c r="A2745" s="21" t="str">
        <x:v>data/codex/treasure_text.json</x:v>
      </x:c>
      <x:c r="B2745" s="21" t="str">
        <x:v>$/treasures/atk_blood_pact</x:v>
      </x:c>
      <x:c r="C2745" s="21" t="str">
        <x:v>object</x:v>
      </x:c>
      <x:c r="D2745" s="21" t="str"/>
    </x:row>
    <x:row r="2746" ht="22" customHeight="1">
      <x:c r="A2746" s="21" t="str">
        <x:v>data/codex/treasure_text.json</x:v>
      </x:c>
      <x:c r="B2746" s="21" t="str">
        <x:v>$/treasures/atk_blood_pact/name</x:v>
      </x:c>
      <x:c r="C2746" s="21" t="str">
        <x:v>string</x:v>
      </x:c>
      <x:c r="D2746" s="21" t="str">
        <x:v>"血契之刃"</x:v>
      </x:c>
    </x:row>
    <x:row r="2747" ht="22" customHeight="1">
      <x:c r="A2747" s="21" t="str">
        <x:v>data/codex/treasure_text.json</x:v>
      </x:c>
      <x:c r="B2747" s="21" t="str">
        <x:v>$/treasures/atk_blood_pact/name_en</x:v>
      </x:c>
      <x:c r="C2747" s="21" t="str">
        <x:v>string</x:v>
      </x:c>
      <x:c r="D2747" s="21" t="str">
        <x:v>"Blood Pact"</x:v>
      </x:c>
    </x:row>
    <x:row r="2748" ht="22" customHeight="1">
      <x:c r="A2748" s="21" t="str">
        <x:v>data/codex/treasure_text.json</x:v>
      </x:c>
      <x:c r="B2748" s="21" t="str">
        <x:v>$/treasures/atk_blood_pact/effect</x:v>
      </x:c>
      <x:c r="C2748" s="21" t="str">
        <x:v>string</x:v>
      </x:c>
      <x:c r="D2748" s="21" t="str">
        <x:v>"我方普通棋子 ATK x1.25，同时自身永久获得失血状态；胡牌手激活后为 ATK x1.50"</x:v>
      </x:c>
    </x:row>
    <x:row r="2749" ht="22" customHeight="1">
      <x:c r="A2749" s="21" t="str">
        <x:v>data/codex/treasure_text.json</x:v>
      </x:c>
      <x:c r="B2749" s="21" t="str">
        <x:v>$/treasures/atk_blood_pact/effect_en</x:v>
      </x:c>
      <x:c r="C2749" s="21" t="str">
        <x:v>string</x:v>
      </x:c>
      <x:c r="D2749" s="21" t="str">
        <x:v>"Allied normal pieces gain ATK ×1.25 and bleed permanently themselves; ATK ×1.50 once Winning Hand is active"</x:v>
      </x:c>
    </x:row>
    <x:row r="2750" ht="22" customHeight="1">
      <x:c r="A2750" s="21" t="str">
        <x:v>data/codex/treasure_text.json</x:v>
      </x:c>
      <x:c r="B2750" s="21" t="str">
        <x:v>$/treasures/atk_blood_pact/trigger</x:v>
      </x:c>
      <x:c r="C2750" s="21" t="str">
        <x:v>string</x:v>
      </x:c>
      <x:c r="D2750" s="21" t="str">
        <x:v>"开战时"</x:v>
      </x:c>
    </x:row>
    <x:row r="2751" ht="22" customHeight="1">
      <x:c r="A2751" s="21" t="str">
        <x:v>data/codex/treasure_text.json</x:v>
      </x:c>
      <x:c r="B2751" s="21" t="str">
        <x:v>$/treasures/atk_blood_pact/trigger_en</x:v>
      </x:c>
      <x:c r="C2751" s="21" t="str">
        <x:v>string</x:v>
      </x:c>
      <x:c r="D2751" s="21" t="str">
        <x:v>"Battle start"</x:v>
      </x:c>
    </x:row>
    <x:row r="2752" ht="22" customHeight="1">
      <x:c r="A2752" s="21" t="str">
        <x:v>data/codex/treasure_text.json</x:v>
      </x:c>
      <x:c r="B2752" s="21" t="str">
        <x:v>$/treasures/atk_fury_roster</x:v>
      </x:c>
      <x:c r="C2752" s="21" t="str">
        <x:v>object</x:v>
      </x:c>
      <x:c r="D2752" s="21" t="str"/>
    </x:row>
    <x:row r="2753" ht="22" customHeight="1">
      <x:c r="A2753" s="21" t="str">
        <x:v>data/codex/treasure_text.json</x:v>
      </x:c>
      <x:c r="B2753" s="21" t="str">
        <x:v>$/treasures/atk_fury_roster/name</x:v>
      </x:c>
      <x:c r="C2753" s="21" t="str">
        <x:v>string</x:v>
      </x:c>
      <x:c r="D2753" s="21" t="str">
        <x:v>"狂怒阵容"</x:v>
      </x:c>
    </x:row>
    <x:row r="2754" ht="22" customHeight="1">
      <x:c r="A2754" s="21" t="str">
        <x:v>data/codex/treasure_text.json</x:v>
      </x:c>
      <x:c r="B2754" s="21" t="str">
        <x:v>$/treasures/atk_fury_roster/name_en</x:v>
      </x:c>
      <x:c r="C2754" s="21" t="str">
        <x:v>string</x:v>
      </x:c>
      <x:c r="D2754" s="21" t="str">
        <x:v>"Fury Roster"</x:v>
      </x:c>
    </x:row>
    <x:row r="2755" ht="22" customHeight="1">
      <x:c r="A2755" s="21" t="str">
        <x:v>data/codex/treasure_text.json</x:v>
      </x:c>
      <x:c r="B2755" s="21" t="str">
        <x:v>$/treasures/atk_fury_roster/effect</x:v>
      </x:c>
      <x:c r="C2755" s="21" t="str">
        <x:v>string</x:v>
      </x:c>
      <x:c r="D2755" s="21" t="str">
        <x:v>"普通棋子上限从 7 提高到 8"</x:v>
      </x:c>
    </x:row>
    <x:row r="2756" ht="22" customHeight="1">
      <x:c r="A2756" s="21" t="str">
        <x:v>data/codex/treasure_text.json</x:v>
      </x:c>
      <x:c r="B2756" s="21" t="str">
        <x:v>$/treasures/atk_fury_roster/effect_en</x:v>
      </x:c>
      <x:c r="C2756" s="21" t="str">
        <x:v>string</x:v>
      </x:c>
      <x:c r="D2756" s="21" t="str">
        <x:v>"Raises the normal piece limit from 7 to 8"</x:v>
      </x:c>
    </x:row>
    <x:row r="2757" ht="22" customHeight="1">
      <x:c r="A2757" s="21" t="str">
        <x:v>data/codex/treasure_text.json</x:v>
      </x:c>
      <x:c r="B2757" s="21" t="str">
        <x:v>$/treasures/atk_fury_roster/trigger</x:v>
      </x:c>
      <x:c r="C2757" s="21" t="str">
        <x:v>string</x:v>
      </x:c>
      <x:c r="D2757" s="21" t="str">
        <x:v>"准备阶段持续生效"</x:v>
      </x:c>
    </x:row>
    <x:row r="2758" ht="22" customHeight="1">
      <x:c r="A2758" s="21" t="str">
        <x:v>data/codex/treasure_text.json</x:v>
      </x:c>
      <x:c r="B2758" s="21" t="str">
        <x:v>$/treasures/atk_fury_roster/trigger_en</x:v>
      </x:c>
      <x:c r="C2758" s="21" t="str">
        <x:v>string</x:v>
      </x:c>
      <x:c r="D2758" s="21" t="str">
        <x:v>"Always active in the prep phase"</x:v>
      </x:c>
    </x:row>
    <x:row r="2759" ht="22" customHeight="1">
      <x:c r="A2759" s="21" t="str">
        <x:v>data/codex/treasure_text.json</x:v>
      </x:c>
      <x:c r="B2759" s="21" t="str">
        <x:v>$/treasures/atk_burst_core</x:v>
      </x:c>
      <x:c r="C2759" s="21" t="str">
        <x:v>object</x:v>
      </x:c>
      <x:c r="D2759" s="21" t="str"/>
    </x:row>
    <x:row r="2760" ht="22" customHeight="1">
      <x:c r="A2760" s="21" t="str">
        <x:v>data/codex/treasure_text.json</x:v>
      </x:c>
      <x:c r="B2760" s="21" t="str">
        <x:v>$/treasures/atk_burst_core/name</x:v>
      </x:c>
      <x:c r="C2760" s="21" t="str">
        <x:v>string</x:v>
      </x:c>
      <x:c r="D2760" s="21" t="str">
        <x:v>"爆裂核心"</x:v>
      </x:c>
    </x:row>
    <x:row r="2761" ht="22" customHeight="1">
      <x:c r="A2761" s="21" t="str">
        <x:v>data/codex/treasure_text.json</x:v>
      </x:c>
      <x:c r="B2761" s="21" t="str">
        <x:v>$/treasures/atk_burst_core/name_en</x:v>
      </x:c>
      <x:c r="C2761" s="21" t="str">
        <x:v>string</x:v>
      </x:c>
      <x:c r="D2761" s="21" t="str">
        <x:v>"Burst Core"</x:v>
      </x:c>
    </x:row>
    <x:row r="2762" ht="22" customHeight="1">
      <x:c r="A2762" s="21" t="str">
        <x:v>data/codex/treasure_text.json</x:v>
      </x:c>
      <x:c r="B2762" s="21" t="str">
        <x:v>$/treasures/atk_burst_core/effect</x:v>
      </x:c>
      <x:c r="C2762" s="21" t="str">
        <x:v>string</x:v>
      </x:c>
      <x:c r="D2762" s="21" t="str">
        <x:v>"我方普通棋子暴击率 +25%"</x:v>
      </x:c>
    </x:row>
    <x:row r="2763" ht="22" customHeight="1">
      <x:c r="A2763" s="21" t="str">
        <x:v>data/codex/treasure_text.json</x:v>
      </x:c>
      <x:c r="B2763" s="21" t="str">
        <x:v>$/treasures/atk_burst_core/effect_en</x:v>
      </x:c>
      <x:c r="C2763" s="21" t="str">
        <x:v>string</x:v>
      </x:c>
      <x:c r="D2763" s="21" t="str">
        <x:v>"Allied normal pieces gain +25% crit chance"</x:v>
      </x:c>
    </x:row>
    <x:row r="2764" ht="22" customHeight="1">
      <x:c r="A2764" s="21" t="str">
        <x:v>data/codex/treasure_text.json</x:v>
      </x:c>
      <x:c r="B2764" s="21" t="str">
        <x:v>$/treasures/atk_burst_core/trigger</x:v>
      </x:c>
      <x:c r="C2764" s="21" t="str">
        <x:v>string</x:v>
      </x:c>
      <x:c r="D2764" s="21" t="str">
        <x:v>"开战时"</x:v>
      </x:c>
    </x:row>
    <x:row r="2765" ht="22" customHeight="1">
      <x:c r="A2765" s="21" t="str">
        <x:v>data/codex/treasure_text.json</x:v>
      </x:c>
      <x:c r="B2765" s="21" t="str">
        <x:v>$/treasures/atk_burst_core/trigger_en</x:v>
      </x:c>
      <x:c r="C2765" s="21" t="str">
        <x:v>string</x:v>
      </x:c>
      <x:c r="D2765" s="21" t="str">
        <x:v>"Battle start"</x:v>
      </x:c>
    </x:row>
    <x:row r="2766" ht="22" customHeight="1">
      <x:c r="A2766" s="21" t="str">
        <x:v>data/codex/treasure_text.json</x:v>
      </x:c>
      <x:c r="B2766" s="21" t="str">
        <x:v>$/treasures/atk_wail_resonance</x:v>
      </x:c>
      <x:c r="C2766" s="21" t="str">
        <x:v>object</x:v>
      </x:c>
      <x:c r="D2766" s="21" t="str"/>
    </x:row>
    <x:row r="2767" ht="22" customHeight="1">
      <x:c r="A2767" s="21" t="str">
        <x:v>data/codex/treasure_text.json</x:v>
      </x:c>
      <x:c r="B2767" s="21" t="str">
        <x:v>$/treasures/atk_wail_resonance/name</x:v>
      </x:c>
      <x:c r="C2767" s="21" t="str">
        <x:v>string</x:v>
      </x:c>
      <x:c r="D2767" s="21" t="str">
        <x:v>"哀鸣共鸣"</x:v>
      </x:c>
    </x:row>
    <x:row r="2768" ht="22" customHeight="1">
      <x:c r="A2768" s="21" t="str">
        <x:v>data/codex/treasure_text.json</x:v>
      </x:c>
      <x:c r="B2768" s="21" t="str">
        <x:v>$/treasures/atk_wail_resonance/name_en</x:v>
      </x:c>
      <x:c r="C2768" s="21" t="str">
        <x:v>string</x:v>
      </x:c>
      <x:c r="D2768" s="21" t="str">
        <x:v>"Wail Resonance"</x:v>
      </x:c>
    </x:row>
    <x:row r="2769" ht="22" customHeight="1">
      <x:c r="A2769" s="21" t="str">
        <x:v>data/codex/treasure_text.json</x:v>
      </x:c>
      <x:c r="B2769" s="21" t="str">
        <x:v>$/treasures/atk_wail_resonance/effect</x:v>
      </x:c>
      <x:c r="C2769" s="21" t="str">
        <x:v>string</x:v>
      </x:c>
      <x:c r="D2769" s="21" t="str">
        <x:v>"击杀敌人时，对死亡目标周围 180 范围内敌人造成其最大生命 15% 真实伤害"</x:v>
      </x:c>
    </x:row>
    <x:row r="2770" ht="22" customHeight="1">
      <x:c r="A2770" s="21" t="str">
        <x:v>data/codex/treasure_text.json</x:v>
      </x:c>
      <x:c r="B2770" s="21" t="str">
        <x:v>$/treasures/atk_wail_resonance/effect_en</x:v>
      </x:c>
      <x:c r="C2770" s="21" t="str">
        <x:v>string</x:v>
      </x:c>
      <x:c r="D2770" s="21" t="str">
        <x:v>"On a kill, enemies within 180 of the corpse take 15% of their own max HP as true damage"</x:v>
      </x:c>
    </x:row>
    <x:row r="2771" ht="22" customHeight="1">
      <x:c r="A2771" s="21" t="str">
        <x:v>data/codex/treasure_text.json</x:v>
      </x:c>
      <x:c r="B2771" s="21" t="str">
        <x:v>$/treasures/atk_wail_resonance/trigger</x:v>
      </x:c>
      <x:c r="C2771" s="21" t="str">
        <x:v>string</x:v>
      </x:c>
      <x:c r="D2771" s="21" t="str">
        <x:v>"我方普通棋子击杀敌人时"</x:v>
      </x:c>
    </x:row>
    <x:row r="2772" ht="22" customHeight="1">
      <x:c r="A2772" s="21" t="str">
        <x:v>data/codex/treasure_text.json</x:v>
      </x:c>
      <x:c r="B2772" s="21" t="str">
        <x:v>$/treasures/atk_wail_resonance/trigger_en</x:v>
      </x:c>
      <x:c r="C2772" s="21" t="str">
        <x:v>string</x:v>
      </x:c>
      <x:c r="D2772" s="21" t="str">
        <x:v>"When an allied normal piece kills an enemy"</x:v>
      </x:c>
    </x:row>
    <x:row r="2773" ht="22" customHeight="1">
      <x:c r="A2773" s="21" t="str">
        <x:v>data/codex/treasure_text.json</x:v>
      </x:c>
      <x:c r="B2773" s="21" t="str">
        <x:v>$/treasures/atk_frenzy_assault</x:v>
      </x:c>
      <x:c r="C2773" s="21" t="str">
        <x:v>object</x:v>
      </x:c>
      <x:c r="D2773" s="21" t="str"/>
    </x:row>
    <x:row r="2774" ht="22" customHeight="1">
      <x:c r="A2774" s="21" t="str">
        <x:v>data/codex/treasure_text.json</x:v>
      </x:c>
      <x:c r="B2774" s="21" t="str">
        <x:v>$/treasures/atk_frenzy_assault/name</x:v>
      </x:c>
      <x:c r="C2774" s="21" t="str">
        <x:v>string</x:v>
      </x:c>
      <x:c r="D2774" s="21" t="str">
        <x:v>"狂暴进攻"</x:v>
      </x:c>
    </x:row>
    <x:row r="2775" ht="22" customHeight="1">
      <x:c r="A2775" s="21" t="str">
        <x:v>data/codex/treasure_text.json</x:v>
      </x:c>
      <x:c r="B2775" s="21" t="str">
        <x:v>$/treasures/atk_frenzy_assault/name_en</x:v>
      </x:c>
      <x:c r="C2775" s="21" t="str">
        <x:v>string</x:v>
      </x:c>
      <x:c r="D2775" s="21" t="str">
        <x:v>"Frenzy Assault"</x:v>
      </x:c>
    </x:row>
    <x:row r="2776" ht="22" customHeight="1">
      <x:c r="A2776" s="21" t="str">
        <x:v>data/codex/treasure_text.json</x:v>
      </x:c>
      <x:c r="B2776" s="21" t="str">
        <x:v>$/treasures/atk_frenzy_assault/effect</x:v>
      </x:c>
      <x:c r="C2776" s="21" t="str">
        <x:v>string</x:v>
      </x:c>
      <x:c r="D2776" s="21" t="str">
        <x:v>"攻击同一目标时自身攻速 x1.15，可叠；换目标重置"</x:v>
      </x:c>
    </x:row>
    <x:row r="2777" ht="22" customHeight="1">
      <x:c r="A2777" s="21" t="str">
        <x:v>data/codex/treasure_text.json</x:v>
      </x:c>
      <x:c r="B2777" s="21" t="str">
        <x:v>$/treasures/atk_frenzy_assault/effect_en</x:v>
      </x:c>
      <x:c r="C2777" s="21" t="str">
        <x:v>string</x:v>
      </x:c>
      <x:c r="D2777" s="21" t="str">
        <x:v>"Attacking the same target stacks attack speed ×1.15; resets on target switch"</x:v>
      </x:c>
    </x:row>
    <x:row r="2778" ht="22" customHeight="1">
      <x:c r="A2778" s="21" t="str">
        <x:v>data/codex/treasure_text.json</x:v>
      </x:c>
      <x:c r="B2778" s="21" t="str">
        <x:v>$/treasures/atk_frenzy_assault/trigger</x:v>
      </x:c>
      <x:c r="C2778" s="21" t="str">
        <x:v>string</x:v>
      </x:c>
      <x:c r="D2778" s="21" t="str">
        <x:v>"攻击时"</x:v>
      </x:c>
    </x:row>
    <x:row r="2779" ht="22" customHeight="1">
      <x:c r="A2779" s="21" t="str">
        <x:v>data/codex/treasure_text.json</x:v>
      </x:c>
      <x:c r="B2779" s="21" t="str">
        <x:v>$/treasures/atk_frenzy_assault/trigger_en</x:v>
      </x:c>
      <x:c r="C2779" s="21" t="str">
        <x:v>string</x:v>
      </x:c>
      <x:c r="D2779" s="21" t="str">
        <x:v>"On attack"</x:v>
      </x:c>
    </x:row>
    <x:row r="2780" ht="22" customHeight="1">
      <x:c r="A2780" s="21" t="str">
        <x:v>data/codex/treasure_text.json</x:v>
      </x:c>
      <x:c r="B2780" s="21" t="str">
        <x:v>$/treasures/money_compound</x:v>
      </x:c>
      <x:c r="C2780" s="21" t="str">
        <x:v>object</x:v>
      </x:c>
      <x:c r="D2780" s="21" t="str"/>
    </x:row>
    <x:row r="2781" ht="22" customHeight="1">
      <x:c r="A2781" s="21" t="str">
        <x:v>data/codex/treasure_text.json</x:v>
      </x:c>
      <x:c r="B2781" s="21" t="str">
        <x:v>$/treasures/money_compound/name</x:v>
      </x:c>
      <x:c r="C2781" s="21" t="str">
        <x:v>string</x:v>
      </x:c>
      <x:c r="D2781" s="21" t="str">
        <x:v>"复利之道"</x:v>
      </x:c>
    </x:row>
    <x:row r="2782" ht="22" customHeight="1">
      <x:c r="A2782" s="21" t="str">
        <x:v>data/codex/treasure_text.json</x:v>
      </x:c>
      <x:c r="B2782" s="21" t="str">
        <x:v>$/treasures/money_compound/name_en</x:v>
      </x:c>
      <x:c r="C2782" s="21" t="str">
        <x:v>string</x:v>
      </x:c>
      <x:c r="D2782" s="21" t="str">
        <x:v>"Compound Interest"</x:v>
      </x:c>
    </x:row>
    <x:row r="2783" ht="22" customHeight="1">
      <x:c r="A2783" s="21" t="str">
        <x:v>data/codex/treasure_text.json</x:v>
      </x:c>
      <x:c r="B2783" s="21" t="str">
        <x:v>$/treasures/money_compound/effect</x:v>
      </x:c>
      <x:c r="C2783" s="21" t="str">
        <x:v>string</x:v>
      </x:c>
      <x:c r="D2783" s="21" t="str">
        <x:v>"战后利息额外 +5% 当前金币；本回合未花金币则再额外 +3%"</x:v>
      </x:c>
    </x:row>
    <x:row r="2784" ht="22" customHeight="1">
      <x:c r="A2784" s="21" t="str">
        <x:v>data/codex/treasure_text.json</x:v>
      </x:c>
      <x:c r="B2784" s="21" t="str">
        <x:v>$/treasures/money_compound/effect_en</x:v>
      </x:c>
      <x:c r="C2784" s="21" t="str">
        <x:v>string</x:v>
      </x:c>
      <x:c r="D2784" s="21" t="str">
        <x:v>"Post-battle interest gains 5% of current gold, plus another 3% if no gold was spent this round"</x:v>
      </x:c>
    </x:row>
    <x:row r="2785" ht="22" customHeight="1">
      <x:c r="A2785" s="21" t="str">
        <x:v>data/codex/treasure_text.json</x:v>
      </x:c>
      <x:c r="B2785" s="21" t="str">
        <x:v>$/treasures/money_compound/trigger</x:v>
      </x:c>
      <x:c r="C2785" s="21" t="str">
        <x:v>string</x:v>
      </x:c>
      <x:c r="D2785" s="21" t="str">
        <x:v>"每次战后"</x:v>
      </x:c>
    </x:row>
    <x:row r="2786" ht="22" customHeight="1">
      <x:c r="A2786" s="21" t="str">
        <x:v>data/codex/treasure_text.json</x:v>
      </x:c>
      <x:c r="B2786" s="21" t="str">
        <x:v>$/treasures/money_compound/trigger_en</x:v>
      </x:c>
      <x:c r="C2786" s="21" t="str">
        <x:v>string</x:v>
      </x:c>
      <x:c r="D2786" s="21" t="str">
        <x:v>"After each battle"</x:v>
      </x:c>
    </x:row>
    <x:row r="2787" ht="22" customHeight="1">
      <x:c r="A2787" s="21" t="str">
        <x:v>data/codex/treasure_text.json</x:v>
      </x:c>
      <x:c r="B2787" s="21" t="str">
        <x:v>$/treasures/money_generous_fate</x:v>
      </x:c>
      <x:c r="C2787" s="21" t="str">
        <x:v>object</x:v>
      </x:c>
      <x:c r="D2787" s="21" t="str"/>
    </x:row>
    <x:row r="2788" ht="22" customHeight="1">
      <x:c r="A2788" s="21" t="str">
        <x:v>data/codex/treasure_text.json</x:v>
      </x:c>
      <x:c r="B2788" s="21" t="str">
        <x:v>$/treasures/money_generous_fate/name</x:v>
      </x:c>
      <x:c r="C2788" s="21" t="str">
        <x:v>string</x:v>
      </x:c>
      <x:c r="D2788" s="21" t="str">
        <x:v>"慷慨命运"</x:v>
      </x:c>
    </x:row>
    <x:row r="2789" ht="22" customHeight="1">
      <x:c r="A2789" s="21" t="str">
        <x:v>data/codex/treasure_text.json</x:v>
      </x:c>
      <x:c r="B2789" s="21" t="str">
        <x:v>$/treasures/money_generous_fate/name_en</x:v>
      </x:c>
      <x:c r="C2789" s="21" t="str">
        <x:v>string</x:v>
      </x:c>
      <x:c r="D2789" s="21" t="str">
        <x:v>"Generous Fate"</x:v>
      </x:c>
    </x:row>
    <x:row r="2790" ht="22" customHeight="1">
      <x:c r="A2790" s="21" t="str">
        <x:v>data/codex/treasure_text.json</x:v>
      </x:c>
      <x:c r="B2790" s="21" t="str">
        <x:v>$/treasures/money_generous_fate/effect</x:v>
      </x:c>
      <x:c r="C2790" s="21" t="str">
        <x:v>string</x:v>
      </x:c>
      <x:c r="D2790" s="21" t="str">
        <x:v>"准备阶段每回合可手动参与 1 次赌博：50% 概率金币变为 2.5 倍，50% 概率损失当前金币 80%；与诡诈命运联动后变为 60% 变为 2.5 倍、40% 损失当前金币 50%"</x:v>
      </x:c>
    </x:row>
    <x:row r="2791" ht="22" customHeight="1">
      <x:c r="A2791" s="21" t="str">
        <x:v>data/codex/treasure_text.json</x:v>
      </x:c>
      <x:c r="B2791" s="21" t="str">
        <x:v>$/treasures/money_generous_fate/effect_en</x:v>
      </x:c>
      <x:c r="C2791" s="21" t="str">
        <x:v>string</x:v>
      </x:c>
      <x:c r="D2791" s="21" t="str">
        <x:v>"One manual gamble per prep round: 50% to raise your gold to 2.5x, 50% to lose 80% of it; with Trickster's Fate it becomes 60% to 2.5x / 40% lose half"</x:v>
      </x:c>
    </x:row>
    <x:row r="2792" ht="22" customHeight="1">
      <x:c r="A2792" s="21" t="str">
        <x:v>data/codex/treasure_text.json</x:v>
      </x:c>
      <x:c r="B2792" s="21" t="str">
        <x:v>$/treasures/money_generous_fate/trigger</x:v>
      </x:c>
      <x:c r="C2792" s="21" t="str">
        <x:v>string</x:v>
      </x:c>
      <x:c r="D2792" s="21" t="str">
        <x:v>"手动点击按钮"</x:v>
      </x:c>
    </x:row>
    <x:row r="2793" ht="22" customHeight="1">
      <x:c r="A2793" s="21" t="str">
        <x:v>data/codex/treasure_text.json</x:v>
      </x:c>
      <x:c r="B2793" s="21" t="str">
        <x:v>$/treasures/money_generous_fate/trigger_en</x:v>
      </x:c>
      <x:c r="C2793" s="21" t="str">
        <x:v>string</x:v>
      </x:c>
      <x:c r="D2793" s="21" t="str">
        <x:v>"Manual button"</x:v>
      </x:c>
    </x:row>
    <x:row r="2794" ht="22" customHeight="1">
      <x:c r="A2794" s="21" t="str">
        <x:v>data/codex/treasure_text.json</x:v>
      </x:c>
      <x:c r="B2794" s="21" t="str">
        <x:v>$/treasures/money_discount</x:v>
      </x:c>
      <x:c r="C2794" s="21" t="str">
        <x:v>object</x:v>
      </x:c>
      <x:c r="D2794" s="21" t="str"/>
    </x:row>
    <x:row r="2795" ht="22" customHeight="1">
      <x:c r="A2795" s="21" t="str">
        <x:v>data/codex/treasure_text.json</x:v>
      </x:c>
      <x:c r="B2795" s="21" t="str">
        <x:v>$/treasures/money_discount/name</x:v>
      </x:c>
      <x:c r="C2795" s="21" t="str">
        <x:v>string</x:v>
      </x:c>
      <x:c r="D2795" s="21" t="str">
        <x:v>"折扣令牌"</x:v>
      </x:c>
    </x:row>
    <x:row r="2796" ht="22" customHeight="1">
      <x:c r="A2796" s="21" t="str">
        <x:v>data/codex/treasure_text.json</x:v>
      </x:c>
      <x:c r="B2796" s="21" t="str">
        <x:v>$/treasures/money_discount/name_en</x:v>
      </x:c>
      <x:c r="C2796" s="21" t="str">
        <x:v>string</x:v>
      </x:c>
      <x:c r="D2796" s="21" t="str">
        <x:v>"Discount Token"</x:v>
      </x:c>
    </x:row>
    <x:row r="2797" ht="22" customHeight="1">
      <x:c r="A2797" s="21" t="str">
        <x:v>data/codex/treasure_text.json</x:v>
      </x:c>
      <x:c r="B2797" s="21" t="str">
        <x:v>$/treasures/money_discount/effect</x:v>
      </x:c>
      <x:c r="C2797" s="21" t="str">
        <x:v>string</x:v>
      </x:c>
      <x:c r="D2797" s="21" t="str">
        <x:v>"棋子商店价格 -30%，最低 1 金"</x:v>
      </x:c>
    </x:row>
    <x:row r="2798" ht="22" customHeight="1">
      <x:c r="A2798" s="21" t="str">
        <x:v>data/codex/treasure_text.json</x:v>
      </x:c>
      <x:c r="B2798" s="21" t="str">
        <x:v>$/treasures/money_discount/effect_en</x:v>
      </x:c>
      <x:c r="C2798" s="21" t="str">
        <x:v>string</x:v>
      </x:c>
      <x:c r="D2798" s="21" t="str">
        <x:v>"Piece shop prices -30%, minimum 1 gold"</x:v>
      </x:c>
    </x:row>
    <x:row r="2799" ht="22" customHeight="1">
      <x:c r="A2799" s="21" t="str">
        <x:v>data/codex/treasure_text.json</x:v>
      </x:c>
      <x:c r="B2799" s="21" t="str">
        <x:v>$/treasures/money_discount/trigger</x:v>
      </x:c>
      <x:c r="C2799" s="21" t="str">
        <x:v>string</x:v>
      </x:c>
      <x:c r="D2799" s="21" t="str">
        <x:v>"准备阶段购买棋子时"</x:v>
      </x:c>
    </x:row>
    <x:row r="2800" ht="22" customHeight="1">
      <x:c r="A2800" s="21" t="str">
        <x:v>data/codex/treasure_text.json</x:v>
      </x:c>
      <x:c r="B2800" s="21" t="str">
        <x:v>$/treasures/money_discount/trigger_en</x:v>
      </x:c>
      <x:c r="C2800" s="21" t="str">
        <x:v>string</x:v>
      </x:c>
      <x:c r="D2800" s="21" t="str">
        <x:v>"When buying pieces in the prep phase"</x:v>
      </x:c>
    </x:row>
    <x:row r="2801" ht="22" customHeight="1">
      <x:c r="A2801" s="21" t="str">
        <x:v>data/codex/treasure_text.json</x:v>
      </x:c>
      <x:c r="B2801" s="21" t="str">
        <x:v>$/treasures/money_golden_altar</x:v>
      </x:c>
      <x:c r="C2801" s="21" t="str">
        <x:v>object</x:v>
      </x:c>
      <x:c r="D2801" s="21" t="str"/>
    </x:row>
    <x:row r="2802" ht="22" customHeight="1">
      <x:c r="A2802" s="21" t="str">
        <x:v>data/codex/treasure_text.json</x:v>
      </x:c>
      <x:c r="B2802" s="21" t="str">
        <x:v>$/treasures/money_golden_altar/name</x:v>
      </x:c>
      <x:c r="C2802" s="21" t="str">
        <x:v>string</x:v>
      </x:c>
      <x:c r="D2802" s="21" t="str">
        <x:v>"黄金祭坛"</x:v>
      </x:c>
    </x:row>
    <x:row r="2803" ht="22" customHeight="1">
      <x:c r="A2803" s="21" t="str">
        <x:v>data/codex/treasure_text.json</x:v>
      </x:c>
      <x:c r="B2803" s="21" t="str">
        <x:v>$/treasures/money_golden_altar/name_en</x:v>
      </x:c>
      <x:c r="C2803" s="21" t="str">
        <x:v>string</x:v>
      </x:c>
      <x:c r="D2803" s="21" t="str">
        <x:v>"Golden Altar"</x:v>
      </x:c>
    </x:row>
    <x:row r="2804" ht="22" customHeight="1">
      <x:c r="A2804" s="21" t="str">
        <x:v>data/codex/treasure_text.json</x:v>
      </x:c>
      <x:c r="B2804" s="21" t="str">
        <x:v>$/treasures/money_golden_altar/effect</x:v>
      </x:c>
      <x:c r="C2804" s="21" t="str">
        <x:v>string</x:v>
      </x:c>
      <x:c r="D2804" s="21" t="str">
        <x:v>"准备阶段每次使用：法阵 HP -2、金币 +100，每回合最多 3 次，HP &lt;=10 不可用；本回合不使用则战后法阵 HP +1"</x:v>
      </x:c>
    </x:row>
    <x:row r="2805" ht="22" customHeight="1">
      <x:c r="A2805" s="21" t="str">
        <x:v>data/codex/treasure_text.json</x:v>
      </x:c>
      <x:c r="B2805" s="21" t="str">
        <x:v>$/treasures/money_golden_altar/effect_en</x:v>
      </x:c>
      <x:c r="C2805" s="21" t="str">
        <x:v>string</x:v>
      </x:c>
      <x:c r="D2805" s="21" t="str">
        <x:v>"Each prep use costs 2 formation HP and grants 100 gold, up to 3 uses per round; unavailable at HP &lt;=10. If unused this round, restore 1 formation HP after battle"</x:v>
      </x:c>
    </x:row>
    <x:row r="2806" ht="22" customHeight="1">
      <x:c r="A2806" s="21" t="str">
        <x:v>data/codex/treasure_text.json</x:v>
      </x:c>
      <x:c r="B2806" s="21" t="str">
        <x:v>$/treasures/money_golden_altar/trigger</x:v>
      </x:c>
      <x:c r="C2806" s="21" t="str">
        <x:v>string</x:v>
      </x:c>
      <x:c r="D2806" s="21" t="str">
        <x:v>"手动点击按钮"</x:v>
      </x:c>
    </x:row>
    <x:row r="2807" ht="22" customHeight="1">
      <x:c r="A2807" s="21" t="str">
        <x:v>data/codex/treasure_text.json</x:v>
      </x:c>
      <x:c r="B2807" s="21" t="str">
        <x:v>$/treasures/money_golden_altar/trigger_en</x:v>
      </x:c>
      <x:c r="C2807" s="21" t="str">
        <x:v>string</x:v>
      </x:c>
      <x:c r="D2807" s="21" t="str">
        <x:v>"Manual button"</x:v>
      </x:c>
    </x:row>
    <x:row r="2808" ht="22" customHeight="1">
      <x:c r="A2808" s="21" t="str">
        <x:v>data/codex/treasure_text.json</x:v>
      </x:c>
      <x:c r="B2808" s="21" t="str">
        <x:v>$/treasures/money_lucky_envelope</x:v>
      </x:c>
      <x:c r="C2808" s="21" t="str">
        <x:v>object</x:v>
      </x:c>
      <x:c r="D2808" s="21" t="str"/>
    </x:row>
    <x:row r="2809" ht="22" customHeight="1">
      <x:c r="A2809" s="21" t="str">
        <x:v>data/codex/treasure_text.json</x:v>
      </x:c>
      <x:c r="B2809" s="21" t="str">
        <x:v>$/treasures/money_lucky_envelope/name</x:v>
      </x:c>
      <x:c r="C2809" s="21" t="str">
        <x:v>string</x:v>
      </x:c>
      <x:c r="D2809" s="21" t="str">
        <x:v>"幸运信封"</x:v>
      </x:c>
    </x:row>
    <x:row r="2810" ht="22" customHeight="1">
      <x:c r="A2810" s="21" t="str">
        <x:v>data/codex/treasure_text.json</x:v>
      </x:c>
      <x:c r="B2810" s="21" t="str">
        <x:v>$/treasures/money_lucky_envelope/name_en</x:v>
      </x:c>
      <x:c r="C2810" s="21" t="str">
        <x:v>string</x:v>
      </x:c>
      <x:c r="D2810" s="21" t="str">
        <x:v>"Lucky Envelope"</x:v>
      </x:c>
    </x:row>
    <x:row r="2811" ht="22" customHeight="1">
      <x:c r="A2811" s="21" t="str">
        <x:v>data/codex/treasure_text.json</x:v>
      </x:c>
      <x:c r="B2811" s="21" t="str">
        <x:v>$/treasures/money_lucky_envelope/effect</x:v>
      </x:c>
      <x:c r="C2811" s="21" t="str">
        <x:v>string</x:v>
      </x:c>
      <x:c r="D2811" s="21" t="str">
        <x:v>"战后随机 +30 / +40 / +50 金"</x:v>
      </x:c>
    </x:row>
    <x:row r="2812" ht="22" customHeight="1">
      <x:c r="A2812" s="21" t="str">
        <x:v>data/codex/treasure_text.json</x:v>
      </x:c>
      <x:c r="B2812" s="21" t="str">
        <x:v>$/treasures/money_lucky_envelope/effect_en</x:v>
      </x:c>
      <x:c r="C2812" s="21" t="str">
        <x:v>string</x:v>
      </x:c>
      <x:c r="D2812" s="21" t="str">
        <x:v>"After battle, randomly gain 30, 40, or 50 gold"</x:v>
      </x:c>
    </x:row>
    <x:row r="2813" ht="22" customHeight="1">
      <x:c r="A2813" s="21" t="str">
        <x:v>data/codex/treasure_text.json</x:v>
      </x:c>
      <x:c r="B2813" s="21" t="str">
        <x:v>$/treasures/money_lucky_envelope/trigger</x:v>
      </x:c>
      <x:c r="C2813" s="21" t="str">
        <x:v>string</x:v>
      </x:c>
      <x:c r="D2813" s="21" t="str">
        <x:v>"每次战后"</x:v>
      </x:c>
    </x:row>
    <x:row r="2814" ht="22" customHeight="1">
      <x:c r="A2814" s="21" t="str">
        <x:v>data/codex/treasure_text.json</x:v>
      </x:c>
      <x:c r="B2814" s="21" t="str">
        <x:v>$/treasures/money_lucky_envelope/trigger_en</x:v>
      </x:c>
      <x:c r="C2814" s="21" t="str">
        <x:v>string</x:v>
      </x:c>
      <x:c r="D2814" s="21" t="str">
        <x:v>"After each battle"</x:v>
      </x:c>
    </x:row>
    <x:row r="2815" ht="22" customHeight="1">
      <x:c r="A2815" s="21" t="str">
        <x:v>data/codex/treasure_text.json</x:v>
      </x:c>
      <x:c r="B2815" s="21" t="str">
        <x:v>$/treasures/elem_flame_shatter</x:v>
      </x:c>
      <x:c r="C2815" s="21" t="str">
        <x:v>object</x:v>
      </x:c>
      <x:c r="D2815" s="21" t="str"/>
    </x:row>
    <x:row r="2816" ht="22" customHeight="1">
      <x:c r="A2816" s="21" t="str">
        <x:v>data/codex/treasure_text.json</x:v>
      </x:c>
      <x:c r="B2816" s="21" t="str">
        <x:v>$/treasures/elem_flame_shatter/name</x:v>
      </x:c>
      <x:c r="C2816" s="21" t="str">
        <x:v>string</x:v>
      </x:c>
      <x:c r="D2816" s="21" t="str">
        <x:v>"炎焰碎裂"</x:v>
      </x:c>
    </x:row>
    <x:row r="2817" ht="22" customHeight="1">
      <x:c r="A2817" s="21" t="str">
        <x:v>data/codex/treasure_text.json</x:v>
      </x:c>
      <x:c r="B2817" s="21" t="str">
        <x:v>$/treasures/elem_flame_shatter/name_en</x:v>
      </x:c>
      <x:c r="C2817" s="21" t="str">
        <x:v>string</x:v>
      </x:c>
      <x:c r="D2817" s="21" t="str">
        <x:v>"Flame Shatter"</x:v>
      </x:c>
    </x:row>
    <x:row r="2818" ht="22" customHeight="1">
      <x:c r="A2818" s="21" t="str">
        <x:v>data/codex/treasure_text.json</x:v>
      </x:c>
      <x:c r="B2818" s="21" t="str">
        <x:v>$/treasures/elem_flame_shatter/effect</x:v>
      </x:c>
      <x:c r="C2818" s="21" t="str">
        <x:v>string</x:v>
      </x:c>
      <x:c r="D2818" s="21" t="str">
        <x:v>"攻击有 25% 概率额外造成 ATK 40% 真实伤害"</x:v>
      </x:c>
    </x:row>
    <x:row r="2819" ht="22" customHeight="1">
      <x:c r="A2819" s="21" t="str">
        <x:v>data/codex/treasure_text.json</x:v>
      </x:c>
      <x:c r="B2819" s="21" t="str">
        <x:v>$/treasures/elem_flame_shatter/effect_en</x:v>
      </x:c>
      <x:c r="C2819" s="21" t="str">
        <x:v>string</x:v>
      </x:c>
      <x:c r="D2819" s="21" t="str">
        <x:v>"Attacks have a 25% chance to deal an extra 40% ATK as true damage"</x:v>
      </x:c>
    </x:row>
    <x:row r="2820" ht="22" customHeight="1">
      <x:c r="A2820" s="21" t="str">
        <x:v>data/codex/treasure_text.json</x:v>
      </x:c>
      <x:c r="B2820" s="21" t="str">
        <x:v>$/treasures/elem_flame_shatter/trigger</x:v>
      </x:c>
      <x:c r="C2820" s="21" t="str">
        <x:v>string</x:v>
      </x:c>
      <x:c r="D2820" s="21" t="str">
        <x:v>"我方普通棋子攻击时"</x:v>
      </x:c>
    </x:row>
    <x:row r="2821" ht="22" customHeight="1">
      <x:c r="A2821" s="21" t="str">
        <x:v>data/codex/treasure_text.json</x:v>
      </x:c>
      <x:c r="B2821" s="21" t="str">
        <x:v>$/treasures/elem_flame_shatter/trigger_en</x:v>
      </x:c>
      <x:c r="C2821" s="21" t="str">
        <x:v>string</x:v>
      </x:c>
      <x:c r="D2821" s="21" t="str">
        <x:v>"When an allied normal piece attacks"</x:v>
      </x:c>
    </x:row>
    <x:row r="2822" ht="22" customHeight="1">
      <x:c r="A2822" s="21" t="str">
        <x:v>data/codex/treasure_text.json</x:v>
      </x:c>
      <x:c r="B2822" s="21" t="str">
        <x:v>$/treasures/elem_frost_blade</x:v>
      </x:c>
      <x:c r="C2822" s="21" t="str">
        <x:v>object</x:v>
      </x:c>
      <x:c r="D2822" s="21" t="str"/>
    </x:row>
    <x:row r="2823" ht="22" customHeight="1">
      <x:c r="A2823" s="21" t="str">
        <x:v>data/codex/treasure_text.json</x:v>
      </x:c>
      <x:c r="B2823" s="21" t="str">
        <x:v>$/treasures/elem_frost_blade/name</x:v>
      </x:c>
      <x:c r="C2823" s="21" t="str">
        <x:v>string</x:v>
      </x:c>
      <x:c r="D2823" s="21" t="str">
        <x:v>"冰封霜刃"</x:v>
      </x:c>
    </x:row>
    <x:row r="2824" ht="22" customHeight="1">
      <x:c r="A2824" s="21" t="str">
        <x:v>data/codex/treasure_text.json</x:v>
      </x:c>
      <x:c r="B2824" s="21" t="str">
        <x:v>$/treasures/elem_frost_blade/name_en</x:v>
      </x:c>
      <x:c r="C2824" s="21" t="str">
        <x:v>string</x:v>
      </x:c>
      <x:c r="D2824" s="21" t="str">
        <x:v>"Frost Blade"</x:v>
      </x:c>
    </x:row>
    <x:row r="2825" ht="22" customHeight="1">
      <x:c r="A2825" s="21" t="str">
        <x:v>data/codex/treasure_text.json</x:v>
      </x:c>
      <x:c r="B2825" s="21" t="str">
        <x:v>$/treasures/elem_frost_blade/effect</x:v>
      </x:c>
      <x:c r="C2825" s="21" t="str">
        <x:v>string</x:v>
      </x:c>
      <x:c r="D2825" s="21" t="str">
        <x:v>"攻击有 25% 概率使目标移动 -35%、攻速 -50%，持续 2 秒"</x:v>
      </x:c>
    </x:row>
    <x:row r="2826" ht="22" customHeight="1">
      <x:c r="A2826" s="21" t="str">
        <x:v>data/codex/treasure_text.json</x:v>
      </x:c>
      <x:c r="B2826" s="21" t="str">
        <x:v>$/treasures/elem_frost_blade/effect_en</x:v>
      </x:c>
      <x:c r="C2826" s="21" t="str">
        <x:v>string</x:v>
      </x:c>
      <x:c r="D2826" s="21" t="str">
        <x:v>"Attacks have a 25% chance to reduce target movement by 35% and attack speed by 50% for 2s"</x:v>
      </x:c>
    </x:row>
    <x:row r="2827" ht="22" customHeight="1">
      <x:c r="A2827" s="21" t="str">
        <x:v>data/codex/treasure_text.json</x:v>
      </x:c>
      <x:c r="B2827" s="21" t="str">
        <x:v>$/treasures/elem_frost_blade/trigger</x:v>
      </x:c>
      <x:c r="C2827" s="21" t="str">
        <x:v>string</x:v>
      </x:c>
      <x:c r="D2827" s="21" t="str">
        <x:v>"我方普通棋子攻击时"</x:v>
      </x:c>
    </x:row>
    <x:row r="2828" ht="22" customHeight="1">
      <x:c r="A2828" s="21" t="str">
        <x:v>data/codex/treasure_text.json</x:v>
      </x:c>
      <x:c r="B2828" s="21" t="str">
        <x:v>$/treasures/elem_frost_blade/trigger_en</x:v>
      </x:c>
      <x:c r="C2828" s="21" t="str">
        <x:v>string</x:v>
      </x:c>
      <x:c r="D2828" s="21" t="str">
        <x:v>"When an allied normal piece attacks"</x:v>
      </x:c>
    </x:row>
    <x:row r="2829" ht="22" customHeight="1">
      <x:c r="A2829" s="21" t="str">
        <x:v>data/codex/treasure_text.json</x:v>
      </x:c>
      <x:c r="B2829" s="21" t="str">
        <x:v>$/treasures/elem_thunder_haste</x:v>
      </x:c>
      <x:c r="C2829" s="21" t="str">
        <x:v>object</x:v>
      </x:c>
      <x:c r="D2829" s="21" t="str"/>
    </x:row>
    <x:row r="2830" ht="22" customHeight="1">
      <x:c r="A2830" s="21" t="str">
        <x:v>data/codex/treasure_text.json</x:v>
      </x:c>
      <x:c r="B2830" s="21" t="str">
        <x:v>$/treasures/elem_thunder_haste/name</x:v>
      </x:c>
      <x:c r="C2830" s="21" t="str">
        <x:v>string</x:v>
      </x:c>
      <x:c r="D2830" s="21" t="str">
        <x:v>"雷霆加速"</x:v>
      </x:c>
    </x:row>
    <x:row r="2831" ht="22" customHeight="1">
      <x:c r="A2831" s="21" t="str">
        <x:v>data/codex/treasure_text.json</x:v>
      </x:c>
      <x:c r="B2831" s="21" t="str">
        <x:v>$/treasures/elem_thunder_haste/name_en</x:v>
      </x:c>
      <x:c r="C2831" s="21" t="str">
        <x:v>string</x:v>
      </x:c>
      <x:c r="D2831" s="21" t="str">
        <x:v>"Thunder Haste"</x:v>
      </x:c>
    </x:row>
    <x:row r="2832" ht="22" customHeight="1">
      <x:c r="A2832" s="21" t="str">
        <x:v>data/codex/treasure_text.json</x:v>
      </x:c>
      <x:c r="B2832" s="21" t="str">
        <x:v>$/treasures/elem_thunder_haste/effect</x:v>
      </x:c>
      <x:c r="C2832" s="21" t="str">
        <x:v>string</x:v>
      </x:c>
      <x:c r="D2832" s="21" t="str">
        <x:v>"攻击有 25% 概率使自身攻速 +60%，持续 3 秒；重复触发只刷新时间，不叠加"</x:v>
      </x:c>
    </x:row>
    <x:row r="2833" ht="22" customHeight="1">
      <x:c r="A2833" s="21" t="str">
        <x:v>data/codex/treasure_text.json</x:v>
      </x:c>
      <x:c r="B2833" s="21" t="str">
        <x:v>$/treasures/elem_thunder_haste/effect_en</x:v>
      </x:c>
      <x:c r="C2833" s="21" t="str">
        <x:v>string</x:v>
      </x:c>
      <x:c r="D2833" s="21" t="str">
        <x:v>"Attacks have a 25% chance to grant +60% attack speed for 3s; retriggering refreshes the duration instead of stacking"</x:v>
      </x:c>
    </x:row>
    <x:row r="2834" ht="22" customHeight="1">
      <x:c r="A2834" s="21" t="str">
        <x:v>data/codex/treasure_text.json</x:v>
      </x:c>
      <x:c r="B2834" s="21" t="str">
        <x:v>$/treasures/elem_thunder_haste/trigger</x:v>
      </x:c>
      <x:c r="C2834" s="21" t="str">
        <x:v>string</x:v>
      </x:c>
      <x:c r="D2834" s="21" t="str">
        <x:v>"我方普通棋子攻击时"</x:v>
      </x:c>
    </x:row>
    <x:row r="2835" ht="22" customHeight="1">
      <x:c r="A2835" s="21" t="str">
        <x:v>data/codex/treasure_text.json</x:v>
      </x:c>
      <x:c r="B2835" s="21" t="str">
        <x:v>$/treasures/elem_thunder_haste/trigger_en</x:v>
      </x:c>
      <x:c r="C2835" s="21" t="str">
        <x:v>string</x:v>
      </x:c>
      <x:c r="D2835" s="21" t="str">
        <x:v>"When an allied normal piece attacks"</x:v>
      </x:c>
    </x:row>
    <x:row r="2836" ht="22" customHeight="1">
      <x:c r="A2836" s="21" t="str">
        <x:v>data/codex/treasure_text.json</x:v>
      </x:c>
      <x:c r="B2836" s="21" t="str">
        <x:v>$/treasures/elem_toxic_spread</x:v>
      </x:c>
      <x:c r="C2836" s="21" t="str">
        <x:v>object</x:v>
      </x:c>
      <x:c r="D2836" s="21" t="str"/>
    </x:row>
    <x:row r="2837" ht="22" customHeight="1">
      <x:c r="A2837" s="21" t="str">
        <x:v>data/codex/treasure_text.json</x:v>
      </x:c>
      <x:c r="B2837" s="21" t="str">
        <x:v>$/treasures/elem_toxic_spread/name</x:v>
      </x:c>
      <x:c r="C2837" s="21" t="str">
        <x:v>string</x:v>
      </x:c>
      <x:c r="D2837" s="21" t="str">
        <x:v>"剧毒蔓延"</x:v>
      </x:c>
    </x:row>
    <x:row r="2838" ht="22" customHeight="1">
      <x:c r="A2838" s="21" t="str">
        <x:v>data/codex/treasure_text.json</x:v>
      </x:c>
      <x:c r="B2838" s="21" t="str">
        <x:v>$/treasures/elem_toxic_spread/name_en</x:v>
      </x:c>
      <x:c r="C2838" s="21" t="str">
        <x:v>string</x:v>
      </x:c>
      <x:c r="D2838" s="21" t="str">
        <x:v>"Toxic Spread"</x:v>
      </x:c>
    </x:row>
    <x:row r="2839" ht="22" customHeight="1">
      <x:c r="A2839" s="21" t="str">
        <x:v>data/codex/treasure_text.json</x:v>
      </x:c>
      <x:c r="B2839" s="21" t="str">
        <x:v>$/treasures/elem_toxic_spread/effect</x:v>
      </x:c>
      <x:c r="C2839" s="21" t="str">
        <x:v>string</x:v>
      </x:c>
      <x:c r="D2839" s="21" t="str">
        <x:v>"攻击有 25% 概率使目标中毒"</x:v>
      </x:c>
    </x:row>
    <x:row r="2840" ht="22" customHeight="1">
      <x:c r="A2840" s="21" t="str">
        <x:v>data/codex/treasure_text.json</x:v>
      </x:c>
      <x:c r="B2840" s="21" t="str">
        <x:v>$/treasures/elem_toxic_spread/effect_en</x:v>
      </x:c>
      <x:c r="C2840" s="21" t="str">
        <x:v>string</x:v>
      </x:c>
      <x:c r="D2840" s="21" t="str">
        <x:v>"Attacks have a 25% chance to poison the target"</x:v>
      </x:c>
    </x:row>
    <x:row r="2841" ht="22" customHeight="1">
      <x:c r="A2841" s="21" t="str">
        <x:v>data/codex/treasure_text.json</x:v>
      </x:c>
      <x:c r="B2841" s="21" t="str">
        <x:v>$/treasures/elem_toxic_spread/trigger</x:v>
      </x:c>
      <x:c r="C2841" s="21" t="str">
        <x:v>string</x:v>
      </x:c>
      <x:c r="D2841" s="21" t="str">
        <x:v>"我方普通棋子攻击时"</x:v>
      </x:c>
    </x:row>
    <x:row r="2842" ht="22" customHeight="1">
      <x:c r="A2842" s="21" t="str">
        <x:v>data/codex/treasure_text.json</x:v>
      </x:c>
      <x:c r="B2842" s="21" t="str">
        <x:v>$/treasures/elem_toxic_spread/trigger_en</x:v>
      </x:c>
      <x:c r="C2842" s="21" t="str">
        <x:v>string</x:v>
      </x:c>
      <x:c r="D2842" s="21" t="str">
        <x:v>"When an allied normal piece attacks"</x:v>
      </x:c>
    </x:row>
    <x:row r="2843" ht="22" customHeight="1">
      <x:c r="A2843" s="21" t="str">
        <x:v>data/codex/treasure_text.json</x:v>
      </x:c>
      <x:c r="B2843" s="21" t="str">
        <x:v>$/linkages</x:v>
      </x:c>
      <x:c r="C2843" s="21" t="str">
        <x:v>object</x:v>
      </x:c>
      <x:c r="D2843" s="21" t="str"/>
    </x:row>
    <x:row r="2844" ht="22" customHeight="1">
      <x:c r="A2844" s="21" t="str">
        <x:v>data/codex/treasure_text.json</x:v>
      </x:c>
      <x:c r="B2844" s="21" t="str">
        <x:v>$/linkages/link_phoenix</x:v>
      </x:c>
      <x:c r="C2844" s="21" t="str">
        <x:v>object</x:v>
      </x:c>
      <x:c r="D2844" s="21" t="str"/>
    </x:row>
    <x:row r="2845" ht="22" customHeight="1">
      <x:c r="A2845" s="21" t="str">
        <x:v>data/codex/treasure_text.json</x:v>
      </x:c>
      <x:c r="B2845" s="21" t="str">
        <x:v>$/linkages/link_phoenix/name</x:v>
      </x:c>
      <x:c r="C2845" s="21" t="str">
        <x:v>string</x:v>
      </x:c>
      <x:c r="D2845" s="21" t="str">
        <x:v>"凤凰涅槃"</x:v>
      </x:c>
    </x:row>
    <x:row r="2846" ht="22" customHeight="1">
      <x:c r="A2846" s="21" t="str">
        <x:v>data/codex/treasure_text.json</x:v>
      </x:c>
      <x:c r="B2846" s="21" t="str">
        <x:v>$/linkages/link_phoenix/name_en</x:v>
      </x:c>
      <x:c r="C2846" s="21" t="str">
        <x:v>string</x:v>
      </x:c>
      <x:c r="D2846" s="21" t="str">
        <x:v>"Phoenix Rebirth"</x:v>
      </x:c>
    </x:row>
    <x:row r="2847" ht="22" customHeight="1">
      <x:c r="A2847" s="21" t="str">
        <x:v>data/codex/treasure_text.json</x:v>
      </x:c>
      <x:c r="B2847" s="21" t="str">
        <x:v>$/linkages/link_phoenix/requires_text</x:v>
      </x:c>
      <x:c r="C2847" s="21" t="str">
        <x:v>string</x:v>
      </x:c>
      <x:c r="D2847" s="21" t="str">
        <x:v>"哀鸣共鸣 + 亡魂反击"</x:v>
      </x:c>
    </x:row>
    <x:row r="2848" ht="22" customHeight="1">
      <x:c r="A2848" s="21" t="str">
        <x:v>data/codex/treasure_text.json</x:v>
      </x:c>
      <x:c r="B2848" s="21" t="str">
        <x:v>$/linkages/link_phoenix/requires_text_en</x:v>
      </x:c>
      <x:c r="C2848" s="21" t="str">
        <x:v>string</x:v>
      </x:c>
      <x:c r="D2848" s="21" t="str">
        <x:v>"Wail Resonance + Soul Counter"</x:v>
      </x:c>
    </x:row>
    <x:row r="2849" ht="22" customHeight="1">
      <x:c r="A2849" s="21" t="str">
        <x:v>data/codex/treasure_text.json</x:v>
      </x:c>
      <x:c r="B2849" s="21" t="str">
        <x:v>$/linkages/link_phoenix/effect</x:v>
      </x:c>
      <x:c r="C2849" s="21" t="str">
        <x:v>string</x:v>
      </x:c>
      <x:c r="D2849" s="21" t="str">
        <x:v>"我方普通棋子死亡后以 40% 最大生命复活，获得 3 秒无敌，之后强制死亡"</x:v>
      </x:c>
    </x:row>
    <x:row r="2850" ht="22" customHeight="1">
      <x:c r="A2850" s="21" t="str">
        <x:v>data/codex/treasure_text.json</x:v>
      </x:c>
      <x:c r="B2850" s="21" t="str">
        <x:v>$/linkages/link_phoenix/effect_en</x:v>
      </x:c>
      <x:c r="C2850" s="21" t="str">
        <x:v>string</x:v>
      </x:c>
      <x:c r="D2850" s="21" t="str">
        <x:v>"Allied normal pieces revive at 40% max HP with 3s invulnerability, then die for good"</x:v>
      </x:c>
    </x:row>
    <x:row r="2851" ht="22" customHeight="1">
      <x:c r="A2851" s="21" t="str">
        <x:v>data/codex/treasure_text.json</x:v>
      </x:c>
      <x:c r="B2851" s="21" t="str">
        <x:v>$/linkages/link_money_magic</x:v>
      </x:c>
      <x:c r="C2851" s="21" t="str">
        <x:v>object</x:v>
      </x:c>
      <x:c r="D2851" s="21" t="str"/>
    </x:row>
    <x:row r="2852" ht="22" customHeight="1">
      <x:c r="A2852" s="21" t="str">
        <x:v>data/codex/treasure_text.json</x:v>
      </x:c>
      <x:c r="B2852" s="21" t="str">
        <x:v>$/linkages/link_money_magic/name</x:v>
      </x:c>
      <x:c r="C2852" s="21" t="str">
        <x:v>string</x:v>
      </x:c>
      <x:c r="D2852" s="21" t="str">
        <x:v>"金钱魔法"</x:v>
      </x:c>
    </x:row>
    <x:row r="2853" ht="22" customHeight="1">
      <x:c r="A2853" s="21" t="str">
        <x:v>data/codex/treasure_text.json</x:v>
      </x:c>
      <x:c r="B2853" s="21" t="str">
        <x:v>$/linkages/link_money_magic/name_en</x:v>
      </x:c>
      <x:c r="C2853" s="21" t="str">
        <x:v>string</x:v>
      </x:c>
      <x:c r="D2853" s="21" t="str">
        <x:v>"Money Magic"</x:v>
      </x:c>
    </x:row>
    <x:row r="2854" ht="22" customHeight="1">
      <x:c r="A2854" s="21" t="str">
        <x:v>data/codex/treasure_text.json</x:v>
      </x:c>
      <x:c r="B2854" s="21" t="str">
        <x:v>$/linkages/link_money_magic/requires_text</x:v>
      </x:c>
      <x:c r="C2854" s="21" t="str">
        <x:v>string</x:v>
      </x:c>
      <x:c r="D2854" s="21" t="str">
        <x:v>"幸运信封 + 时空压缩"</x:v>
      </x:c>
    </x:row>
    <x:row r="2855" ht="22" customHeight="1">
      <x:c r="A2855" s="21" t="str">
        <x:v>data/codex/treasure_text.json</x:v>
      </x:c>
      <x:c r="B2855" s="21" t="str">
        <x:v>$/linkages/link_money_magic/requires_text_en</x:v>
      </x:c>
      <x:c r="C2855" s="21" t="str">
        <x:v>string</x:v>
      </x:c>
      <x:c r="D2855" s="21" t="str">
        <x:v>"Lucky Envelope + Time Compress"</x:v>
      </x:c>
    </x:row>
    <x:row r="2856" ht="22" customHeight="1">
      <x:c r="A2856" s="21" t="str">
        <x:v>data/codex/treasure_text.json</x:v>
      </x:c>
      <x:c r="B2856" s="21" t="str">
        <x:v>$/linkages/link_money_magic/effect</x:v>
      </x:c>
      <x:c r="C2856" s="21" t="str">
        <x:v>string</x:v>
      </x:c>
      <x:c r="D2856" s="21" t="str">
        <x:v>"战后额外随机 +60 / +70 / +80 金，10% 概率额外 +200 金"</x:v>
      </x:c>
    </x:row>
    <x:row r="2857" ht="22" customHeight="1">
      <x:c r="A2857" s="21" t="str">
        <x:v>data/codex/treasure_text.json</x:v>
      </x:c>
      <x:c r="B2857" s="21" t="str">
        <x:v>$/linkages/link_money_magic/effect_en</x:v>
      </x:c>
      <x:c r="C2857" s="21" t="str">
        <x:v>string</x:v>
      </x:c>
      <x:c r="D2857" s="21" t="str">
        <x:v>"After battle, randomly gain another 60, 70, or 80 gold, with a 10% chance for 200 more"</x:v>
      </x:c>
    </x:row>
    <x:row r="2858" ht="22" customHeight="1">
      <x:c r="A2858" s="21" t="str">
        <x:v>data/codex/treasure_text.json</x:v>
      </x:c>
      <x:c r="B2858" s="21" t="str">
        <x:v>$/linkages/link_blood_covenant</x:v>
      </x:c>
      <x:c r="C2858" s="21" t="str">
        <x:v>object</x:v>
      </x:c>
      <x:c r="D2858" s="21" t="str"/>
    </x:row>
    <x:row r="2859" ht="22" customHeight="1">
      <x:c r="A2859" s="21" t="str">
        <x:v>data/codex/treasure_text.json</x:v>
      </x:c>
      <x:c r="B2859" s="21" t="str">
        <x:v>$/linkages/link_blood_covenant/name</x:v>
      </x:c>
      <x:c r="C2859" s="21" t="str">
        <x:v>string</x:v>
      </x:c>
      <x:c r="D2859" s="21" t="str">
        <x:v>"血之契约"</x:v>
      </x:c>
    </x:row>
    <x:row r="2860" ht="22" customHeight="1">
      <x:c r="A2860" s="21" t="str">
        <x:v>data/codex/treasure_text.json</x:v>
      </x:c>
      <x:c r="B2860" s="21" t="str">
        <x:v>$/linkages/link_blood_covenant/name_en</x:v>
      </x:c>
      <x:c r="C2860" s="21" t="str">
        <x:v>string</x:v>
      </x:c>
      <x:c r="D2860" s="21" t="str">
        <x:v>"Blood Covenant"</x:v>
      </x:c>
    </x:row>
    <x:row r="2861" ht="22" customHeight="1">
      <x:c r="A2861" s="21" t="str">
        <x:v>data/codex/treasure_text.json</x:v>
      </x:c>
      <x:c r="B2861" s="21" t="str">
        <x:v>$/linkages/link_blood_covenant/requires_text</x:v>
      </x:c>
      <x:c r="C2861" s="21" t="str">
        <x:v>string</x:v>
      </x:c>
      <x:c r="D2861" s="21" t="str">
        <x:v>"炎焰碎裂 + 吸血纹章"</x:v>
      </x:c>
    </x:row>
    <x:row r="2862" ht="22" customHeight="1">
      <x:c r="A2862" s="21" t="str">
        <x:v>data/codex/treasure_text.json</x:v>
      </x:c>
      <x:c r="B2862" s="21" t="str">
        <x:v>$/linkages/link_blood_covenant/requires_text_en</x:v>
      </x:c>
      <x:c r="C2862" s="21" t="str">
        <x:v>string</x:v>
      </x:c>
      <x:c r="D2862" s="21" t="str">
        <x:v>"Flame Shatter + Lifesteal Emblem"</x:v>
      </x:c>
    </x:row>
    <x:row r="2863" ht="22" customHeight="1">
      <x:c r="A2863" s="21" t="str">
        <x:v>data/codex/treasure_text.json</x:v>
      </x:c>
      <x:c r="B2863" s="21" t="str">
        <x:v>$/linkages/link_blood_covenant/effect</x:v>
      </x:c>
      <x:c r="C2863" s="21" t="str">
        <x:v>string</x:v>
      </x:c>
      <x:c r="D2863" s="21" t="str">
        <x:v>"炎焰碎裂触发时，真实伤害从 ATK 40% 提高到 ATK 100%"</x:v>
      </x:c>
    </x:row>
    <x:row r="2864" ht="22" customHeight="1">
      <x:c r="A2864" s="21" t="str">
        <x:v>data/codex/treasure_text.json</x:v>
      </x:c>
      <x:c r="B2864" s="21" t="str">
        <x:v>$/linkages/link_blood_covenant/effect_en</x:v>
      </x:c>
      <x:c r="C2864" s="21" t="str">
        <x:v>string</x:v>
      </x:c>
      <x:c r="D2864" s="21" t="str">
        <x:v>"Flame Shatter's true damage rises from 40% ATK to 100% ATK"</x:v>
      </x:c>
    </x:row>
    <x:row r="2865" ht="22" customHeight="1">
      <x:c r="A2865" s="21" t="str">
        <x:v>data/codex/treasure_text.json</x:v>
      </x:c>
      <x:c r="B2865" s="21" t="str">
        <x:v>$/linkages/link_paralysis_shackles</x:v>
      </x:c>
      <x:c r="C2865" s="21" t="str">
        <x:v>object</x:v>
      </x:c>
      <x:c r="D2865" s="21" t="str"/>
    </x:row>
    <x:row r="2866" ht="22" customHeight="1">
      <x:c r="A2866" s="21" t="str">
        <x:v>data/codex/treasure_text.json</x:v>
      </x:c>
      <x:c r="B2866" s="21" t="str">
        <x:v>$/linkages/link_paralysis_shackles/name</x:v>
      </x:c>
      <x:c r="C2866" s="21" t="str">
        <x:v>string</x:v>
      </x:c>
      <x:c r="D2866" s="21" t="str">
        <x:v>"瘫痪枷锁"</x:v>
      </x:c>
    </x:row>
    <x:row r="2867" ht="22" customHeight="1">
      <x:c r="A2867" s="21" t="str">
        <x:v>data/codex/treasure_text.json</x:v>
      </x:c>
      <x:c r="B2867" s="21" t="str">
        <x:v>$/linkages/link_paralysis_shackles/name_en</x:v>
      </x:c>
      <x:c r="C2867" s="21" t="str">
        <x:v>string</x:v>
      </x:c>
      <x:c r="D2867" s="21" t="str">
        <x:v>"Paralysis Shackles"</x:v>
      </x:c>
    </x:row>
    <x:row r="2868" ht="22" customHeight="1">
      <x:c r="A2868" s="21" t="str">
        <x:v>data/codex/treasure_text.json</x:v>
      </x:c>
      <x:c r="B2868" s="21" t="str">
        <x:v>$/linkages/link_paralysis_shackles/requires_text</x:v>
      </x:c>
      <x:c r="C2868" s="21" t="str">
        <x:v>string</x:v>
      </x:c>
      <x:c r="D2868" s="21" t="str">
        <x:v>"打断锁链 + 冰封霜刃"</x:v>
      </x:c>
    </x:row>
    <x:row r="2869" ht="22" customHeight="1">
      <x:c r="A2869" s="21" t="str">
        <x:v>data/codex/treasure_text.json</x:v>
      </x:c>
      <x:c r="B2869" s="21" t="str">
        <x:v>$/linkages/link_paralysis_shackles/requires_text_en</x:v>
      </x:c>
      <x:c r="C2869" s="21" t="str">
        <x:v>string</x:v>
      </x:c>
      <x:c r="D2869" s="21" t="str">
        <x:v>"Interrupt Chain + Frost Blade"</x:v>
      </x:c>
    </x:row>
    <x:row r="2870" ht="22" customHeight="1">
      <x:c r="A2870" s="21" t="str">
        <x:v>data/codex/treasure_text.json</x:v>
      </x:c>
      <x:c r="B2870" s="21" t="str">
        <x:v>$/linkages/link_paralysis_shackles/effect</x:v>
      </x:c>
      <x:c r="C2870" s="21" t="str">
        <x:v>string</x:v>
      </x:c>
      <x:c r="D2870" s="21" t="str">
        <x:v>"打断锁链成功缴械后触发冰属性效果，使目标受伤 +25%、治疗效果 -75%，持续 4 秒"</x:v>
      </x:c>
    </x:row>
    <x:row r="2871" ht="22" customHeight="1">
      <x:c r="A2871" s="21" t="str">
        <x:v>data/codex/treasure_text.json</x:v>
      </x:c>
      <x:c r="B2871" s="21" t="str">
        <x:v>$/linkages/link_paralysis_shackles/effect_en</x:v>
      </x:c>
      <x:c r="C2871" s="21" t="str">
        <x:v>string</x:v>
      </x:c>
      <x:c r="D2871" s="21" t="str">
        <x:v>"A successful Interrupt Chain also applies ice; target takes 25% more damage and receives 75% less healing for 4s"</x:v>
      </x:c>
    </x:row>
    <x:row r="2872" ht="22" customHeight="1">
      <x:c r="A2872" s="21" t="str">
        <x:v>data/codex/treasure_text.json</x:v>
      </x:c>
      <x:c r="B2872" s="21" t="str">
        <x:v>$/linkages/link_oppression_counter</x:v>
      </x:c>
      <x:c r="C2872" s="21" t="str">
        <x:v>object</x:v>
      </x:c>
      <x:c r="D2872" s="21" t="str"/>
    </x:row>
    <x:row r="2873" ht="22" customHeight="1">
      <x:c r="A2873" s="21" t="str">
        <x:v>data/codex/treasure_text.json</x:v>
      </x:c>
      <x:c r="B2873" s="21" t="str">
        <x:v>$/linkages/link_oppression_counter/name</x:v>
      </x:c>
      <x:c r="C2873" s="21" t="str">
        <x:v>string</x:v>
      </x:c>
      <x:c r="D2873" s="21" t="str">
        <x:v>"压迫反击"</x:v>
      </x:c>
    </x:row>
    <x:row r="2874" ht="22" customHeight="1">
      <x:c r="A2874" s="21" t="str">
        <x:v>data/codex/treasure_text.json</x:v>
      </x:c>
      <x:c r="B2874" s="21" t="str">
        <x:v>$/linkages/link_oppression_counter/name_en</x:v>
      </x:c>
      <x:c r="C2874" s="21" t="str">
        <x:v>string</x:v>
      </x:c>
      <x:c r="D2874" s="21" t="str">
        <x:v>"Oppression Counter"</x:v>
      </x:c>
    </x:row>
    <x:row r="2875" ht="22" customHeight="1">
      <x:c r="A2875" s="21" t="str">
        <x:v>data/codex/treasure_text.json</x:v>
      </x:c>
      <x:c r="B2875" s="21" t="str">
        <x:v>$/linkages/link_oppression_counter/requires_text</x:v>
      </x:c>
      <x:c r="C2875" s="21" t="str">
        <x:v>string</x:v>
      </x:c>
      <x:c r="D2875" s="21" t="str">
        <x:v>"束缚重压 + 狂暴进攻"</x:v>
      </x:c>
    </x:row>
    <x:row r="2876" ht="22" customHeight="1">
      <x:c r="A2876" s="21" t="str">
        <x:v>data/codex/treasure_text.json</x:v>
      </x:c>
      <x:c r="B2876" s="21" t="str">
        <x:v>$/linkages/link_oppression_counter/requires_text_en</x:v>
      </x:c>
      <x:c r="C2876" s="21" t="str">
        <x:v>string</x:v>
      </x:c>
      <x:c r="D2876" s="21" t="str">
        <x:v>"Binding Weight + Frenzy Assault"</x:v>
      </x:c>
    </x:row>
    <x:row r="2877" ht="22" customHeight="1">
      <x:c r="A2877" s="21" t="str">
        <x:v>data/codex/treasure_text.json</x:v>
      </x:c>
      <x:c r="B2877" s="21" t="str">
        <x:v>$/linkages/link_oppression_counter/effect</x:v>
      </x:c>
      <x:c r="C2877" s="21" t="str">
        <x:v>string</x:v>
      </x:c>
      <x:c r="D2877" s="21" t="str">
        <x:v>"我方普通棋子被攻击时，对攻击者施加减攻 25%，持续 2 秒；狂暴进攻仍对攻击者叠加"</x:v>
      </x:c>
    </x:row>
    <x:row r="2878" ht="22" customHeight="1">
      <x:c r="A2878" s="21" t="str">
        <x:v>data/codex/treasure_text.json</x:v>
      </x:c>
      <x:c r="B2878" s="21" t="str">
        <x:v>$/linkages/link_oppression_counter/effect_en</x:v>
      </x:c>
      <x:c r="C2878" s="21" t="str">
        <x:v>string</x:v>
      </x:c>
      <x:c r="D2878" s="21" t="str">
        <x:v>"When a friendly normal piece is hit, the attacker gets ATK -25% for 2s; Frenzy Assault still stacks on the attacker"</x:v>
      </x:c>
    </x:row>
    <x:row r="2879" ht="22" customHeight="1">
      <x:c r="A2879" s="21" t="str">
        <x:v>data/codex/treasure_text.json</x:v>
      </x:c>
      <x:c r="B2879" s="21" t="str">
        <x:v>$/linkages/link_fraud_fate</x:v>
      </x:c>
      <x:c r="C2879" s="21" t="str">
        <x:v>object</x:v>
      </x:c>
      <x:c r="D2879" s="21" t="str"/>
    </x:row>
    <x:row r="2880" ht="22" customHeight="1">
      <x:c r="A2880" s="21" t="str">
        <x:v>data/codex/treasure_text.json</x:v>
      </x:c>
      <x:c r="B2880" s="21" t="str">
        <x:v>$/linkages/link_fraud_fate/name</x:v>
      </x:c>
      <x:c r="C2880" s="21" t="str">
        <x:v>string</x:v>
      </x:c>
      <x:c r="D2880" s="21" t="str">
        <x:v>"诡诈命运"</x:v>
      </x:c>
    </x:row>
    <x:row r="2881" ht="22" customHeight="1">
      <x:c r="A2881" s="21" t="str">
        <x:v>data/codex/treasure_text.json</x:v>
      </x:c>
      <x:c r="B2881" s="21" t="str">
        <x:v>$/linkages/link_fraud_fate/name_en</x:v>
      </x:c>
      <x:c r="C2881" s="21" t="str">
        <x:v>string</x:v>
      </x:c>
      <x:c r="D2881" s="21" t="str">
        <x:v>"Trickster's Fate"</x:v>
      </x:c>
    </x:row>
    <x:row r="2882" ht="22" customHeight="1">
      <x:c r="A2882" s="21" t="str">
        <x:v>data/codex/treasure_text.json</x:v>
      </x:c>
      <x:c r="B2882" s="21" t="str">
        <x:v>$/linkages/link_fraud_fate/requires_text</x:v>
      </x:c>
      <x:c r="C2882" s="21" t="str">
        <x:v>string</x:v>
      </x:c>
      <x:c r="D2882" s="21" t="str">
        <x:v>"幻影步伐 + 慷慨命运"</x:v>
      </x:c>
    </x:row>
    <x:row r="2883" ht="22" customHeight="1">
      <x:c r="A2883" s="21" t="str">
        <x:v>data/codex/treasure_text.json</x:v>
      </x:c>
      <x:c r="B2883" s="21" t="str">
        <x:v>$/linkages/link_fraud_fate/requires_text_en</x:v>
      </x:c>
      <x:c r="C2883" s="21" t="str">
        <x:v>string</x:v>
      </x:c>
      <x:c r="D2883" s="21" t="str">
        <x:v>"Phantom Step + Generous Fate"</x:v>
      </x:c>
    </x:row>
    <x:row r="2884" ht="22" customHeight="1">
      <x:c r="A2884" s="21" t="str">
        <x:v>data/codex/treasure_text.json</x:v>
      </x:c>
      <x:c r="B2884" s="21" t="str">
        <x:v>$/linkages/link_fraud_fate/effect</x:v>
      </x:c>
      <x:c r="C2884" s="21" t="str">
        <x:v>string</x:v>
      </x:c>
      <x:c r="D2884" s="21" t="str">
        <x:v>"慷慨命运变为准备阶段每回合手动赌博 1 次：60% 金币变为 2.5 倍，40% 损失当前金币 50%"</x:v>
      </x:c>
    </x:row>
    <x:row r="2885" ht="22" customHeight="1">
      <x:c r="A2885" s="21" t="str">
        <x:v>data/codex/treasure_text.json</x:v>
      </x:c>
      <x:c r="B2885" s="21" t="str">
        <x:v>$/linkages/link_fraud_fate/effect_en</x:v>
      </x:c>
      <x:c r="C2885" s="21" t="str">
        <x:v>string</x:v>
      </x:c>
      <x:c r="D2885" s="21" t="str">
        <x:v>"Generous Fate becomes one manual gamble per prep round: 60% to raise your gold to 2.5x, 40% to lose half of it"</x:v>
      </x:c>
    </x:row>
    <x:row r="2886" ht="22" customHeight="1">
      <x:c r="A2886" s="21" t="str">
        <x:v>data/codex/treasure_text.json</x:v>
      </x:c>
      <x:c r="B2886" s="21" t="str">
        <x:v>$/linkages/link_iron_maiden</x:v>
      </x:c>
      <x:c r="C2886" s="21" t="str">
        <x:v>object</x:v>
      </x:c>
      <x:c r="D2886" s="21" t="str"/>
    </x:row>
    <x:row r="2887" ht="22" customHeight="1">
      <x:c r="A2887" s="21" t="str">
        <x:v>data/codex/treasure_text.json</x:v>
      </x:c>
      <x:c r="B2887" s="21" t="str">
        <x:v>$/linkages/link_iron_maiden/name</x:v>
      </x:c>
      <x:c r="C2887" s="21" t="str">
        <x:v>string</x:v>
      </x:c>
      <x:c r="D2887" s="21" t="str">
        <x:v>"铁处女"</x:v>
      </x:c>
    </x:row>
    <x:row r="2888" ht="22" customHeight="1">
      <x:c r="A2888" s="21" t="str">
        <x:v>data/codex/treasure_text.json</x:v>
      </x:c>
      <x:c r="B2888" s="21" t="str">
        <x:v>$/linkages/link_iron_maiden/name_en</x:v>
      </x:c>
      <x:c r="C2888" s="21" t="str">
        <x:v>string</x:v>
      </x:c>
      <x:c r="D2888" s="21" t="str">
        <x:v>"Iron Maiden"</x:v>
      </x:c>
    </x:row>
    <x:row r="2889" ht="22" customHeight="1">
      <x:c r="A2889" s="21" t="str">
        <x:v>data/codex/treasure_text.json</x:v>
      </x:c>
      <x:c r="B2889" s="21" t="str">
        <x:v>$/linkages/link_iron_maiden/requires_text</x:v>
      </x:c>
      <x:c r="C2889" s="21" t="str">
        <x:v>string</x:v>
      </x:c>
      <x:c r="D2889" s="21" t="str">
        <x:v>"铁壁之护 + 腐蚀毒针"</x:v>
      </x:c>
    </x:row>
    <x:row r="2890" ht="22" customHeight="1">
      <x:c r="A2890" s="21" t="str">
        <x:v>data/codex/treasure_text.json</x:v>
      </x:c>
      <x:c r="B2890" s="21" t="str">
        <x:v>$/linkages/link_iron_maiden/requires_text_en</x:v>
      </x:c>
      <x:c r="C2890" s="21" t="str">
        <x:v>string</x:v>
      </x:c>
      <x:c r="D2890" s="21" t="str">
        <x:v>"Iron Wall + Corrosive Needle"</x:v>
      </x:c>
    </x:row>
    <x:row r="2891" ht="22" customHeight="1">
      <x:c r="A2891" s="21" t="str">
        <x:v>data/codex/treasure_text.json</x:v>
      </x:c>
      <x:c r="B2891" s="21" t="str">
        <x:v>$/linkages/link_iron_maiden/effect</x:v>
      </x:c>
      <x:c r="C2891" s="21" t="str">
        <x:v>string</x:v>
      </x:c>
      <x:c r="D2891" s="21" t="str">
        <x:v>"我方普通棋子受击时，使攻击者失血 5 秒且 DEF -50% 持续 5 秒，冷却 8 秒"</x:v>
      </x:c>
    </x:row>
    <x:row r="2892" ht="22" customHeight="1">
      <x:c r="A2892" s="21" t="str">
        <x:v>data/codex/treasure_text.json</x:v>
      </x:c>
      <x:c r="B2892" s="21" t="str">
        <x:v>$/linkages/link_iron_maiden/effect_en</x:v>
      </x:c>
      <x:c r="C2892" s="21" t="str">
        <x:v>string</x:v>
      </x:c>
      <x:c r="D2892" s="21" t="str">
        <x:v>"When a friendly normal piece is hit, bleed the attacker for 5s and reduce DEF by 50% for 5s, 8s cooldown"</x:v>
      </x:c>
    </x:row>
    <x:row r="2893" ht="22" customHeight="1">
      <x:c r="A2893" s="21" t="str">
        <x:v>data/codex/treasure_text.json</x:v>
      </x:c>
      <x:c r="B2893" s="21" t="str">
        <x:v>$/linkages/link_toxic_burst</x:v>
      </x:c>
      <x:c r="C2893" s="21" t="str">
        <x:v>object</x:v>
      </x:c>
      <x:c r="D2893" s="21" t="str"/>
    </x:row>
    <x:row r="2894" ht="22" customHeight="1">
      <x:c r="A2894" s="21" t="str">
        <x:v>data/codex/treasure_text.json</x:v>
      </x:c>
      <x:c r="B2894" s="21" t="str">
        <x:v>$/linkages/link_toxic_burst/name</x:v>
      </x:c>
      <x:c r="C2894" s="21" t="str">
        <x:v>string</x:v>
      </x:c>
      <x:c r="D2894" s="21" t="str">
        <x:v>"剧毒爆发"</x:v>
      </x:c>
    </x:row>
    <x:row r="2895" ht="22" customHeight="1">
      <x:c r="A2895" s="21" t="str">
        <x:v>data/codex/treasure_text.json</x:v>
      </x:c>
      <x:c r="B2895" s="21" t="str">
        <x:v>$/linkages/link_toxic_burst/name_en</x:v>
      </x:c>
      <x:c r="C2895" s="21" t="str">
        <x:v>string</x:v>
      </x:c>
      <x:c r="D2895" s="21" t="str">
        <x:v>"Toxic Burst"</x:v>
      </x:c>
    </x:row>
    <x:row r="2896" ht="22" customHeight="1">
      <x:c r="A2896" s="21" t="str">
        <x:v>data/codex/treasure_text.json</x:v>
      </x:c>
      <x:c r="B2896" s="21" t="str">
        <x:v>$/linkages/link_toxic_burst/requires_text</x:v>
      </x:c>
      <x:c r="C2896" s="21" t="str">
        <x:v>string</x:v>
      </x:c>
      <x:c r="D2896" s="21" t="str">
        <x:v>"爆裂核心 + 剧毒蔓延"</x:v>
      </x:c>
    </x:row>
    <x:row r="2897" ht="22" customHeight="1">
      <x:c r="A2897" s="21" t="str">
        <x:v>data/codex/treasure_text.json</x:v>
      </x:c>
      <x:c r="B2897" s="21" t="str">
        <x:v>$/linkages/link_toxic_burst/requires_text_en</x:v>
      </x:c>
      <x:c r="C2897" s="21" t="str">
        <x:v>string</x:v>
      </x:c>
      <x:c r="D2897" s="21" t="str">
        <x:v>"Burst Core + Toxic Spread"</x:v>
      </x:c>
    </x:row>
    <x:row r="2898" ht="22" customHeight="1">
      <x:c r="A2898" s="21" t="str">
        <x:v>data/codex/treasure_text.json</x:v>
      </x:c>
      <x:c r="B2898" s="21" t="str">
        <x:v>$/linkages/link_toxic_burst/effect</x:v>
      </x:c>
      <x:c r="C2898" s="21" t="str">
        <x:v>string</x:v>
      </x:c>
      <x:c r="D2898" s="21" t="str">
        <x:v>"普通棋子造成伤害时，中毒目标有 50% 概率立即结算剩余毒伤并清除中毒"</x:v>
      </x:c>
    </x:row>
    <x:row r="2899" ht="22" customHeight="1">
      <x:c r="A2899" s="21" t="str">
        <x:v>data/codex/treasure_text.json</x:v>
      </x:c>
      <x:c r="B2899" s="21" t="str">
        <x:v>$/linkages/link_toxic_burst/effect_en</x:v>
      </x:c>
      <x:c r="C2899" s="21" t="str">
        <x:v>string</x:v>
      </x:c>
      <x:c r="D2899" s="21" t="str">
        <x:v>"When a normal piece deals damage, a poisoned target has a 50% chance to take all remaining poison damage at once and lose the poison"</x:v>
      </x:c>
    </x:row>
    <x:row r="2900" ht="22" customHeight="1">
      <x:c r="A2900" s="21" t="str">
        <x:v>data/codex/treasure_text.json</x:v>
      </x:c>
      <x:c r="B2900" s="21" t="str">
        <x:v>$/linkages/link_rich_path</x:v>
      </x:c>
      <x:c r="C2900" s="21" t="str">
        <x:v>object</x:v>
      </x:c>
      <x:c r="D2900" s="21" t="str"/>
    </x:row>
    <x:row r="2901" ht="22" customHeight="1">
      <x:c r="A2901" s="21" t="str">
        <x:v>data/codex/treasure_text.json</x:v>
      </x:c>
      <x:c r="B2901" s="21" t="str">
        <x:v>$/linkages/link_rich_path/name</x:v>
      </x:c>
      <x:c r="C2901" s="21" t="str">
        <x:v>string</x:v>
      </x:c>
      <x:c r="D2901" s="21" t="str">
        <x:v>"富裕之路"</x:v>
      </x:c>
    </x:row>
    <x:row r="2902" ht="22" customHeight="1">
      <x:c r="A2902" s="21" t="str">
        <x:v>data/codex/treasure_text.json</x:v>
      </x:c>
      <x:c r="B2902" s="21" t="str">
        <x:v>$/linkages/link_rich_path/name_en</x:v>
      </x:c>
      <x:c r="C2902" s="21" t="str">
        <x:v>string</x:v>
      </x:c>
      <x:c r="D2902" s="21" t="str">
        <x:v>"Path of Riches"</x:v>
      </x:c>
    </x:row>
    <x:row r="2903" ht="22" customHeight="1">
      <x:c r="A2903" s="21" t="str">
        <x:v>data/codex/treasure_text.json</x:v>
      </x:c>
      <x:c r="B2903" s="21" t="str">
        <x:v>$/linkages/link_rich_path/requires_text</x:v>
      </x:c>
      <x:c r="C2903" s="21" t="str">
        <x:v>string</x:v>
      </x:c>
      <x:c r="D2903" s="21" t="str">
        <x:v>"复利之道 + 雷霆加速"</x:v>
      </x:c>
    </x:row>
    <x:row r="2904" ht="22" customHeight="1">
      <x:c r="A2904" s="21" t="str">
        <x:v>data/codex/treasure_text.json</x:v>
      </x:c>
      <x:c r="B2904" s="21" t="str">
        <x:v>$/linkages/link_rich_path/requires_text_en</x:v>
      </x:c>
      <x:c r="C2904" s="21" t="str">
        <x:v>string</x:v>
      </x:c>
      <x:c r="D2904" s="21" t="str">
        <x:v>"Compound Interest + Thunder Haste"</x:v>
      </x:c>
    </x:row>
    <x:row r="2905" ht="22" customHeight="1">
      <x:c r="A2905" s="21" t="str">
        <x:v>data/codex/treasure_text.json</x:v>
      </x:c>
      <x:c r="B2905" s="21" t="str">
        <x:v>$/linkages/link_rich_path/effect</x:v>
      </x:c>
      <x:c r="C2905" s="21" t="str">
        <x:v>string</x:v>
      </x:c>
      <x:c r="D2905" s="21" t="str">
        <x:v>"我方普通棋子造成伤害后 25% 概率 +10 金"</x:v>
      </x:c>
    </x:row>
    <x:row r="2906" ht="22" customHeight="1">
      <x:c r="A2906" s="21" t="str">
        <x:v>data/codex/treasure_text.json</x:v>
      </x:c>
      <x:c r="B2906" s="21" t="str">
        <x:v>$/linkages/link_rich_path/effect_en</x:v>
      </x:c>
      <x:c r="C2906" s="21" t="str">
        <x:v>string</x:v>
      </x:c>
      <x:c r="D2906" s="21" t="str">
        <x:v>"After a friendly normal piece deals damage, 25% chance to gain 10 gold"</x:v>
      </x:c>
    </x:row>
    <x:row r="2907" ht="22" customHeight="1">
      <x:c r="A2907" s="21" t="str">
        <x:v>data/codex/treasure_text.json</x:v>
      </x:c>
      <x:c r="B2907" s="21" t="str">
        <x:v>$/linkages/link_clearance_sale</x:v>
      </x:c>
      <x:c r="C2907" s="21" t="str">
        <x:v>object</x:v>
      </x:c>
      <x:c r="D2907" s="21" t="str"/>
    </x:row>
    <x:row r="2908" ht="22" customHeight="1">
      <x:c r="A2908" s="21" t="str">
        <x:v>data/codex/treasure_text.json</x:v>
      </x:c>
      <x:c r="B2908" s="21" t="str">
        <x:v>$/linkages/link_clearance_sale/name</x:v>
      </x:c>
      <x:c r="C2908" s="21" t="str">
        <x:v>string</x:v>
      </x:c>
      <x:c r="D2908" s="21" t="str">
        <x:v>"清仓特卖"</x:v>
      </x:c>
    </x:row>
    <x:row r="2909" ht="22" customHeight="1">
      <x:c r="A2909" s="21" t="str">
        <x:v>data/codex/treasure_text.json</x:v>
      </x:c>
      <x:c r="B2909" s="21" t="str">
        <x:v>$/linkages/link_clearance_sale/name_en</x:v>
      </x:c>
      <x:c r="C2909" s="21" t="str">
        <x:v>string</x:v>
      </x:c>
      <x:c r="D2909" s="21" t="str">
        <x:v>"Clearance Sale"</x:v>
      </x:c>
    </x:row>
    <x:row r="2910" ht="22" customHeight="1">
      <x:c r="A2910" s="21" t="str">
        <x:v>data/codex/treasure_text.json</x:v>
      </x:c>
      <x:c r="B2910" s="21" t="str">
        <x:v>$/linkages/link_clearance_sale/requires_text</x:v>
      </x:c>
      <x:c r="C2910" s="21" t="str">
        <x:v>string</x:v>
      </x:c>
      <x:c r="D2910" s="21" t="str">
        <x:v>"狂怒阵容 + 折扣令牌"</x:v>
      </x:c>
    </x:row>
    <x:row r="2911" ht="22" customHeight="1">
      <x:c r="A2911" s="21" t="str">
        <x:v>data/codex/treasure_text.json</x:v>
      </x:c>
      <x:c r="B2911" s="21" t="str">
        <x:v>$/linkages/link_clearance_sale/requires_text_en</x:v>
      </x:c>
      <x:c r="C2911" s="21" t="str">
        <x:v>string</x:v>
      </x:c>
      <x:c r="D2911" s="21" t="str">
        <x:v>"Fury Roster + Discount Token"</x:v>
      </x:c>
    </x:row>
    <x:row r="2912" ht="22" customHeight="1">
      <x:c r="A2912" s="21" t="str">
        <x:v>data/codex/treasure_text.json</x:v>
      </x:c>
      <x:c r="B2912" s="21" t="str">
        <x:v>$/linkages/link_clearance_sale/effect</x:v>
      </x:c>
      <x:c r="C2912" s="21" t="str">
        <x:v>string</x:v>
      </x:c>
      <x:c r="D2912" s="21" t="str">
        <x:v>"自动激活，同队所有人的棋子商店价格 -60%，最低 1 金"</x:v>
      </x:c>
    </x:row>
    <x:row r="2913" ht="22" customHeight="1">
      <x:c r="A2913" s="21" t="str">
        <x:v>data/codex/treasure_text.json</x:v>
      </x:c>
      <x:c r="B2913" s="21" t="str">
        <x:v>$/linkages/link_clearance_sale/effect_en</x:v>
      </x:c>
      <x:c r="C2913" s="21" t="str">
        <x:v>string</x:v>
      </x:c>
      <x:c r="D2913" s="21" t="str">
        <x:v>"Activates automatically: all teammates get 60% off piece shop prices, minimum 1 gold"</x:v>
      </x:c>
    </x:row>
    <x:row r="2914" ht="22" customHeight="1">
      <x:c r="A2914" s="21" t="str">
        <x:v>data/codex/treasure_text.json</x:v>
      </x:c>
      <x:c r="B2914" s="21" t="str">
        <x:v>$/linkages/link_hu_pai_master</x:v>
      </x:c>
      <x:c r="C2914" s="21" t="str">
        <x:v>object</x:v>
      </x:c>
      <x:c r="D2914" s="21" t="str"/>
    </x:row>
    <x:row r="2915" ht="22" customHeight="1">
      <x:c r="A2915" s="21" t="str">
        <x:v>data/codex/treasure_text.json</x:v>
      </x:c>
      <x:c r="B2915" s="21" t="str">
        <x:v>$/linkages/link_hu_pai_master/name</x:v>
      </x:c>
      <x:c r="C2915" s="21" t="str">
        <x:v>string</x:v>
      </x:c>
      <x:c r="D2915" s="21" t="str">
        <x:v>"胡牌手"</x:v>
      </x:c>
    </x:row>
    <x:row r="2916" ht="22" customHeight="1">
      <x:c r="A2916" s="21" t="str">
        <x:v>data/codex/treasure_text.json</x:v>
      </x:c>
      <x:c r="B2916" s="21" t="str">
        <x:v>$/linkages/link_hu_pai_master/name_en</x:v>
      </x:c>
      <x:c r="C2916" s="21" t="str">
        <x:v>string</x:v>
      </x:c>
      <x:c r="D2916" s="21" t="str">
        <x:v>"Winning Hand"</x:v>
      </x:c>
    </x:row>
    <x:row r="2917" ht="22" customHeight="1">
      <x:c r="A2917" s="21" t="str">
        <x:v>data/codex/treasure_text.json</x:v>
      </x:c>
      <x:c r="B2917" s="21" t="str">
        <x:v>$/linkages/link_hu_pai_master/requires_text</x:v>
      </x:c>
      <x:c r="C2917" s="21" t="str">
        <x:v>string</x:v>
      </x:c>
      <x:c r="D2917" s="21" t="str">
        <x:v>"生命丰碑 + 黄金祭坛 + 震荡余波 + 血契之刃 + 狂怒阵容"</x:v>
      </x:c>
    </x:row>
    <x:row r="2918" ht="22" customHeight="1">
      <x:c r="A2918" s="21" t="str">
        <x:v>data/codex/treasure_text.json</x:v>
      </x:c>
      <x:c r="B2918" s="21" t="str">
        <x:v>$/linkages/link_hu_pai_master/requires_text_en</x:v>
      </x:c>
      <x:c r="C2918" s="21" t="str">
        <x:v>string</x:v>
      </x:c>
      <x:c r="D2918" s="21" t="str">
        <x:v>"Life Monument + Golden Altar + Shockwave + Blood Pact + Fury Roster"</x:v>
      </x:c>
    </x:row>
    <x:row r="2919" ht="22" customHeight="1">
      <x:c r="A2919" s="21" t="str">
        <x:v>data/codex/treasure_text.json</x:v>
      </x:c>
      <x:c r="B2919" s="21" t="str">
        <x:v>$/linkages/link_hu_pai_master/effect</x:v>
      </x:c>
      <x:c r="C2919" s="21" t="str">
        <x:v>string</x:v>
      </x:c>
      <x:c r="D2919" s="21" t="str">
        <x:v>"集齐生命丰碑、黄金祭坛、震荡余波、血契之刃、狂怒阵容时立即回复法阵 HP +2；生命丰碑 +40%、震荡余波眩晕 2 秒、血契之刃 ATK x1.50、狂怒阵容上限 9；黄金祭坛使用时不扣 HP，仍得 +100 金，每回合最多 3 次，HP &lt;=10 不可用"</x:v>
      </x:c>
    </x:row>
    <x:row r="2920" ht="22" customHeight="1">
      <x:c r="A2920" s="21" t="str">
        <x:v>data/codex/treasure_text.json</x:v>
      </x:c>
      <x:c r="B2920" s="21" t="str">
        <x:v>$/linkages/link_hu_pai_master/effect_en</x:v>
      </x:c>
      <x:c r="C2920" s="21" t="str">
        <x:v>string</x:v>
      </x:c>
      <x:c r="D2920" s="21" t="str">
        <x:v>"On completing Life Monument, Golden Altar, Shockwave, Blood Pact, and Fury Roster, immediately restore 2 formation HP. Life Monument +40%, Shockwave stun 2s, Blood Pact ATK x1.50, roster cap 9; Golden Altar costs no HP and still grants 100 gold per use, up to 3 times per round, unavailable at HP &lt;=10"</x:v>
      </x:c>
    </x:row>
    <x:row r="2921" ht="22" customHeight="1">
      <x:c r="A2921" s="21" t="str">
        <x:v>data/codex/treasure_text.json</x:v>
      </x:c>
      <x:c r="B2921" s="21" t="str">
        <x:v>$/sets</x:v>
      </x:c>
      <x:c r="C2921" s="21" t="str">
        <x:v>object</x:v>
      </x:c>
      <x:c r="D2921" s="21" t="str"/>
    </x:row>
    <x:row r="2922" ht="22" customHeight="1">
      <x:c r="A2922" s="21" t="str">
        <x:v>data/codex/treasure_text.json</x:v>
      </x:c>
      <x:c r="B2922" s="21" t="str">
        <x:v>$/sets/set_defense</x:v>
      </x:c>
      <x:c r="C2922" s="21" t="str">
        <x:v>object</x:v>
      </x:c>
      <x:c r="D2922" s="21" t="str"/>
    </x:row>
    <x:row r="2923" ht="22" customHeight="1">
      <x:c r="A2923" s="21" t="str">
        <x:v>data/codex/treasure_text.json</x:v>
      </x:c>
      <x:c r="B2923" s="21" t="str">
        <x:v>$/sets/set_defense/name</x:v>
      </x:c>
      <x:c r="C2923" s="21" t="str">
        <x:v>string</x:v>
      </x:c>
      <x:c r="D2923" s="21" t="str">
        <x:v>"4防御"</x:v>
      </x:c>
    </x:row>
    <x:row r="2924" ht="22" customHeight="1">
      <x:c r="A2924" s="21" t="str">
        <x:v>data/codex/treasure_text.json</x:v>
      </x:c>
      <x:c r="B2924" s="21" t="str">
        <x:v>$/sets/set_defense/name_en</x:v>
      </x:c>
      <x:c r="C2924" s="21" t="str">
        <x:v>string</x:v>
      </x:c>
      <x:c r="D2924" s="21" t="str">
        <x:v>"4 Defense"</x:v>
      </x:c>
    </x:row>
    <x:row r="2925" ht="22" customHeight="1">
      <x:c r="A2925" s="21" t="str">
        <x:v>data/codex/treasure_text.json</x:v>
      </x:c>
      <x:c r="B2925" s="21" t="str">
        <x:v>$/sets/set_defense/requires_text</x:v>
      </x:c>
      <x:c r="C2925" s="21" t="str">
        <x:v>string</x:v>
      </x:c>
      <x:c r="D2925" s="21" t="str">
        <x:v>"任意 4 件防御宝藏"</x:v>
      </x:c>
    </x:row>
    <x:row r="2926" ht="22" customHeight="1">
      <x:c r="A2926" s="21" t="str">
        <x:v>data/codex/treasure_text.json</x:v>
      </x:c>
      <x:c r="B2926" s="21" t="str">
        <x:v>$/sets/set_defense/requires_text_en</x:v>
      </x:c>
      <x:c r="C2926" s="21" t="str">
        <x:v>string</x:v>
      </x:c>
      <x:c r="D2926" s="21" t="str">
        <x:v>"Any 4 Defense treasures"</x:v>
      </x:c>
    </x:row>
    <x:row r="2927" ht="22" customHeight="1">
      <x:c r="A2927" s="21" t="str">
        <x:v>data/codex/treasure_text.json</x:v>
      </x:c>
      <x:c r="B2927" s="21" t="str">
        <x:v>$/sets/set_defense/effect</x:v>
      </x:c>
      <x:c r="C2927" s="21" t="str">
        <x:v>string</x:v>
      </x:c>
      <x:c r="D2927" s="21" t="str">
        <x:v>"普通棋子开战 HP/DEF +30%，闪避 +15%。"</x:v>
      </x:c>
    </x:row>
    <x:row r="2928" ht="22" customHeight="1">
      <x:c r="A2928" s="21" t="str">
        <x:v>data/codex/treasure_text.json</x:v>
      </x:c>
      <x:c r="B2928" s="21" t="str">
        <x:v>$/sets/set_defense/effect_en</x:v>
      </x:c>
      <x:c r="C2928" s="21" t="str">
        <x:v>string</x:v>
      </x:c>
      <x:c r="D2928" s="21" t="str">
        <x:v>"Normal units gain HP/DEF +30% and Dodge +15% at battle start."</x:v>
      </x:c>
    </x:row>
    <x:row r="2929" ht="22" customHeight="1">
      <x:c r="A2929" s="21" t="str">
        <x:v>data/codex/treasure_text.json</x:v>
      </x:c>
      <x:c r="B2929" s="21" t="str">
        <x:v>$/sets/set_control</x:v>
      </x:c>
      <x:c r="C2929" s="21" t="str">
        <x:v>object</x:v>
      </x:c>
      <x:c r="D2929" s="21" t="str"/>
    </x:row>
    <x:row r="2930" ht="22" customHeight="1">
      <x:c r="A2930" s="21" t="str">
        <x:v>data/codex/treasure_text.json</x:v>
      </x:c>
      <x:c r="B2930" s="21" t="str">
        <x:v>$/sets/set_control/name</x:v>
      </x:c>
      <x:c r="C2930" s="21" t="str">
        <x:v>string</x:v>
      </x:c>
      <x:c r="D2930" s="21" t="str">
        <x:v>"4控制"</x:v>
      </x:c>
    </x:row>
    <x:row r="2931" ht="22" customHeight="1">
      <x:c r="A2931" s="21" t="str">
        <x:v>data/codex/treasure_text.json</x:v>
      </x:c>
      <x:c r="B2931" s="21" t="str">
        <x:v>$/sets/set_control/name_en</x:v>
      </x:c>
      <x:c r="C2931" s="21" t="str">
        <x:v>string</x:v>
      </x:c>
      <x:c r="D2931" s="21" t="str">
        <x:v>"4 Control"</x:v>
      </x:c>
    </x:row>
    <x:row r="2932" ht="22" customHeight="1">
      <x:c r="A2932" s="21" t="str">
        <x:v>data/codex/treasure_text.json</x:v>
      </x:c>
      <x:c r="B2932" s="21" t="str">
        <x:v>$/sets/set_control/requires_text</x:v>
      </x:c>
      <x:c r="C2932" s="21" t="str">
        <x:v>string</x:v>
      </x:c>
      <x:c r="D2932" s="21" t="str">
        <x:v>"任意 4 件控制宝藏"</x:v>
      </x:c>
    </x:row>
    <x:row r="2933" ht="22" customHeight="1">
      <x:c r="A2933" s="21" t="str">
        <x:v>data/codex/treasure_text.json</x:v>
      </x:c>
      <x:c r="B2933" s="21" t="str">
        <x:v>$/sets/set_control/requires_text_en</x:v>
      </x:c>
      <x:c r="C2933" s="21" t="str">
        <x:v>string</x:v>
      </x:c>
      <x:c r="D2933" s="21" t="str">
        <x:v>"Any 4 Control treasures"</x:v>
      </x:c>
    </x:row>
    <x:row r="2934" ht="22" customHeight="1">
      <x:c r="A2934" s="21" t="str">
        <x:v>data/codex/treasure_text.json</x:v>
      </x:c>
      <x:c r="B2934" s="21" t="str">
        <x:v>$/sets/set_control/effect</x:v>
      </x:c>
      <x:c r="C2934" s="21" t="str">
        <x:v>string</x:v>
      </x:c>
      <x:c r="D2934" s="21" t="str">
        <x:v>"普通棋子用普攻打出最后一击击杀敌人时，该棋子技能冷却立刻刷新（技能击杀不算）。"</x:v>
      </x:c>
    </x:row>
    <x:row r="2935" ht="22" customHeight="1">
      <x:c r="A2935" s="21" t="str">
        <x:v>data/codex/treasure_text.json</x:v>
      </x:c>
      <x:c r="B2935" s="21" t="str">
        <x:v>$/sets/set_control/effect_en</x:v>
      </x:c>
      <x:c r="C2935" s="21" t="str">
        <x:v>string</x:v>
      </x:c>
      <x:c r="D2935" s="21" t="str">
        <x:v>"When a normal unit lands the killing blow with a basic attack, its skill cooldown resets immediately (skill kills don't count)."</x:v>
      </x:c>
    </x:row>
    <x:row r="2936" ht="22" customHeight="1">
      <x:c r="A2936" s="21" t="str">
        <x:v>data/codex/treasure_text.json</x:v>
      </x:c>
      <x:c r="B2936" s="21" t="str">
        <x:v>$/sets/set_attack</x:v>
      </x:c>
      <x:c r="C2936" s="21" t="str">
        <x:v>object</x:v>
      </x:c>
      <x:c r="D2936" s="21" t="str"/>
    </x:row>
    <x:row r="2937" ht="22" customHeight="1">
      <x:c r="A2937" s="21" t="str">
        <x:v>data/codex/treasure_text.json</x:v>
      </x:c>
      <x:c r="B2937" s="21" t="str">
        <x:v>$/sets/set_attack/name</x:v>
      </x:c>
      <x:c r="C2937" s="21" t="str">
        <x:v>string</x:v>
      </x:c>
      <x:c r="D2937" s="21" t="str">
        <x:v>"4攻击"</x:v>
      </x:c>
    </x:row>
    <x:row r="2938" ht="22" customHeight="1">
      <x:c r="A2938" s="21" t="str">
        <x:v>data/codex/treasure_text.json</x:v>
      </x:c>
      <x:c r="B2938" s="21" t="str">
        <x:v>$/sets/set_attack/name_en</x:v>
      </x:c>
      <x:c r="C2938" s="21" t="str">
        <x:v>string</x:v>
      </x:c>
      <x:c r="D2938" s="21" t="str">
        <x:v>"4 Attack"</x:v>
      </x:c>
    </x:row>
    <x:row r="2939" ht="22" customHeight="1">
      <x:c r="A2939" s="21" t="str">
        <x:v>data/codex/treasure_text.json</x:v>
      </x:c>
      <x:c r="B2939" s="21" t="str">
        <x:v>$/sets/set_attack/requires_text</x:v>
      </x:c>
      <x:c r="C2939" s="21" t="str">
        <x:v>string</x:v>
      </x:c>
      <x:c r="D2939" s="21" t="str">
        <x:v>"任意 4 件攻击宝藏"</x:v>
      </x:c>
    </x:row>
    <x:row r="2940" ht="22" customHeight="1">
      <x:c r="A2940" s="21" t="str">
        <x:v>data/codex/treasure_text.json</x:v>
      </x:c>
      <x:c r="B2940" s="21" t="str">
        <x:v>$/sets/set_attack/requires_text_en</x:v>
      </x:c>
      <x:c r="C2940" s="21" t="str">
        <x:v>string</x:v>
      </x:c>
      <x:c r="D2940" s="21" t="str">
        <x:v>"Any 4 Attack treasures"</x:v>
      </x:c>
    </x:row>
    <x:row r="2941" ht="22" customHeight="1">
      <x:c r="A2941" s="21" t="str">
        <x:v>data/codex/treasure_text.json</x:v>
      </x:c>
      <x:c r="B2941" s="21" t="str">
        <x:v>$/sets/set_attack/effect</x:v>
      </x:c>
      <x:c r="C2941" s="21" t="str">
        <x:v>string</x:v>
      </x:c>
      <x:c r="D2941" s="21" t="str">
        <x:v>"普通棋子普攻后对生命 &lt;=10% 的非 Boss 目标直接斩杀，触发斩杀的棋子攻速 +25% 持续 5 秒，重复触发只刷新时间；无敌也挡不住斩杀"</x:v>
      </x:c>
    </x:row>
    <x:row r="2942" ht="22" customHeight="1">
      <x:c r="A2942" s="21" t="str">
        <x:v>data/codex/treasure_text.json</x:v>
      </x:c>
      <x:c r="B2942" s="21" t="str">
        <x:v>$/sets/set_attack/effect_en</x:v>
      </x:c>
      <x:c r="C2942" s="21" t="str">
        <x:v>string</x:v>
      </x:c>
      <x:c r="D2942" s="21" t="str">
        <x:v>"After a normal unit's basic attack, execute non-Boss targets at &lt;=10% HP even through invulnerability; the executing unit gains 25% attack speed for 5s, refreshing duration on repeat"</x:v>
      </x:c>
    </x:row>
    <x:row r="2943" ht="22" customHeight="1">
      <x:c r="A2943" s="21" t="str">
        <x:v>data/codex/treasure_text.json</x:v>
      </x:c>
      <x:c r="B2943" s="21" t="str">
        <x:v>$/sets/set_money</x:v>
      </x:c>
      <x:c r="C2943" s="21" t="str">
        <x:v>object</x:v>
      </x:c>
      <x:c r="D2943" s="21" t="str"/>
    </x:row>
    <x:row r="2944" ht="22" customHeight="1">
      <x:c r="A2944" s="21" t="str">
        <x:v>data/codex/treasure_text.json</x:v>
      </x:c>
      <x:c r="B2944" s="21" t="str">
        <x:v>$/sets/set_money/name</x:v>
      </x:c>
      <x:c r="C2944" s="21" t="str">
        <x:v>string</x:v>
      </x:c>
      <x:c r="D2944" s="21" t="str">
        <x:v>"4金钱"</x:v>
      </x:c>
    </x:row>
    <x:row r="2945" ht="22" customHeight="1">
      <x:c r="A2945" s="21" t="str">
        <x:v>data/codex/treasure_text.json</x:v>
      </x:c>
      <x:c r="B2945" s="21" t="str">
        <x:v>$/sets/set_money/name_en</x:v>
      </x:c>
      <x:c r="C2945" s="21" t="str">
        <x:v>string</x:v>
      </x:c>
      <x:c r="D2945" s="21" t="str">
        <x:v>"4 Money"</x:v>
      </x:c>
    </x:row>
    <x:row r="2946" ht="22" customHeight="1">
      <x:c r="A2946" s="21" t="str">
        <x:v>data/codex/treasure_text.json</x:v>
      </x:c>
      <x:c r="B2946" s="21" t="str">
        <x:v>$/sets/set_money/requires_text</x:v>
      </x:c>
      <x:c r="C2946" s="21" t="str">
        <x:v>string</x:v>
      </x:c>
      <x:c r="D2946" s="21" t="str">
        <x:v>"任意 4 件金钱宝藏"</x:v>
      </x:c>
    </x:row>
    <x:row r="2947" ht="22" customHeight="1">
      <x:c r="A2947" s="21" t="str">
        <x:v>data/codex/treasure_text.json</x:v>
      </x:c>
      <x:c r="B2947" s="21" t="str">
        <x:v>$/sets/set_money/requires_text_en</x:v>
      </x:c>
      <x:c r="C2947" s="21" t="str">
        <x:v>string</x:v>
      </x:c>
      <x:c r="D2947" s="21" t="str">
        <x:v>"Any 4 Money treasures"</x:v>
      </x:c>
    </x:row>
    <x:row r="2948" ht="22" customHeight="1">
      <x:c r="A2948" s="21" t="str">
        <x:v>data/codex/treasure_text.json</x:v>
      </x:c>
      <x:c r="B2948" s="21" t="str">
        <x:v>$/sets/set_money/effect</x:v>
      </x:c>
      <x:c r="C2948" s="21" t="str">
        <x:v>string</x:v>
      </x:c>
      <x:c r="D2948" s="21" t="str">
        <x:v>"开战时，每持有 1000 金，普通棋子攻击与生命 +10%，最高 +100%。"</x:v>
      </x:c>
    </x:row>
    <x:row r="2949" ht="22" customHeight="1">
      <x:c r="A2949" s="21" t="str">
        <x:v>data/codex/treasure_text.json</x:v>
      </x:c>
      <x:c r="B2949" s="21" t="str">
        <x:v>$/sets/set_money/effect_en</x:v>
      </x:c>
      <x:c r="C2949" s="21" t="str">
        <x:v>string</x:v>
      </x:c>
      <x:c r="D2949" s="21" t="str">
        <x:v>"At battle start, normal pieces gain +10% ATK and HP per 1,000 gold owned, up to +100%."</x:v>
      </x:c>
    </x:row>
    <x:row r="2950" ht="22" customHeight="1">
      <x:c r="A2950" s="21" t="str">
        <x:v>data/codex/treasure_text.json</x:v>
      </x:c>
      <x:c r="B2950" s="21" t="str">
        <x:v>$/sets/set_element</x:v>
      </x:c>
      <x:c r="C2950" s="21" t="str">
        <x:v>object</x:v>
      </x:c>
      <x:c r="D2950" s="21" t="str"/>
    </x:row>
    <x:row r="2951" ht="22" customHeight="1">
      <x:c r="A2951" s="21" t="str">
        <x:v>data/codex/treasure_text.json</x:v>
      </x:c>
      <x:c r="B2951" s="21" t="str">
        <x:v>$/sets/set_element/name</x:v>
      </x:c>
      <x:c r="C2951" s="21" t="str">
        <x:v>string</x:v>
      </x:c>
      <x:c r="D2951" s="21" t="str">
        <x:v>"4元素"</x:v>
      </x:c>
    </x:row>
    <x:row r="2952" ht="22" customHeight="1">
      <x:c r="A2952" s="21" t="str">
        <x:v>data/codex/treasure_text.json</x:v>
      </x:c>
      <x:c r="B2952" s="21" t="str">
        <x:v>$/sets/set_element/name_en</x:v>
      </x:c>
      <x:c r="C2952" s="21" t="str">
        <x:v>string</x:v>
      </x:c>
      <x:c r="D2952" s="21" t="str">
        <x:v>"4 Element"</x:v>
      </x:c>
    </x:row>
    <x:row r="2953" ht="22" customHeight="1">
      <x:c r="A2953" s="21" t="str">
        <x:v>data/codex/treasure_text.json</x:v>
      </x:c>
      <x:c r="B2953" s="21" t="str">
        <x:v>$/sets/set_element/requires_text</x:v>
      </x:c>
      <x:c r="C2953" s="21" t="str">
        <x:v>string</x:v>
      </x:c>
      <x:c r="D2953" s="21" t="str">
        <x:v>"4 件元素宝藏"</x:v>
      </x:c>
    </x:row>
    <x:row r="2954" ht="22" customHeight="1">
      <x:c r="A2954" s="21" t="str">
        <x:v>data/codex/treasure_text.json</x:v>
      </x:c>
      <x:c r="B2954" s="21" t="str">
        <x:v>$/sets/set_element/requires_text_en</x:v>
      </x:c>
      <x:c r="C2954" s="21" t="str">
        <x:v>string</x:v>
      </x:c>
      <x:c r="D2954" s="21" t="str">
        <x:v>"All 4 Element treasures"</x:v>
      </x:c>
    </x:row>
    <x:row r="2955" ht="22" customHeight="1">
      <x:c r="A2955" s="21" t="str">
        <x:v>data/codex/treasure_text.json</x:v>
      </x:c>
      <x:c r="B2955" s="21" t="str">
        <x:v>$/sets/set_element/effect</x:v>
      </x:c>
      <x:c r="C2955" s="21" t="str">
        <x:v>string</x:v>
      </x:c>
      <x:c r="D2955" s="21" t="str">
        <x:v>"普通棋子攻击 20% 概率触发 180 范围元素爆发，造成目标最大生命 10% 真实伤害；每个棋子内置冷却 2 秒"</x:v>
      </x:c>
    </x:row>
    <x:row r="2956" ht="22" customHeight="1">
      <x:c r="A2956" s="21" t="str">
        <x:v>data/codex/treasure_text.json</x:v>
      </x:c>
      <x:c r="B2956" s="21" t="str">
        <x:v>$/sets/set_element/effect_en</x:v>
      </x:c>
      <x:c r="C2956" s="21" t="str">
        <x:v>string</x:v>
      </x:c>
      <x:c r="D2956" s="21" t="str">
        <x:v>"Each normal unit's attack has a 20% chance to trigger an elemental burst in radius 180 for 10% max HP true damage, with its own 2s cooldown"</x:v>
      </x:c>
    </x:row>
    <x:row r="2957" ht="22" customHeight="1">
      <x:c r="A2957" s="21" t="str">
        <x:v>data/diamond_products.json</x:v>
      </x:c>
      <x:c r="B2957" s="21" t="str">
        <x:v>$</x:v>
      </x:c>
      <x:c r="C2957" s="21" t="str">
        <x:v>object</x:v>
      </x:c>
      <x:c r="D2957" s="21" t="str"/>
    </x:row>
    <x:row r="2958" ht="22" customHeight="1">
      <x:c r="A2958" s="21" t="str">
        <x:v>data/diamond_products.json</x:v>
      </x:c>
      <x:c r="B2958" s="21" t="str">
        <x:v>$/schema_version</x:v>
      </x:c>
      <x:c r="C2958" s="21" t="str">
        <x:v>int</x:v>
      </x:c>
      <x:c r="D2958" s="21" t="str">
        <x:v>1</x:v>
      </x:c>
    </x:row>
    <x:row r="2959" ht="22" customHeight="1">
      <x:c r="A2959" s="21" t="str">
        <x:v>data/diamond_products.json</x:v>
      </x:c>
      <x:c r="B2959" s="21" t="str">
        <x:v>$/_note</x:v>
      </x:c>
      <x:c r="C2959" s="21" t="str">
        <x:v>string</x:v>
      </x:c>
      <x:c r="D2959" s="21" t="str">
        <x:v>"Only display amount and platform product ID here. Localized price and purchase result must come from the platform IAP service; no client-side wallet credit is allowed."</x:v>
      </x:c>
    </x:row>
    <x:row r="2960" ht="22" customHeight="1">
      <x:c r="A2960" s="21" t="str">
        <x:v>data/diamond_products.json</x:v>
      </x:c>
      <x:c r="B2960" s="21" t="str">
        <x:v>$/products</x:v>
      </x:c>
      <x:c r="C2960" s="21" t="str">
        <x:v>array</x:v>
      </x:c>
      <x:c r="D2960" s="21" t="str"/>
    </x:row>
    <x:row r="2961" ht="22" customHeight="1">
      <x:c r="A2961" s="21" t="str">
        <x:v>data/diamond_products.json</x:v>
      </x:c>
      <x:c r="B2961" s="21" t="str">
        <x:v>$/products/0</x:v>
      </x:c>
      <x:c r="C2961" s="21" t="str">
        <x:v>object</x:v>
      </x:c>
      <x:c r="D2961" s="21" t="str"/>
    </x:row>
    <x:row r="2962" ht="22" customHeight="1">
      <x:c r="A2962" s="21" t="str">
        <x:v>data/diamond_products.json</x:v>
      </x:c>
      <x:c r="B2962" s="21" t="str">
        <x:v>$/products/0/product_id</x:v>
      </x:c>
      <x:c r="C2962" s="21" t="str">
        <x:v>string</x:v>
      </x:c>
      <x:c r="D2962" s="21" t="str">
        <x:v>"diamond_100"</x:v>
      </x:c>
    </x:row>
    <x:row r="2963" ht="22" customHeight="1">
      <x:c r="A2963" s="21" t="str">
        <x:v>data/diamond_products.json</x:v>
      </x:c>
      <x:c r="B2963" s="21" t="str">
        <x:v>$/products/0/diamond</x:v>
      </x:c>
      <x:c r="C2963" s="21" t="str">
        <x:v>int</x:v>
      </x:c>
      <x:c r="D2963" s="21" t="str">
        <x:v>100</x:v>
      </x:c>
    </x:row>
    <x:row r="2964" ht="22" customHeight="1">
      <x:c r="A2964" s="21" t="str">
        <x:v>data/diamond_products.json</x:v>
      </x:c>
      <x:c r="B2964" s="21" t="str">
        <x:v>$/products/1</x:v>
      </x:c>
      <x:c r="C2964" s="21" t="str">
        <x:v>object</x:v>
      </x:c>
      <x:c r="D2964" s="21" t="str"/>
    </x:row>
    <x:row r="2965" ht="22" customHeight="1">
      <x:c r="A2965" s="21" t="str">
        <x:v>data/diamond_products.json</x:v>
      </x:c>
      <x:c r="B2965" s="21" t="str">
        <x:v>$/products/1/product_id</x:v>
      </x:c>
      <x:c r="C2965" s="21" t="str">
        <x:v>string</x:v>
      </x:c>
      <x:c r="D2965" s="21" t="str">
        <x:v>"diamond_300"</x:v>
      </x:c>
    </x:row>
    <x:row r="2966" ht="22" customHeight="1">
      <x:c r="A2966" s="21" t="str">
        <x:v>data/diamond_products.json</x:v>
      </x:c>
      <x:c r="B2966" s="21" t="str">
        <x:v>$/products/1/diamond</x:v>
      </x:c>
      <x:c r="C2966" s="21" t="str">
        <x:v>int</x:v>
      </x:c>
      <x:c r="D2966" s="21" t="str">
        <x:v>300</x:v>
      </x:c>
    </x:row>
    <x:row r="2967" ht="22" customHeight="1">
      <x:c r="A2967" s="21" t="str">
        <x:v>data/diamond_products.json</x:v>
      </x:c>
      <x:c r="B2967" s="21" t="str">
        <x:v>$/products/2</x:v>
      </x:c>
      <x:c r="C2967" s="21" t="str">
        <x:v>object</x:v>
      </x:c>
      <x:c r="D2967" s="21" t="str"/>
    </x:row>
    <x:row r="2968" ht="22" customHeight="1">
      <x:c r="A2968" s="21" t="str">
        <x:v>data/diamond_products.json</x:v>
      </x:c>
      <x:c r="B2968" s="21" t="str">
        <x:v>$/products/2/product_id</x:v>
      </x:c>
      <x:c r="C2968" s="21" t="str">
        <x:v>string</x:v>
      </x:c>
      <x:c r="D2968" s="21" t="str">
        <x:v>"diamond_500"</x:v>
      </x:c>
    </x:row>
    <x:row r="2969" ht="22" customHeight="1">
      <x:c r="A2969" s="21" t="str">
        <x:v>data/diamond_products.json</x:v>
      </x:c>
      <x:c r="B2969" s="21" t="str">
        <x:v>$/products/2/diamond</x:v>
      </x:c>
      <x:c r="C2969" s="21" t="str">
        <x:v>int</x:v>
      </x:c>
      <x:c r="D2969" s="21" t="str">
        <x:v>500</x:v>
      </x:c>
    </x:row>
    <x:row r="2970" ht="22" customHeight="1">
      <x:c r="A2970" s="21" t="str">
        <x:v>data/diamond_products.json</x:v>
      </x:c>
      <x:c r="B2970" s="21" t="str">
        <x:v>$/products/3</x:v>
      </x:c>
      <x:c r="C2970" s="21" t="str">
        <x:v>object</x:v>
      </x:c>
      <x:c r="D2970" s="21" t="str"/>
    </x:row>
    <x:row r="2971" ht="22" customHeight="1">
      <x:c r="A2971" s="21" t="str">
        <x:v>data/diamond_products.json</x:v>
      </x:c>
      <x:c r="B2971" s="21" t="str">
        <x:v>$/products/3/product_id</x:v>
      </x:c>
      <x:c r="C2971" s="21" t="str">
        <x:v>string</x:v>
      </x:c>
      <x:c r="D2971" s="21" t="str">
        <x:v>"diamond_750"</x:v>
      </x:c>
    </x:row>
    <x:row r="2972" ht="22" customHeight="1">
      <x:c r="A2972" s="21" t="str">
        <x:v>data/diamond_products.json</x:v>
      </x:c>
      <x:c r="B2972" s="21" t="str">
        <x:v>$/products/3/diamond</x:v>
      </x:c>
      <x:c r="C2972" s="21" t="str">
        <x:v>int</x:v>
      </x:c>
      <x:c r="D2972" s="21" t="str">
        <x:v>750</x:v>
      </x:c>
    </x:row>
    <x:row r="2973" ht="22" customHeight="1">
      <x:c r="A2973" s="21" t="str">
        <x:v>data/diamond_products.json</x:v>
      </x:c>
      <x:c r="B2973" s="21" t="str">
        <x:v>$/products/4</x:v>
      </x:c>
      <x:c r="C2973" s="21" t="str">
        <x:v>object</x:v>
      </x:c>
      <x:c r="D2973" s="21" t="str"/>
    </x:row>
    <x:row r="2974" ht="22" customHeight="1">
      <x:c r="A2974" s="21" t="str">
        <x:v>data/diamond_products.json</x:v>
      </x:c>
      <x:c r="B2974" s="21" t="str">
        <x:v>$/products/4/product_id</x:v>
      </x:c>
      <x:c r="C2974" s="21" t="str">
        <x:v>string</x:v>
      </x:c>
      <x:c r="D2974" s="21" t="str">
        <x:v>"diamond_1000"</x:v>
      </x:c>
    </x:row>
    <x:row r="2975" ht="22" customHeight="1">
      <x:c r="A2975" s="21" t="str">
        <x:v>data/diamond_products.json</x:v>
      </x:c>
      <x:c r="B2975" s="21" t="str">
        <x:v>$/products/4/diamond</x:v>
      </x:c>
      <x:c r="C2975" s="21" t="str">
        <x:v>int</x:v>
      </x:c>
      <x:c r="D2975" s="21" t="str">
        <x:v>1000</x:v>
      </x:c>
    </x:row>
    <x:row r="2976" ht="22" customHeight="1">
      <x:c r="A2976" s="21" t="str">
        <x:v>data/seven_day_login.json</x:v>
      </x:c>
      <x:c r="B2976" s="21" t="str">
        <x:v>$</x:v>
      </x:c>
      <x:c r="C2976" s="21" t="str">
        <x:v>object</x:v>
      </x:c>
      <x:c r="D2976" s="21" t="str"/>
    </x:row>
    <x:row r="2977" ht="22" customHeight="1">
      <x:c r="A2977" s="21" t="str">
        <x:v>data/seven_day_login.json</x:v>
      </x:c>
      <x:c r="B2977" s="21" t="str">
        <x:v>$/schema_version</x:v>
      </x:c>
      <x:c r="C2977" s="21" t="str">
        <x:v>int</x:v>
      </x:c>
      <x:c r="D2977" s="21" t="str">
        <x:v>1</x:v>
      </x:c>
    </x:row>
    <x:row r="2978" ht="22" customHeight="1">
      <x:c r="A2978" s="21" t="str">
        <x:v>data/seven_day_login.json</x:v>
      </x:c>
      <x:c r="B2978" s="21" t="str">
        <x:v>$/game_timezone</x:v>
      </x:c>
      <x:c r="C2978" s="21" t="str">
        <x:v>string</x:v>
      </x:c>
      <x:c r="D2978" s="21" t="str">
        <x:v>"Asia/Kuala_Lumpur"</x:v>
      </x:c>
    </x:row>
    <x:row r="2979" ht="22" customHeight="1">
      <x:c r="A2979" s="21" t="str">
        <x:v>data/seven_day_login.json</x:v>
      </x:c>
      <x:c r="B2979" s="21" t="str">
        <x:v>$/rewards</x:v>
      </x:c>
      <x:c r="C2979" s="21" t="str">
        <x:v>array</x:v>
      </x:c>
      <x:c r="D2979" s="21" t="str"/>
    </x:row>
    <x:row r="2980" ht="22" customHeight="1">
      <x:c r="A2980" s="21" t="str">
        <x:v>data/seven_day_login.json</x:v>
      </x:c>
      <x:c r="B2980" s="21" t="str">
        <x:v>$/rewards/0</x:v>
      </x:c>
      <x:c r="C2980" s="21" t="str">
        <x:v>object</x:v>
      </x:c>
      <x:c r="D2980" s="21" t="str"/>
    </x:row>
    <x:row r="2981" ht="22" customHeight="1">
      <x:c r="A2981" s="21" t="str">
        <x:v>data/seven_day_login.json</x:v>
      </x:c>
      <x:c r="B2981" s="21" t="str">
        <x:v>$/rewards/0/day</x:v>
      </x:c>
      <x:c r="C2981" s="21" t="str">
        <x:v>int</x:v>
      </x:c>
      <x:c r="D2981" s="21" t="str">
        <x:v>1</x:v>
      </x:c>
    </x:row>
    <x:row r="2982" ht="22" customHeight="1">
      <x:c r="A2982" s="21" t="str">
        <x:v>data/seven_day_login.json</x:v>
      </x:c>
      <x:c r="B2982" s="21" t="str">
        <x:v>$/rewards/0/reward_type</x:v>
      </x:c>
      <x:c r="C2982" s="21" t="str">
        <x:v>string</x:v>
      </x:c>
      <x:c r="D2982" s="21" t="str">
        <x:v>"diamond"</x:v>
      </x:c>
    </x:row>
    <x:row r="2983" ht="22" customHeight="1">
      <x:c r="A2983" s="21" t="str">
        <x:v>data/seven_day_login.json</x:v>
      </x:c>
      <x:c r="B2983" s="21" t="str">
        <x:v>$/rewards/0/amount</x:v>
      </x:c>
      <x:c r="C2983" s="21" t="str">
        <x:v>int</x:v>
      </x:c>
      <x:c r="D2983" s="21" t="str">
        <x:v>100</x:v>
      </x:c>
    </x:row>
    <x:row r="2984" ht="22" customHeight="1">
      <x:c r="A2984" s="21" t="str">
        <x:v>data/seven_day_login.json</x:v>
      </x:c>
      <x:c r="B2984" s="21" t="str">
        <x:v>$/rewards/1</x:v>
      </x:c>
      <x:c r="C2984" s="21" t="str">
        <x:v>object</x:v>
      </x:c>
      <x:c r="D2984" s="21" t="str"/>
    </x:row>
    <x:row r="2985" ht="22" customHeight="1">
      <x:c r="A2985" s="21" t="str">
        <x:v>data/seven_day_login.json</x:v>
      </x:c>
      <x:c r="B2985" s="21" t="str">
        <x:v>$/rewards/1/day</x:v>
      </x:c>
      <x:c r="C2985" s="21" t="str">
        <x:v>int</x:v>
      </x:c>
      <x:c r="D2985" s="21" t="str">
        <x:v>2</x:v>
      </x:c>
    </x:row>
    <x:row r="2986" ht="22" customHeight="1">
      <x:c r="A2986" s="21" t="str">
        <x:v>data/seven_day_login.json</x:v>
      </x:c>
      <x:c r="B2986" s="21" t="str">
        <x:v>$/rewards/1/reward_type</x:v>
      </x:c>
      <x:c r="C2986" s="21" t="str">
        <x:v>string</x:v>
      </x:c>
      <x:c r="D2986" s="21" t="str">
        <x:v>"diamond"</x:v>
      </x:c>
    </x:row>
    <x:row r="2987" ht="22" customHeight="1">
      <x:c r="A2987" s="21" t="str">
        <x:v>data/seven_day_login.json</x:v>
      </x:c>
      <x:c r="B2987" s="21" t="str">
        <x:v>$/rewards/1/amount</x:v>
      </x:c>
      <x:c r="C2987" s="21" t="str">
        <x:v>int</x:v>
      </x:c>
      <x:c r="D2987" s="21" t="str">
        <x:v>100</x:v>
      </x:c>
    </x:row>
    <x:row r="2988" ht="22" customHeight="1">
      <x:c r="A2988" s="21" t="str">
        <x:v>data/seven_day_login.json</x:v>
      </x:c>
      <x:c r="B2988" s="21" t="str">
        <x:v>$/rewards/2</x:v>
      </x:c>
      <x:c r="C2988" s="21" t="str">
        <x:v>object</x:v>
      </x:c>
      <x:c r="D2988" s="21" t="str"/>
    </x:row>
    <x:row r="2989" ht="22" customHeight="1">
      <x:c r="A2989" s="21" t="str">
        <x:v>data/seven_day_login.json</x:v>
      </x:c>
      <x:c r="B2989" s="21" t="str">
        <x:v>$/rewards/2/day</x:v>
      </x:c>
      <x:c r="C2989" s="21" t="str">
        <x:v>int</x:v>
      </x:c>
      <x:c r="D2989" s="21" t="str">
        <x:v>3</x:v>
      </x:c>
    </x:row>
    <x:row r="2990" ht="22" customHeight="1">
      <x:c r="A2990" s="21" t="str">
        <x:v>data/seven_day_login.json</x:v>
      </x:c>
      <x:c r="B2990" s="21" t="str">
        <x:v>$/rewards/2/reward_type</x:v>
      </x:c>
      <x:c r="C2990" s="21" t="str">
        <x:v>string</x:v>
      </x:c>
      <x:c r="D2990" s="21" t="str">
        <x:v>"coin"</x:v>
      </x:c>
    </x:row>
    <x:row r="2991" ht="22" customHeight="1">
      <x:c r="A2991" s="21" t="str">
        <x:v>data/seven_day_login.json</x:v>
      </x:c>
      <x:c r="B2991" s="21" t="str">
        <x:v>$/rewards/2/amount</x:v>
      </x:c>
      <x:c r="C2991" s="21" t="str">
        <x:v>int</x:v>
      </x:c>
      <x:c r="D2991" s="21" t="str">
        <x:v>500</x:v>
      </x:c>
    </x:row>
    <x:row r="2992" ht="22" customHeight="1">
      <x:c r="A2992" s="21" t="str">
        <x:v>data/seven_day_login.json</x:v>
      </x:c>
      <x:c r="B2992" s="21" t="str">
        <x:v>$/rewards/3</x:v>
      </x:c>
      <x:c r="C2992" s="21" t="str">
        <x:v>object</x:v>
      </x:c>
      <x:c r="D2992" s="21" t="str"/>
    </x:row>
    <x:row r="2993" ht="22" customHeight="1">
      <x:c r="A2993" s="21" t="str">
        <x:v>data/seven_day_login.json</x:v>
      </x:c>
      <x:c r="B2993" s="21" t="str">
        <x:v>$/rewards/3/day</x:v>
      </x:c>
      <x:c r="C2993" s="21" t="str">
        <x:v>int</x:v>
      </x:c>
      <x:c r="D2993" s="21" t="str">
        <x:v>4</x:v>
      </x:c>
    </x:row>
    <x:row r="2994" ht="22" customHeight="1">
      <x:c r="A2994" s="21" t="str">
        <x:v>data/seven_day_login.json</x:v>
      </x:c>
      <x:c r="B2994" s="21" t="str">
        <x:v>$/rewards/3/reward_type</x:v>
      </x:c>
      <x:c r="C2994" s="21" t="str">
        <x:v>string</x:v>
      </x:c>
      <x:c r="D2994" s="21" t="str">
        <x:v>"diamond"</x:v>
      </x:c>
    </x:row>
    <x:row r="2995" ht="22" customHeight="1">
      <x:c r="A2995" s="21" t="str">
        <x:v>data/seven_day_login.json</x:v>
      </x:c>
      <x:c r="B2995" s="21" t="str">
        <x:v>$/rewards/3/amount</x:v>
      </x:c>
      <x:c r="C2995" s="21" t="str">
        <x:v>int</x:v>
      </x:c>
      <x:c r="D2995" s="21" t="str">
        <x:v>100</x:v>
      </x:c>
    </x:row>
    <x:row r="2996" ht="22" customHeight="1">
      <x:c r="A2996" s="21" t="str">
        <x:v>data/seven_day_login.json</x:v>
      </x:c>
      <x:c r="B2996" s="21" t="str">
        <x:v>$/rewards/4</x:v>
      </x:c>
      <x:c r="C2996" s="21" t="str">
        <x:v>object</x:v>
      </x:c>
      <x:c r="D2996" s="21" t="str"/>
    </x:row>
    <x:row r="2997" ht="22" customHeight="1">
      <x:c r="A2997" s="21" t="str">
        <x:v>data/seven_day_login.json</x:v>
      </x:c>
      <x:c r="B2997" s="21" t="str">
        <x:v>$/rewards/4/day</x:v>
      </x:c>
      <x:c r="C2997" s="21" t="str">
        <x:v>int</x:v>
      </x:c>
      <x:c r="D2997" s="21" t="str">
        <x:v>5</x:v>
      </x:c>
    </x:row>
    <x:row r="2998" ht="22" customHeight="1">
      <x:c r="A2998" s="21" t="str">
        <x:v>data/seven_day_login.json</x:v>
      </x:c>
      <x:c r="B2998" s="21" t="str">
        <x:v>$/rewards/4/reward_type</x:v>
      </x:c>
      <x:c r="C2998" s="21" t="str">
        <x:v>string</x:v>
      </x:c>
      <x:c r="D2998" s="21" t="str">
        <x:v>"diamond"</x:v>
      </x:c>
    </x:row>
    <x:row r="2999" ht="22" customHeight="1">
      <x:c r="A2999" s="21" t="str">
        <x:v>data/seven_day_login.json</x:v>
      </x:c>
      <x:c r="B2999" s="21" t="str">
        <x:v>$/rewards/4/amount</x:v>
      </x:c>
      <x:c r="C2999" s="21" t="str">
        <x:v>int</x:v>
      </x:c>
      <x:c r="D2999" s="21" t="str">
        <x:v>100</x:v>
      </x:c>
    </x:row>
    <x:row r="3000" ht="22" customHeight="1">
      <x:c r="A3000" s="21" t="str">
        <x:v>data/seven_day_login.json</x:v>
      </x:c>
      <x:c r="B3000" s="21" t="str">
        <x:v>$/rewards/5</x:v>
      </x:c>
      <x:c r="C3000" s="21" t="str">
        <x:v>object</x:v>
      </x:c>
      <x:c r="D3000" s="21" t="str"/>
    </x:row>
    <x:row r="3001" ht="22" customHeight="1">
      <x:c r="A3001" s="21" t="str">
        <x:v>data/seven_day_login.json</x:v>
      </x:c>
      <x:c r="B3001" s="21" t="str">
        <x:v>$/rewards/5/day</x:v>
      </x:c>
      <x:c r="C3001" s="21" t="str">
        <x:v>int</x:v>
      </x:c>
      <x:c r="D3001" s="21" t="str">
        <x:v>6</x:v>
      </x:c>
    </x:row>
    <x:row r="3002" ht="22" customHeight="1">
      <x:c r="A3002" s="21" t="str">
        <x:v>data/seven_day_login.json</x:v>
      </x:c>
      <x:c r="B3002" s="21" t="str">
        <x:v>$/rewards/5/reward_type</x:v>
      </x:c>
      <x:c r="C3002" s="21" t="str">
        <x:v>string</x:v>
      </x:c>
      <x:c r="D3002" s="21" t="str">
        <x:v>"avatar_frame"</x:v>
      </x:c>
    </x:row>
    <x:row r="3003" ht="22" customHeight="1">
      <x:c r="A3003" s="21" t="str">
        <x:v>data/seven_day_login.json</x:v>
      </x:c>
      <x:c r="B3003" s="21" t="str">
        <x:v>$/rewards/5/amount</x:v>
      </x:c>
      <x:c r="C3003" s="21" t="str">
        <x:v>int</x:v>
      </x:c>
      <x:c r="D3003" s="21" t="str">
        <x:v>1</x:v>
      </x:c>
    </x:row>
    <x:row r="3004" ht="22" customHeight="1">
      <x:c r="A3004" s="21" t="str">
        <x:v>data/seven_day_login.json</x:v>
      </x:c>
      <x:c r="B3004" s="21" t="str">
        <x:v>$/rewards/5/item_id</x:v>
      </x:c>
      <x:c r="C3004" s="21" t="str">
        <x:v>string</x:v>
      </x:c>
      <x:c r="D3004" s="21" t="str">
        <x:v>"preset:avatar_frame_7day_01"</x:v>
      </x:c>
    </x:row>
    <x:row r="3005" ht="22" customHeight="1">
      <x:c r="A3005" s="21" t="str">
        <x:v>data/seven_day_login.json</x:v>
      </x:c>
      <x:c r="B3005" s="21" t="str">
        <x:v>$/rewards/6</x:v>
      </x:c>
      <x:c r="C3005" s="21" t="str">
        <x:v>object</x:v>
      </x:c>
      <x:c r="D3005" s="21" t="str"/>
    </x:row>
    <x:row r="3006" ht="22" customHeight="1">
      <x:c r="A3006" s="21" t="str">
        <x:v>data/seven_day_login.json</x:v>
      </x:c>
      <x:c r="B3006" s="21" t="str">
        <x:v>$/rewards/6/day</x:v>
      </x:c>
      <x:c r="C3006" s="21" t="str">
        <x:v>int</x:v>
      </x:c>
      <x:c r="D3006" s="21" t="str">
        <x:v>7</x:v>
      </x:c>
    </x:row>
    <x:row r="3007" ht="22" customHeight="1">
      <x:c r="A3007" s="21" t="str">
        <x:v>data/seven_day_login.json</x:v>
      </x:c>
      <x:c r="B3007" s="21" t="str">
        <x:v>$/rewards/6/reward_type</x:v>
      </x:c>
      <x:c r="C3007" s="21" t="str">
        <x:v>string</x:v>
      </x:c>
      <x:c r="D3007" s="21" t="str">
        <x:v>"diamond"</x:v>
      </x:c>
    </x:row>
    <x:row r="3008" ht="22" customHeight="1">
      <x:c r="A3008" s="21" t="str">
        <x:v>data/seven_day_login.json</x:v>
      </x:c>
      <x:c r="B3008" s="21" t="str">
        <x:v>$/rewards/6/amount</x:v>
      </x:c>
      <x:c r="C3008" s="21" t="str">
        <x:v>int</x:v>
      </x:c>
      <x:c r="D3008" s="21" t="str">
        <x:v>100</x:v>
      </x:c>
    </x:row>
    <x:row r="3009" ht="22" customHeight="1">
      <x:c r="A3009" s="21" t="str">
        <x:v>data/seven_day_login.json</x:v>
      </x:c>
      <x:c r="B3009" s="21" t="str">
        <x:v>$/rewards/6/extra_unlock</x:v>
      </x:c>
      <x:c r="C3009" s="21" t="str">
        <x:v>string</x:v>
      </x:c>
      <x:c r="D3009" s="21" t="str">
        <x:v>"prep_skin_ice"</x:v>
      </x:c>
    </x:row>
    <x:row r="3010" ht="22" customHeight="1">
      <x:c r="A3010" s="21" t="str">
        <x:v>data/prep_skins.json</x:v>
      </x:c>
      <x:c r="B3010" s="21" t="str">
        <x:v>$</x:v>
      </x:c>
      <x:c r="C3010" s="21" t="str">
        <x:v>object</x:v>
      </x:c>
      <x:c r="D3010" s="21" t="str"/>
    </x:row>
    <x:row r="3011" ht="22" customHeight="1">
      <x:c r="A3011" s="21" t="str">
        <x:v>data/prep_skins.json</x:v>
      </x:c>
      <x:c r="B3011" s="21" t="str">
        <x:v>$/schema_version</x:v>
      </x:c>
      <x:c r="C3011" s="21" t="str">
        <x:v>int</x:v>
      </x:c>
      <x:c r="D3011" s="21" t="str">
        <x:v>1</x:v>
      </x:c>
    </x:row>
    <x:row r="3012" ht="22" customHeight="1">
      <x:c r="A3012" s="21" t="str">
        <x:v>data/prep_skins.json</x:v>
      </x:c>
      <x:c r="B3012" s="21" t="str">
        <x:v>$/_why</x:v>
      </x:c>
      <x:c r="C3012" s="21" t="str">
        <x:v>string</x:v>
      </x:c>
      <x:c r="D3012" s="21" t="str">
        <x:v>"棋盘皮肤的目录：对局里摆放界面的底图等换成哪一套，只换图不碰玩法，在主界面「备战」页换。一张皮肤 = 这里一段 + assets/skins/prep/&lt;id&gt;/ 下的图，文件名固定为 board / river / bench / carrot / shop_button / shop_panel（.png），缺哪张就沿用默认那张；再加一张卡片用的 preview.png。槽位与默认图在 scenes/prep/PrepSkin.gd 的 SLOTS，加皮肤的步骤在 docs/棋盘皮肤.md。"</x:v>
      </x:c>
    </x:row>
    <x:row r="3013" ht="22" customHeight="1">
      <x:c r="A3013" s="21" t="str">
        <x:v>data/prep_skins.json</x:v>
      </x:c>
      <x:c r="B3013" s="21" t="str">
        <x:v>$/_order</x:v>
      </x:c>
      <x:c r="C3013" s="21" t="str">
        <x:v>string</x:v>
      </x:c>
      <x:c r="D3013" s="21" t="str">
        <x:v>"按这里的顺序显示。默认皮肤放第一个，永远免费（不许进 data/shop.json）。"</x:v>
      </x:c>
    </x:row>
    <x:row r="3014" ht="22" customHeight="1">
      <x:c r="A3014" s="21" t="str">
        <x:v>data/prep_skins.json</x:v>
      </x:c>
      <x:c r="B3014" s="21" t="str">
        <x:v>$/_options</x:v>
      </x:c>
      <x:c r="C3014" s="21" t="str">
        <x:v>string</x:v>
      </x:c>
      <x:c r="D3014" s="21" t="str">
        <x:v>"每张皮肤可以另写：firefly_color = [r, g, b] 满场光点的颜色（默认金色萤火虫）；river_glow = false 关掉下河面的流动波光。"</x:v>
      </x:c>
    </x:row>
    <x:row r="3015" ht="22" customHeight="1">
      <x:c r="A3015" s="21" t="str">
        <x:v>data/prep_skins.json</x:v>
      </x:c>
      <x:c r="B3015" s="21" t="str">
        <x:v>$/_sale</x:v>
      </x:c>
      <x:c r="C3015" s="21" t="str">
        <x:v>string</x:v>
      </x:c>
      <x:c r="D3015" s="21" t="str">
        <x:v>"要卖就在 data/shop.json 加一个 kind=prep_skin、grants=这里 id 的商品。不在 shop.json 里的皮肤一律免费。"</x:v>
      </x:c>
    </x:row>
    <x:row r="3016" ht="22" customHeight="1">
      <x:c r="A3016" s="21" t="str">
        <x:v>data/prep_skins.json</x:v>
      </x:c>
      <x:c r="B3016" s="21" t="str">
        <x:v>$/skins</x:v>
      </x:c>
      <x:c r="C3016" s="21" t="str">
        <x:v>array</x:v>
      </x:c>
      <x:c r="D3016" s="21" t="str"/>
    </x:row>
    <x:row r="3017" ht="22" customHeight="1">
      <x:c r="A3017" s="21" t="str">
        <x:v>data/prep_skins.json</x:v>
      </x:c>
      <x:c r="B3017" s="21" t="str">
        <x:v>$/skins/0</x:v>
      </x:c>
      <x:c r="C3017" s="21" t="str">
        <x:v>object</x:v>
      </x:c>
      <x:c r="D3017" s="21" t="str"/>
    </x:row>
    <x:row r="3018" ht="22" customHeight="1">
      <x:c r="A3018" s="21" t="str">
        <x:v>data/prep_skins.json</x:v>
      </x:c>
      <x:c r="B3018" s="21" t="str">
        <x:v>$/skins/0/id</x:v>
      </x:c>
      <x:c r="C3018" s="21" t="str">
        <x:v>string</x:v>
      </x:c>
      <x:c r="D3018" s="21" t="str">
        <x:v>"prep_skin_default"</x:v>
      </x:c>
    </x:row>
    <x:row r="3019" ht="22" customHeight="1">
      <x:c r="A3019" s="21" t="str">
        <x:v>data/prep_skins.json</x:v>
      </x:c>
      <x:c r="B3019" s="21" t="str">
        <x:v>$/skins/0/name</x:v>
      </x:c>
      <x:c r="C3019" s="21" t="str">
        <x:v>string</x:v>
      </x:c>
      <x:c r="D3019" s="21" t="str">
        <x:v>"青草地"</x:v>
      </x:c>
    </x:row>
    <x:row r="3020" ht="22" customHeight="1">
      <x:c r="A3020" s="21" t="str">
        <x:v>data/prep_skins.json</x:v>
      </x:c>
      <x:c r="B3020" s="21" t="str">
        <x:v>$/skins/0/name_en</x:v>
      </x:c>
      <x:c r="C3020" s="21" t="str">
        <x:v>string</x:v>
      </x:c>
      <x:c r="D3020" s="21" t="str">
        <x:v>"Meadow"</x:v>
      </x:c>
    </x:row>
    <x:row r="3021" ht="22" customHeight="1">
      <x:c r="A3021" s="21" t="str">
        <x:v>data/prep_skins.json</x:v>
      </x:c>
      <x:c r="B3021" s="21" t="str">
        <x:v>$/skins/1</x:v>
      </x:c>
      <x:c r="C3021" s="21" t="str">
        <x:v>object</x:v>
      </x:c>
      <x:c r="D3021" s="21" t="str"/>
    </x:row>
    <x:row r="3022" ht="22" customHeight="1">
      <x:c r="A3022" s="21" t="str">
        <x:v>data/prep_skins.json</x:v>
      </x:c>
      <x:c r="B3022" s="21" t="str">
        <x:v>$/skins/1/id</x:v>
      </x:c>
      <x:c r="C3022" s="21" t="str">
        <x:v>string</x:v>
      </x:c>
      <x:c r="D3022" s="21" t="str">
        <x:v>"prep_skin_ice"</x:v>
      </x:c>
    </x:row>
    <x:row r="3023" ht="22" customHeight="1">
      <x:c r="A3023" s="21" t="str">
        <x:v>data/prep_skins.json</x:v>
      </x:c>
      <x:c r="B3023" s="21" t="str">
        <x:v>$/skins/1/name</x:v>
      </x:c>
      <x:c r="C3023" s="21" t="str">
        <x:v>string</x:v>
      </x:c>
      <x:c r="D3023" s="21" t="str">
        <x:v>"冰雪"</x:v>
      </x:c>
    </x:row>
    <x:row r="3024" ht="22" customHeight="1">
      <x:c r="A3024" s="21" t="str">
        <x:v>data/prep_skins.json</x:v>
      </x:c>
      <x:c r="B3024" s="21" t="str">
        <x:v>$/skins/1/name_en</x:v>
      </x:c>
      <x:c r="C3024" s="21" t="str">
        <x:v>string</x:v>
      </x:c>
      <x:c r="D3024" s="21" t="str">
        <x:v>"Frost"</x:v>
      </x:c>
    </x:row>
    <x:row r="3025" ht="22" customHeight="1">
      <x:c r="A3025" s="21" t="str">
        <x:v>data/prep_skins.json</x:v>
      </x:c>
      <x:c r="B3025" s="21" t="str">
        <x:v>$/skins/1/firefly_color</x:v>
      </x:c>
      <x:c r="C3025" s="21" t="str">
        <x:v>array</x:v>
      </x:c>
      <x:c r="D3025" s="21" t="str"/>
    </x:row>
    <x:row r="3026" ht="22" customHeight="1">
      <x:c r="A3026" s="21" t="str">
        <x:v>data/prep_skins.json</x:v>
      </x:c>
      <x:c r="B3026" s="21" t="str">
        <x:v>$/skins/1/firefly_color/0</x:v>
      </x:c>
      <x:c r="C3026" s="21" t="str">
        <x:v>float</x:v>
      </x:c>
      <x:c r="D3026" s="21" t="str">
        <x:v>0.86</x:v>
      </x:c>
    </x:row>
    <x:row r="3027" ht="22" customHeight="1">
      <x:c r="A3027" s="21" t="str">
        <x:v>data/prep_skins.json</x:v>
      </x:c>
      <x:c r="B3027" s="21" t="str">
        <x:v>$/skins/1/firefly_color/1</x:v>
      </x:c>
      <x:c r="C3027" s="21" t="str">
        <x:v>float</x:v>
      </x:c>
      <x:c r="D3027" s="21" t="str">
        <x:v>0.95</x:v>
      </x:c>
    </x:row>
    <x:row r="3028" ht="22" customHeight="1">
      <x:c r="A3028" s="21" t="str">
        <x:v>data/prep_skins.json</x:v>
      </x:c>
      <x:c r="B3028" s="21" t="str">
        <x:v>$/skins/1/firefly_color/2</x:v>
      </x:c>
      <x:c r="C3028" s="21" t="str">
        <x:v>float</x:v>
      </x:c>
      <x:c r="D3028" s="21" t="str">
        <x:v>1.0</x:v>
      </x:c>
    </x:row>
    <x:row r="3029" ht="22" customHeight="1">
      <x:c r="A3029" s="21" t="str">
        <x:v>data/prep_skins.json</x:v>
      </x:c>
      <x:c r="B3029" s="21" t="str">
        <x:v>$/skins/1/river_glow</x:v>
      </x:c>
      <x:c r="C3029" s="21" t="str">
        <x:v>bool</x:v>
      </x:c>
      <x:c r="D3029" s="21" t="str">
        <x:v>false</x:v>
      </x:c>
    </x:row>
    <x:row r="3030">
      <x:c r="A3030" s="21" t="str">
        <x:v>data/shop.json</x:v>
      </x:c>
      <x:c r="B3030" s="21" t="str">
        <x:v>$/items/12</x:v>
      </x:c>
      <x:c r="C3030" s="21" t="str">
        <x:v>object</x:v>
      </x:c>
      <x:c r="D3030" s="21"/>
    </x:row>
    <x:row r="3031">
      <x:c r="A3031" s="21" t="str">
        <x:v>data/shop.json</x:v>
      </x:c>
      <x:c r="B3031" s="21" t="str">
        <x:v>$/items/12/id</x:v>
      </x:c>
      <x:c r="C3031" s="21" t="str">
        <x:v>string</x:v>
      </x:c>
      <x:c r="D3031" s="21" t="str">
        <x:v>"shop_frame_pink_sakura"</x:v>
      </x:c>
    </x:row>
    <x:row r="3032">
      <x:c r="A3032" s="21" t="str">
        <x:v>data/shop.json</x:v>
      </x:c>
      <x:c r="B3032" s="21" t="str">
        <x:v>$/items/12/kind</x:v>
      </x:c>
      <x:c r="C3032" s="21" t="str">
        <x:v>string</x:v>
      </x:c>
      <x:c r="D3032" s="21" t="str">
        <x:v>"avatar_frame"</x:v>
      </x:c>
    </x:row>
    <x:row r="3033">
      <x:c r="A3033" s="21" t="str">
        <x:v>data/shop.json</x:v>
      </x:c>
      <x:c r="B3033" s="21" t="str">
        <x:v>$/items/12/grants</x:v>
      </x:c>
      <x:c r="C3033" s="21" t="str">
        <x:v>string</x:v>
      </x:c>
      <x:c r="D3033" s="21" t="str">
        <x:v>"preset:avatar_frame_shop_06"</x:v>
      </x:c>
    </x:row>
    <x:row r="3034">
      <x:c r="A3034" s="21" t="str">
        <x:v>data/shop.json</x:v>
      </x:c>
      <x:c r="B3034" s="21" t="str">
        <x:v>$/items/12/currency</x:v>
      </x:c>
      <x:c r="C3034" s="21" t="str">
        <x:v>string</x:v>
      </x:c>
      <x:c r="D3034" s="21" t="str">
        <x:v>"coin"</x:v>
      </x:c>
    </x:row>
    <x:row r="3035">
      <x:c r="A3035" s="21" t="str">
        <x:v>data/shop.json</x:v>
      </x:c>
      <x:c r="B3035" s="21" t="str">
        <x:v>$/items/12/price</x:v>
      </x:c>
      <x:c r="C3035" s="21" t="str">
        <x:v>int</x:v>
      </x:c>
      <x:c r="D3035" s="21" t="str">
        <x:v>600</x:v>
      </x:c>
    </x:row>
    <x:row r="3036">
      <x:c r="A3036" s="21" t="str">
        <x:v>data/shop.json</x:v>
      </x:c>
      <x:c r="B3036" s="21" t="str">
        <x:v>$/items/12/name</x:v>
      </x:c>
      <x:c r="C3036" s="21" t="str">
        <x:v>string</x:v>
      </x:c>
      <x:c r="D3036" s="21" t="str">
        <x:v>"樱晶蝶语"</x:v>
      </x:c>
    </x:row>
    <x:row r="3037">
      <x:c r="A3037" s="21" t="str">
        <x:v>data/shop.json</x:v>
      </x:c>
      <x:c r="B3037" s="21" t="str">
        <x:v>$/items/12/name_en</x:v>
      </x:c>
      <x:c r="C3037" s="21" t="str">
        <x:v>string</x:v>
      </x:c>
      <x:c r="D3037" s="21" t="str">
        <x:v>"Sakura Crystal"</x:v>
      </x:c>
    </x:row>
    <x:row r="3038" ht="22" customHeight="1">
      <x:c r="A3038" s="21" t="str">
        <x:v>data/avatars.json</x:v>
      </x:c>
      <x:c r="B3038" s="21" t="str">
        <x:v>$</x:v>
      </x:c>
      <x:c r="C3038" s="21" t="str">
        <x:v>object</x:v>
      </x:c>
      <x:c r="D3038" s="21" t="str"/>
    </x:row>
    <x:row r="3039" ht="22" customHeight="1">
      <x:c r="A3039" s="21" t="str">
        <x:v>data/avatars.json</x:v>
      </x:c>
      <x:c r="B3039" s="21" t="str">
        <x:v>$/schema_version</x:v>
      </x:c>
      <x:c r="C3039" s="21" t="str">
        <x:v>int</x:v>
      </x:c>
      <x:c r="D3039" s="21" t="str">
        <x:v>1</x:v>
      </x:c>
    </x:row>
    <x:row r="3040" ht="22" customHeight="1">
      <x:c r="A3040" s="21" t="str">
        <x:v>data/avatars.json</x:v>
      </x:c>
      <x:c r="B3040" s="21" t="str">
        <x:v>$/_why</x:v>
      </x:c>
      <x:c r="C3040" s="21" t="str">
        <x:v>string</x:v>
      </x:c>
      <x:c r="D3040" s="21" t="str">
        <x:v>"头像 id 与单位 id 刻意脱钩。数据库里存的是 avatar_0NN，永不改变；美术改名、重做、替换只改这里的 source 一行，玩家数据一行都不用动。理由与事故先例（pet_duck→pet_rabbit）见 docs/玩家资料系统设计.md 第四节。"</x:v>
      </x:c>
    </x:row>
    <x:row r="3041" ht="22" customHeight="1">
      <x:c r="A3041" s="21" t="str">
        <x:v>data/avatars.json</x:v>
      </x:c>
      <x:c r="B3041" s="21" t="str">
        <x:v>$/default_id</x:v>
      </x:c>
      <x:c r="C3041" s="21" t="str">
        <x:v>string</x:v>
      </x:c>
      <x:c r="D3041" s="21" t="str">
        <x:v>"avatar_001"</x:v>
      </x:c>
    </x:row>
    <x:row r="3042" ht="22" customHeight="1">
      <x:c r="A3042" s="21" t="str">
        <x:v>data/avatars.json</x:v>
      </x:c>
      <x:c r="B3042" s="21" t="str">
        <x:v>$/default_frame_id</x:v>
      </x:c>
      <x:c r="C3042" s="21" t="str">
        <x:v>string</x:v>
      </x:c>
      <x:c r="D3042" s="21" t="str">
        <x:v>"frame_default"</x:v>
      </x:c>
    </x:row>
    <x:row r="3043" ht="22" customHeight="1">
      <x:c r="A3043" s="21" t="str">
        <x:v>data/avatars.json</x:v>
      </x:c>
      <x:c r="B3043" s="21" t="str">
        <x:v>$/thumb_size</x:v>
      </x:c>
      <x:c r="C3043" s="21" t="str">
        <x:v>int</x:v>
      </x:c>
      <x:c r="D3043" s="21" t="str">
        <x:v>128</x:v>
      </x:c>
    </x:row>
    <x:row r="3044" ht="22" customHeight="1">
      <x:c r="A3044" s="21" t="str">
        <x:v>data/avatars.json</x:v>
      </x:c>
      <x:c r="B3044" s="21" t="str">
        <x:v>$/thumb_dir</x:v>
      </x:c>
      <x:c r="C3044" s="21" t="str">
        <x:v>string</x:v>
      </x:c>
      <x:c r="D3044" s="21" t="str">
        <x:v>"res://assets/ui/avatars/thumb"</x:v>
      </x:c>
    </x:row>
    <x:row r="3045" ht="22" customHeight="1">
      <x:c r="A3045" s="21" t="str">
        <x:v>data/avatars.json</x:v>
      </x:c>
      <x:c r="B3045" s="21" t="str">
        <x:v>$/_frames_why</x:v>
      </x:c>
      <x:c r="C3045" s="21" t="str">
        <x:v>string</x:v>
      </x:c>
      <x:c r="D3045" s="21" t="str">
        <x:v>"头像框这一版 UI 只有默认框，清单先建好。它是最便宜的奖励载体（一张图、零逻辑），现在留位比以后加迁移便宜。"</x:v>
      </x:c>
    </x:row>
    <x:row r="3046" ht="22" customHeight="1">
      <x:c r="A3046" s="21" t="str">
        <x:v>data/avatars.json</x:v>
      </x:c>
      <x:c r="B3046" s="21" t="str">
        <x:v>$/frames</x:v>
      </x:c>
      <x:c r="C3046" s="21" t="str">
        <x:v>array</x:v>
      </x:c>
      <x:c r="D3046" s="21" t="str"/>
    </x:row>
    <x:row r="3047" ht="22" customHeight="1">
      <x:c r="A3047" s="21" t="str">
        <x:v>data/avatars.json</x:v>
      </x:c>
      <x:c r="B3047" s="21" t="str">
        <x:v>$/frames/0</x:v>
      </x:c>
      <x:c r="C3047" s="21" t="str">
        <x:v>object</x:v>
      </x:c>
      <x:c r="D3047" s="21" t="str"/>
    </x:row>
    <x:row r="3048" ht="22" customHeight="1">
      <x:c r="A3048" s="21" t="str">
        <x:v>data/avatars.json</x:v>
      </x:c>
      <x:c r="B3048" s="21" t="str">
        <x:v>$/frames/0/id</x:v>
      </x:c>
      <x:c r="C3048" s="21" t="str">
        <x:v>string</x:v>
      </x:c>
      <x:c r="D3048" s="21" t="str">
        <x:v>"frame_default"</x:v>
      </x:c>
    </x:row>
    <x:row r="3049" ht="22" customHeight="1">
      <x:c r="A3049" s="21" t="str">
        <x:v>data/avatars.json</x:v>
      </x:c>
      <x:c r="B3049" s="21" t="str">
        <x:v>$/frames/0/name</x:v>
      </x:c>
      <x:c r="C3049" s="21" t="str">
        <x:v>string</x:v>
      </x:c>
      <x:c r="D3049" s="21" t="str">
        <x:v>"默认"</x:v>
      </x:c>
    </x:row>
    <x:row r="3050" ht="22" customHeight="1">
      <x:c r="A3050" s="21" t="str">
        <x:v>data/avatars.json</x:v>
      </x:c>
      <x:c r="B3050" s="21" t="str">
        <x:v>$/frames/0/name_en</x:v>
      </x:c>
      <x:c r="C3050" s="21" t="str">
        <x:v>string</x:v>
      </x:c>
      <x:c r="D3050" s="21" t="str">
        <x:v>"Default"</x:v>
      </x:c>
    </x:row>
    <x:row r="3051" ht="22" customHeight="1">
      <x:c r="A3051" s="21" t="str">
        <x:v>data/avatars.json</x:v>
      </x:c>
      <x:c r="B3051" s="21" t="str">
        <x:v>$/frames/0/source</x:v>
      </x:c>
      <x:c r="C3051" s="21" t="str">
        <x:v>string</x:v>
      </x:c>
      <x:c r="D3051" s="21" t="str">
        <x:v>"res://assets/ui/main_menu_live/profile_avatar.png"</x:v>
      </x:c>
    </x:row>
    <x:row r="3052" ht="22" customHeight="1">
      <x:c r="A3052" s="21" t="str">
        <x:v>data/avatars.json</x:v>
      </x:c>
      <x:c r="B3052" s="21" t="str">
        <x:v>$/frames/1</x:v>
      </x:c>
      <x:c r="C3052" s="21" t="str">
        <x:v>object</x:v>
      </x:c>
      <x:c r="D3052" s="21" t="str"/>
    </x:row>
    <x:row r="3053" ht="22" customHeight="1">
      <x:c r="A3053" s="21" t="str">
        <x:v>data/avatars.json</x:v>
      </x:c>
      <x:c r="B3053" s="21" t="str">
        <x:v>$/frames/1/id</x:v>
      </x:c>
      <x:c r="C3053" s="21" t="str">
        <x:v>string</x:v>
      </x:c>
      <x:c r="D3053" s="21" t="str">
        <x:v>"avatar_frame_7day_01"</x:v>
      </x:c>
    </x:row>
    <x:row r="3054" ht="22" customHeight="1">
      <x:c r="A3054" s="21" t="str">
        <x:v>data/avatars.json</x:v>
      </x:c>
      <x:c r="B3054" s="21" t="str">
        <x:v>$/frames/1/name</x:v>
      </x:c>
      <x:c r="C3054" s="21" t="str">
        <x:v>string</x:v>
      </x:c>
      <x:c r="D3054" s="21" t="str">
        <x:v>"冰雪七日"</x:v>
      </x:c>
    </x:row>
    <x:row r="3055" ht="22" customHeight="1">
      <x:c r="A3055" s="21" t="str">
        <x:v>data/avatars.json</x:v>
      </x:c>
      <x:c r="B3055" s="21" t="str">
        <x:v>$/frames/1/name_en</x:v>
      </x:c>
      <x:c r="C3055" s="21" t="str">
        <x:v>string</x:v>
      </x:c>
      <x:c r="D3055" s="21" t="str">
        <x:v>"Frost Seven-Day"</x:v>
      </x:c>
    </x:row>
    <x:row r="3056" ht="22" customHeight="1">
      <x:c r="A3056" s="21" t="str">
        <x:v>data/avatars.json</x:v>
      </x:c>
      <x:c r="B3056" s="21" t="str">
        <x:v>$/frames/1/source</x:v>
      </x:c>
      <x:c r="C3056" s="21" t="str">
        <x:v>string</x:v>
      </x:c>
      <x:c r="D3056" s="21" t="str">
        <x:v>"res://assets/ui/shop/frame_7day_ice.png"</x:v>
      </x:c>
    </x:row>
    <x:row r="3057" ht="22" customHeight="1">
      <x:c r="A3057" s="21" t="str">
        <x:v>data/avatars.json</x:v>
      </x:c>
      <x:c r="B3057" s="21" t="str">
        <x:v>$/frames/2</x:v>
      </x:c>
      <x:c r="C3057" s="21" t="str">
        <x:v>object</x:v>
      </x:c>
      <x:c r="D3057" s="21" t="str"/>
    </x:row>
    <x:row r="3058" ht="22" customHeight="1">
      <x:c r="A3058" s="21" t="str">
        <x:v>data/avatars.json</x:v>
      </x:c>
      <x:c r="B3058" s="21" t="str">
        <x:v>$/frames/2/id</x:v>
      </x:c>
      <x:c r="C3058" s="21" t="str">
        <x:v>string</x:v>
      </x:c>
      <x:c r="D3058" s="21" t="str">
        <x:v>"avatar_frame_shop_01"</x:v>
      </x:c>
    </x:row>
    <x:row r="3059" ht="22" customHeight="1">
      <x:c r="A3059" s="21" t="str">
        <x:v>data/avatars.json</x:v>
      </x:c>
      <x:c r="B3059" s="21" t="str">
        <x:v>$/frames/2/name</x:v>
      </x:c>
      <x:c r="C3059" s="21" t="str">
        <x:v>string</x:v>
      </x:c>
      <x:c r="D3059" s="21" t="str">
        <x:v>"翡翠森境"</x:v>
      </x:c>
    </x:row>
    <x:row r="3060" ht="22" customHeight="1">
      <x:c r="A3060" s="21" t="str">
        <x:v>data/avatars.json</x:v>
      </x:c>
      <x:c r="B3060" s="21" t="str">
        <x:v>$/frames/2/name_en</x:v>
      </x:c>
      <x:c r="C3060" s="21" t="str">
        <x:v>string</x:v>
      </x:c>
      <x:c r="D3060" s="21" t="str">
        <x:v>"Emerald Grove"</x:v>
      </x:c>
    </x:row>
    <x:row r="3061" ht="22" customHeight="1">
      <x:c r="A3061" s="21" t="str">
        <x:v>data/avatars.json</x:v>
      </x:c>
      <x:c r="B3061" s="21" t="str">
        <x:v>$/frames/2/source</x:v>
      </x:c>
      <x:c r="C3061" s="21" t="str">
        <x:v>string</x:v>
      </x:c>
      <x:c r="D3061" s="21" t="str">
        <x:v>"res://assets/ui/shop/headframes/emerald.png"</x:v>
      </x:c>
    </x:row>
    <x:row r="3062" ht="22" customHeight="1">
      <x:c r="A3062" s="21" t="str">
        <x:v>data/avatars.json</x:v>
      </x:c>
      <x:c r="B3062" s="21" t="str">
        <x:v>$/frames/3</x:v>
      </x:c>
      <x:c r="C3062" s="21" t="str">
        <x:v>object</x:v>
      </x:c>
      <x:c r="D3062" s="21" t="str"/>
    </x:row>
    <x:row r="3063" ht="22" customHeight="1">
      <x:c r="A3063" s="21" t="str">
        <x:v>data/avatars.json</x:v>
      </x:c>
      <x:c r="B3063" s="21" t="str">
        <x:v>$/frames/3/id</x:v>
      </x:c>
      <x:c r="C3063" s="21" t="str">
        <x:v>string</x:v>
      </x:c>
      <x:c r="D3063" s="21" t="str">
        <x:v>"avatar_frame_shop_02"</x:v>
      </x:c>
    </x:row>
    <x:row r="3064" ht="22" customHeight="1">
      <x:c r="A3064" s="21" t="str">
        <x:v>data/avatars.json</x:v>
      </x:c>
      <x:c r="B3064" s="21" t="str">
        <x:v>$/frames/3/name</x:v>
      </x:c>
      <x:c r="C3064" s="21" t="str">
        <x:v>string</x:v>
      </x:c>
      <x:c r="D3064" s="21" t="str">
        <x:v>"霜晶王冠"</x:v>
      </x:c>
    </x:row>
    <x:row r="3065" ht="22" customHeight="1">
      <x:c r="A3065" s="21" t="str">
        <x:v>data/avatars.json</x:v>
      </x:c>
      <x:c r="B3065" s="21" t="str">
        <x:v>$/frames/3/name_en</x:v>
      </x:c>
      <x:c r="C3065" s="21" t="str">
        <x:v>string</x:v>
      </x:c>
      <x:c r="D3065" s="21" t="str">
        <x:v>"Frost Crown"</x:v>
      </x:c>
    </x:row>
    <x:row r="3066" ht="22" customHeight="1">
      <x:c r="A3066" s="21" t="str">
        <x:v>data/avatars.json</x:v>
      </x:c>
      <x:c r="B3066" s="21" t="str">
        <x:v>$/frames/3/source</x:v>
      </x:c>
      <x:c r="C3066" s="21" t="str">
        <x:v>string</x:v>
      </x:c>
      <x:c r="D3066" s="21" t="str">
        <x:v>"res://assets/ui/shop/headframes/frost.png"</x:v>
      </x:c>
    </x:row>
    <x:row r="3067" ht="22" customHeight="1">
      <x:c r="A3067" s="21" t="str">
        <x:v>data/avatars.json</x:v>
      </x:c>
      <x:c r="B3067" s="21" t="str">
        <x:v>$/frames/4</x:v>
      </x:c>
      <x:c r="C3067" s="21" t="str">
        <x:v>object</x:v>
      </x:c>
      <x:c r="D3067" s="21" t="str"/>
    </x:row>
    <x:row r="3068" ht="22" customHeight="1">
      <x:c r="A3068" s="21" t="str">
        <x:v>data/avatars.json</x:v>
      </x:c>
      <x:c r="B3068" s="21" t="str">
        <x:v>$/frames/4/id</x:v>
      </x:c>
      <x:c r="C3068" s="21" t="str">
        <x:v>string</x:v>
      </x:c>
      <x:c r="D3068" s="21" t="str">
        <x:v>"avatar_frame_shop_03"</x:v>
      </x:c>
    </x:row>
    <x:row r="3069" ht="22" customHeight="1">
      <x:c r="A3069" s="21" t="str">
        <x:v>data/avatars.json</x:v>
      </x:c>
      <x:c r="B3069" s="21" t="str">
        <x:v>$/frames/4/name</x:v>
      </x:c>
      <x:c r="C3069" s="21" t="str">
        <x:v>string</x:v>
      </x:c>
      <x:c r="D3069" s="21" t="str">
        <x:v>"鎏金龙鳞"</x:v>
      </x:c>
    </x:row>
    <x:row r="3070" ht="22" customHeight="1">
      <x:c r="A3070" s="21" t="str">
        <x:v>data/avatars.json</x:v>
      </x:c>
      <x:c r="B3070" s="21" t="str">
        <x:v>$/frames/4/name_en</x:v>
      </x:c>
      <x:c r="C3070" s="21" t="str">
        <x:v>string</x:v>
      </x:c>
      <x:c r="D3070" s="21" t="str">
        <x:v>"Gilded Dragon"</x:v>
      </x:c>
    </x:row>
    <x:row r="3071" ht="22" customHeight="1">
      <x:c r="A3071" s="21" t="str">
        <x:v>data/avatars.json</x:v>
      </x:c>
      <x:c r="B3071" s="21" t="str">
        <x:v>$/frames/4/source</x:v>
      </x:c>
      <x:c r="C3071" s="21" t="str">
        <x:v>string</x:v>
      </x:c>
      <x:c r="D3071" s="21" t="str">
        <x:v>"res://assets/ui/shop/headframes/dragon.png"</x:v>
      </x:c>
    </x:row>
    <x:row r="3072" ht="22" customHeight="1">
      <x:c r="A3072" s="21" t="str">
        <x:v>data/avatars.json</x:v>
      </x:c>
      <x:c r="B3072" s="21" t="str">
        <x:v>$/frames/5</x:v>
      </x:c>
      <x:c r="C3072" s="21" t="str">
        <x:v>object</x:v>
      </x:c>
      <x:c r="D3072" s="21" t="str"/>
    </x:row>
    <x:row r="3073" ht="22" customHeight="1">
      <x:c r="A3073" s="21" t="str">
        <x:v>data/avatars.json</x:v>
      </x:c>
      <x:c r="B3073" s="21" t="str">
        <x:v>$/frames/5/id</x:v>
      </x:c>
      <x:c r="C3073" s="21" t="str">
        <x:v>string</x:v>
      </x:c>
      <x:c r="D3073" s="21" t="str">
        <x:v>"avatar_frame_shop_04"</x:v>
      </x:c>
    </x:row>
    <x:row r="3074" ht="22" customHeight="1">
      <x:c r="A3074" s="21" t="str">
        <x:v>data/avatars.json</x:v>
      </x:c>
      <x:c r="B3074" s="21" t="str">
        <x:v>$/frames/5/name</x:v>
      </x:c>
      <x:c r="C3074" s="21" t="str">
        <x:v>string</x:v>
      </x:c>
      <x:c r="D3074" s="21" t="str">
        <x:v>"星穹秘环"</x:v>
      </x:c>
    </x:row>
    <x:row r="3075" ht="22" customHeight="1">
      <x:c r="A3075" s="21" t="str">
        <x:v>data/avatars.json</x:v>
      </x:c>
      <x:c r="B3075" s="21" t="str">
        <x:v>$/frames/5/name_en</x:v>
      </x:c>
      <x:c r="C3075" s="21" t="str">
        <x:v>string</x:v>
      </x:c>
      <x:c r="D3075" s="21" t="str">
        <x:v>"Astral Halo"</x:v>
      </x:c>
    </x:row>
    <x:row r="3076" ht="22" customHeight="1">
      <x:c r="A3076" s="21" t="str">
        <x:v>data/avatars.json</x:v>
      </x:c>
      <x:c r="B3076" s="21" t="str">
        <x:v>$/frames/5/source</x:v>
      </x:c>
      <x:c r="C3076" s="21" t="str">
        <x:v>string</x:v>
      </x:c>
      <x:c r="D3076" s="21" t="str">
        <x:v>"res://assets/ui/shop/headframes/astral.png"</x:v>
      </x:c>
    </x:row>
    <x:row r="3077" ht="22" customHeight="1">
      <x:c r="A3077" s="21" t="str">
        <x:v>data/avatars.json</x:v>
      </x:c>
      <x:c r="B3077" s="21" t="str">
        <x:v>$/frames/6</x:v>
      </x:c>
      <x:c r="C3077" s="21" t="str">
        <x:v>object</x:v>
      </x:c>
      <x:c r="D3077" s="21" t="str"/>
    </x:row>
    <x:row r="3078" ht="22" customHeight="1">
      <x:c r="A3078" s="21" t="str">
        <x:v>data/avatars.json</x:v>
      </x:c>
      <x:c r="B3078" s="21" t="str">
        <x:v>$/frames/6/id</x:v>
      </x:c>
      <x:c r="C3078" s="21" t="str">
        <x:v>string</x:v>
      </x:c>
      <x:c r="D3078" s="21" t="str">
        <x:v>"avatar_frame_shop_05"</x:v>
      </x:c>
    </x:row>
    <x:row r="3079" ht="22" customHeight="1">
      <x:c r="A3079" s="21" t="str">
        <x:v>data/avatars.json</x:v>
      </x:c>
      <x:c r="B3079" s="21" t="str">
        <x:v>$/frames/6/name</x:v>
      </x:c>
      <x:c r="C3079" s="21" t="str">
        <x:v>string</x:v>
      </x:c>
      <x:c r="D3079" s="21" t="str">
        <x:v>"炽焰之心"</x:v>
      </x:c>
    </x:row>
    <x:row r="3080" ht="22" customHeight="1">
      <x:c r="A3080" s="21" t="str">
        <x:v>data/avatars.json</x:v>
      </x:c>
      <x:c r="B3080" s="21" t="str">
        <x:v>$/frames/6/name_en</x:v>
      </x:c>
      <x:c r="C3080" s="21" t="str">
        <x:v>string</x:v>
      </x:c>
      <x:c r="D3080" s="21" t="str">
        <x:v>"Inferno Heart"</x:v>
      </x:c>
    </x:row>
    <x:row r="3081" ht="22" customHeight="1">
      <x:c r="A3081" s="21" t="str">
        <x:v>data/avatars.json</x:v>
      </x:c>
      <x:c r="B3081" s="21" t="str">
        <x:v>$/frames/6/source</x:v>
      </x:c>
      <x:c r="C3081" s="21" t="str">
        <x:v>string</x:v>
      </x:c>
      <x:c r="D3081" s="21" t="str">
        <x:v>"res://assets/ui/shop/headframes/inferno.png"</x:v>
      </x:c>
    </x:row>
    <x:row r="3082" ht="22" customHeight="1">
      <x:c r="A3082" s="21" t="str">
        <x:v>data/avatars.json</x:v>
      </x:c>
      <x:c r="B3082" s="21" t="str">
        <x:v>$/frames/7</x:v>
      </x:c>
      <x:c r="C3082" s="21" t="str">
        <x:v>object</x:v>
      </x:c>
      <x:c r="D3082" s="21" t="str"/>
    </x:row>
    <x:row r="3083" ht="22" customHeight="1">
      <x:c r="A3083" s="21" t="str">
        <x:v>data/avatars.json</x:v>
      </x:c>
      <x:c r="B3083" s="21" t="str">
        <x:v>$/frames/7/id</x:v>
      </x:c>
      <x:c r="C3083" s="21" t="str">
        <x:v>string</x:v>
      </x:c>
      <x:c r="D3083" s="21" t="str">
        <x:v>"avatar_frame_shop_06"</x:v>
      </x:c>
    </x:row>
    <x:row r="3084" ht="22" customHeight="1">
      <x:c r="A3084" s="21" t="str">
        <x:v>data/avatars.json</x:v>
      </x:c>
      <x:c r="B3084" s="21" t="str">
        <x:v>$/frames/7/name</x:v>
      </x:c>
      <x:c r="C3084" s="21" t="str">
        <x:v>string</x:v>
      </x:c>
      <x:c r="D3084" s="21" t="str">
        <x:v>"樱晶蝶语"</x:v>
      </x:c>
    </x:row>
    <x:row r="3085" ht="22" customHeight="1">
      <x:c r="A3085" s="21" t="str">
        <x:v>data/avatars.json</x:v>
      </x:c>
      <x:c r="B3085" s="21" t="str">
        <x:v>$/frames/7/name_en</x:v>
      </x:c>
      <x:c r="C3085" s="21" t="str">
        <x:v>string</x:v>
      </x:c>
      <x:c r="D3085" s="21" t="str">
        <x:v>"Sakura Crystal"</x:v>
      </x:c>
    </x:row>
    <x:row r="3086" ht="22" customHeight="1">
      <x:c r="A3086" s="21" t="str">
        <x:v>data/avatars.json</x:v>
      </x:c>
      <x:c r="B3086" s="21" t="str">
        <x:v>$/frames/7/source</x:v>
      </x:c>
      <x:c r="C3086" s="21" t="str">
        <x:v>string</x:v>
      </x:c>
      <x:c r="D3086" s="21" t="str">
        <x:v>"res://assets/ui/shop/headframes/pink_sakura.png"</x:v>
      </x:c>
    </x:row>
    <x:row r="3087" ht="22" customHeight="1">
      <x:c r="A3087" s="21" t="str">
        <x:v>data/avatars.json</x:v>
      </x:c>
      <x:c r="B3087" s="21" t="str">
        <x:v>$/avatars</x:v>
      </x:c>
      <x:c r="C3087" s="21" t="str">
        <x:v>array</x:v>
      </x:c>
      <x:c r="D3087" s="21" t="str"/>
    </x:row>
    <x:row r="3088" ht="22" customHeight="1">
      <x:c r="A3088" s="21" t="str">
        <x:v>data/avatars.json</x:v>
      </x:c>
      <x:c r="B3088" s="21" t="str">
        <x:v>$/avatars/0</x:v>
      </x:c>
      <x:c r="C3088" s="21" t="str">
        <x:v>object</x:v>
      </x:c>
      <x:c r="D3088" s="21" t="str"/>
    </x:row>
    <x:row r="3089" ht="22" customHeight="1">
      <x:c r="A3089" s="21" t="str">
        <x:v>data/avatars.json</x:v>
      </x:c>
      <x:c r="B3089" s="21" t="str">
        <x:v>$/avatars/0/id</x:v>
      </x:c>
      <x:c r="C3089" s="21" t="str">
        <x:v>string</x:v>
      </x:c>
      <x:c r="D3089" s="21" t="str">
        <x:v>"avatar_001"</x:v>
      </x:c>
    </x:row>
    <x:row r="3090" ht="22" customHeight="1">
      <x:c r="A3090" s="21" t="str">
        <x:v>data/avatars.json</x:v>
      </x:c>
      <x:c r="B3090" s="21" t="str">
        <x:v>$/avatars/0/name</x:v>
      </x:c>
      <x:c r="C3090" s="21" t="str">
        <x:v>string</x:v>
      </x:c>
      <x:c r="D3090" s="21" t="str">
        <x:v>"人族国王"</x:v>
      </x:c>
    </x:row>
    <x:row r="3091" ht="22" customHeight="1">
      <x:c r="A3091" s="21" t="str">
        <x:v>data/avatars.json</x:v>
      </x:c>
      <x:c r="B3091" s="21" t="str">
        <x:v>$/avatars/0/name_en</x:v>
      </x:c>
      <x:c r="C3091" s="21" t="str">
        <x:v>string</x:v>
      </x:c>
      <x:c r="D3091" s="21" t="str">
        <x:v>"Human King"</x:v>
      </x:c>
    </x:row>
    <x:row r="3092" ht="22" customHeight="1">
      <x:c r="A3092" s="21" t="str">
        <x:v>data/avatars.json</x:v>
      </x:c>
      <x:c r="B3092" s="21" t="str">
        <x:v>$/avatars/0/source</x:v>
      </x:c>
      <x:c r="C3092" s="21" t="str">
        <x:v>string</x:v>
      </x:c>
      <x:c r="D3092" s="21" t="str">
        <x:v>"res://assets/ui/unit_portraits/human_king.png"</x:v>
      </x:c>
    </x:row>
    <x:row r="3093" ht="22" customHeight="1">
      <x:c r="A3093" s="21" t="str">
        <x:v>data/avatars.json</x:v>
      </x:c>
      <x:c r="B3093" s="21" t="str">
        <x:v>$/avatars/0/group</x:v>
      </x:c>
      <x:c r="C3093" s="21" t="str">
        <x:v>string</x:v>
      </x:c>
      <x:c r="D3093" s="21" t="str">
        <x:v>"human"</x:v>
      </x:c>
    </x:row>
    <x:row r="3094" ht="22" customHeight="1">
      <x:c r="A3094" s="21" t="str">
        <x:v>data/avatars.json</x:v>
      </x:c>
      <x:c r="B3094" s="21" t="str">
        <x:v>$/avatars/1</x:v>
      </x:c>
      <x:c r="C3094" s="21" t="str">
        <x:v>object</x:v>
      </x:c>
      <x:c r="D3094" s="21" t="str"/>
    </x:row>
    <x:row r="3095" ht="22" customHeight="1">
      <x:c r="A3095" s="21" t="str">
        <x:v>data/avatars.json</x:v>
      </x:c>
      <x:c r="B3095" s="21" t="str">
        <x:v>$/avatars/1/id</x:v>
      </x:c>
      <x:c r="C3095" s="21" t="str">
        <x:v>string</x:v>
      </x:c>
      <x:c r="D3095" s="21" t="str">
        <x:v>"avatar_002"</x:v>
      </x:c>
    </x:row>
    <x:row r="3096" ht="22" customHeight="1">
      <x:c r="A3096" s="21" t="str">
        <x:v>data/avatars.json</x:v>
      </x:c>
      <x:c r="B3096" s="21" t="str">
        <x:v>$/avatars/1/name</x:v>
      </x:c>
      <x:c r="C3096" s="21" t="str">
        <x:v>string</x:v>
      </x:c>
      <x:c r="D3096" s="21" t="str">
        <x:v>"人族剑士"</x:v>
      </x:c>
    </x:row>
    <x:row r="3097" ht="22" customHeight="1">
      <x:c r="A3097" s="21" t="str">
        <x:v>data/avatars.json</x:v>
      </x:c>
      <x:c r="B3097" s="21" t="str">
        <x:v>$/avatars/1/name_en</x:v>
      </x:c>
      <x:c r="C3097" s="21" t="str">
        <x:v>string</x:v>
      </x:c>
      <x:c r="D3097" s="21" t="str">
        <x:v>"Swordsman"</x:v>
      </x:c>
    </x:row>
    <x:row r="3098" ht="22" customHeight="1">
      <x:c r="A3098" s="21" t="str">
        <x:v>data/avatars.json</x:v>
      </x:c>
      <x:c r="B3098" s="21" t="str">
        <x:v>$/avatars/1/source</x:v>
      </x:c>
      <x:c r="C3098" s="21" t="str">
        <x:v>string</x:v>
      </x:c>
      <x:c r="D3098" s="21" t="str">
        <x:v>"res://assets/ui/unit_portraits/human_swordsman.png"</x:v>
      </x:c>
    </x:row>
    <x:row r="3099" ht="22" customHeight="1">
      <x:c r="A3099" s="21" t="str">
        <x:v>data/avatars.json</x:v>
      </x:c>
      <x:c r="B3099" s="21" t="str">
        <x:v>$/avatars/1/group</x:v>
      </x:c>
      <x:c r="C3099" s="21" t="str">
        <x:v>string</x:v>
      </x:c>
      <x:c r="D3099" s="21" t="str">
        <x:v>"human"</x:v>
      </x:c>
    </x:row>
    <x:row r="3100" ht="22" customHeight="1">
      <x:c r="A3100" s="21" t="str">
        <x:v>data/avatars.json</x:v>
      </x:c>
      <x:c r="B3100" s="21" t="str">
        <x:v>$/avatars/2</x:v>
      </x:c>
      <x:c r="C3100" s="21" t="str">
        <x:v>object</x:v>
      </x:c>
      <x:c r="D3100" s="21" t="str"/>
    </x:row>
    <x:row r="3101" ht="22" customHeight="1">
      <x:c r="A3101" s="21" t="str">
        <x:v>data/avatars.json</x:v>
      </x:c>
      <x:c r="B3101" s="21" t="str">
        <x:v>$/avatars/2/id</x:v>
      </x:c>
      <x:c r="C3101" s="21" t="str">
        <x:v>string</x:v>
      </x:c>
      <x:c r="D3101" s="21" t="str">
        <x:v>"avatar_003"</x:v>
      </x:c>
    </x:row>
    <x:row r="3102" ht="22" customHeight="1">
      <x:c r="A3102" s="21" t="str">
        <x:v>data/avatars.json</x:v>
      </x:c>
      <x:c r="B3102" s="21" t="str">
        <x:v>$/avatars/2/name</x:v>
      </x:c>
      <x:c r="C3102" s="21" t="str">
        <x:v>string</x:v>
      </x:c>
      <x:c r="D3102" s="21" t="str">
        <x:v>"人族弓手"</x:v>
      </x:c>
    </x:row>
    <x:row r="3103" ht="22" customHeight="1">
      <x:c r="A3103" s="21" t="str">
        <x:v>data/avatars.json</x:v>
      </x:c>
      <x:c r="B3103" s="21" t="str">
        <x:v>$/avatars/2/name_en</x:v>
      </x:c>
      <x:c r="C3103" s="21" t="str">
        <x:v>string</x:v>
      </x:c>
      <x:c r="D3103" s="21" t="str">
        <x:v>"Archer"</x:v>
      </x:c>
    </x:row>
    <x:row r="3104" ht="22" customHeight="1">
      <x:c r="A3104" s="21" t="str">
        <x:v>data/avatars.json</x:v>
      </x:c>
      <x:c r="B3104" s="21" t="str">
        <x:v>$/avatars/2/source</x:v>
      </x:c>
      <x:c r="C3104" s="21" t="str">
        <x:v>string</x:v>
      </x:c>
      <x:c r="D3104" s="21" t="str">
        <x:v>"res://assets/ui/unit_portraits/human_archer.png"</x:v>
      </x:c>
    </x:row>
    <x:row r="3105" ht="22" customHeight="1">
      <x:c r="A3105" s="21" t="str">
        <x:v>data/avatars.json</x:v>
      </x:c>
      <x:c r="B3105" s="21" t="str">
        <x:v>$/avatars/2/group</x:v>
      </x:c>
      <x:c r="C3105" s="21" t="str">
        <x:v>string</x:v>
      </x:c>
      <x:c r="D3105" s="21" t="str">
        <x:v>"human"</x:v>
      </x:c>
    </x:row>
    <x:row r="3106" ht="22" customHeight="1">
      <x:c r="A3106" s="21" t="str">
        <x:v>data/avatars.json</x:v>
      </x:c>
      <x:c r="B3106" s="21" t="str">
        <x:v>$/avatars/3</x:v>
      </x:c>
      <x:c r="C3106" s="21" t="str">
        <x:v>object</x:v>
      </x:c>
      <x:c r="D3106" s="21" t="str"/>
    </x:row>
    <x:row r="3107" ht="22" customHeight="1">
      <x:c r="A3107" s="21" t="str">
        <x:v>data/avatars.json</x:v>
      </x:c>
      <x:c r="B3107" s="21" t="str">
        <x:v>$/avatars/3/id</x:v>
      </x:c>
      <x:c r="C3107" s="21" t="str">
        <x:v>string</x:v>
      </x:c>
      <x:c r="D3107" s="21" t="str">
        <x:v>"avatar_004"</x:v>
      </x:c>
    </x:row>
    <x:row r="3108" ht="22" customHeight="1">
      <x:c r="A3108" s="21" t="str">
        <x:v>data/avatars.json</x:v>
      </x:c>
      <x:c r="B3108" s="21" t="str">
        <x:v>$/avatars/3/name</x:v>
      </x:c>
      <x:c r="C3108" s="21" t="str">
        <x:v>string</x:v>
      </x:c>
      <x:c r="D3108" s="21" t="str">
        <x:v>"人族法师"</x:v>
      </x:c>
    </x:row>
    <x:row r="3109" ht="22" customHeight="1">
      <x:c r="A3109" s="21" t="str">
        <x:v>data/avatars.json</x:v>
      </x:c>
      <x:c r="B3109" s="21" t="str">
        <x:v>$/avatars/3/name_en</x:v>
      </x:c>
      <x:c r="C3109" s="21" t="str">
        <x:v>string</x:v>
      </x:c>
      <x:c r="D3109" s="21" t="str">
        <x:v>"Mage"</x:v>
      </x:c>
    </x:row>
    <x:row r="3110" ht="22" customHeight="1">
      <x:c r="A3110" s="21" t="str">
        <x:v>data/avatars.json</x:v>
      </x:c>
      <x:c r="B3110" s="21" t="str">
        <x:v>$/avatars/3/source</x:v>
      </x:c>
      <x:c r="C3110" s="21" t="str">
        <x:v>string</x:v>
      </x:c>
      <x:c r="D3110" s="21" t="str">
        <x:v>"res://assets/ui/unit_portraits/human_mage.png"</x:v>
      </x:c>
    </x:row>
    <x:row r="3111" ht="22" customHeight="1">
      <x:c r="A3111" s="21" t="str">
        <x:v>data/avatars.json</x:v>
      </x:c>
      <x:c r="B3111" s="21" t="str">
        <x:v>$/avatars/3/group</x:v>
      </x:c>
      <x:c r="C3111" s="21" t="str">
        <x:v>string</x:v>
      </x:c>
      <x:c r="D3111" s="21" t="str">
        <x:v>"human"</x:v>
      </x:c>
    </x:row>
    <x:row r="3112" ht="22" customHeight="1">
      <x:c r="A3112" s="21" t="str">
        <x:v>data/avatars.json</x:v>
      </x:c>
      <x:c r="B3112" s="21" t="str">
        <x:v>$/avatars/4</x:v>
      </x:c>
      <x:c r="C3112" s="21" t="str">
        <x:v>object</x:v>
      </x:c>
      <x:c r="D3112" s="21" t="str"/>
    </x:row>
    <x:row r="3113" ht="22" customHeight="1">
      <x:c r="A3113" s="21" t="str">
        <x:v>data/avatars.json</x:v>
      </x:c>
      <x:c r="B3113" s="21" t="str">
        <x:v>$/avatars/4/id</x:v>
      </x:c>
      <x:c r="C3113" s="21" t="str">
        <x:v>string</x:v>
      </x:c>
      <x:c r="D3113" s="21" t="str">
        <x:v>"avatar_005"</x:v>
      </x:c>
    </x:row>
    <x:row r="3114" ht="22" customHeight="1">
      <x:c r="A3114" s="21" t="str">
        <x:v>data/avatars.json</x:v>
      </x:c>
      <x:c r="B3114" s="21" t="str">
        <x:v>$/avatars/4/name</x:v>
      </x:c>
      <x:c r="C3114" s="21" t="str">
        <x:v>string</x:v>
      </x:c>
      <x:c r="D3114" s="21" t="str">
        <x:v>"暗黑巨龙"</x:v>
      </x:c>
    </x:row>
    <x:row r="3115" ht="22" customHeight="1">
      <x:c r="A3115" s="21" t="str">
        <x:v>data/avatars.json</x:v>
      </x:c>
      <x:c r="B3115" s="21" t="str">
        <x:v>$/avatars/4/name_en</x:v>
      </x:c>
      <x:c r="C3115" s="21" t="str">
        <x:v>string</x:v>
      </x:c>
      <x:c r="D3115" s="21" t="str">
        <x:v>"Dark Dragon"</x:v>
      </x:c>
    </x:row>
    <x:row r="3116" ht="22" customHeight="1">
      <x:c r="A3116" s="21" t="str">
        <x:v>data/avatars.json</x:v>
      </x:c>
      <x:c r="B3116" s="21" t="str">
        <x:v>$/avatars/4/source</x:v>
      </x:c>
      <x:c r="C3116" s="21" t="str">
        <x:v>string</x:v>
      </x:c>
      <x:c r="D3116" s="21" t="str">
        <x:v>"res://assets/ui/unit_portraits/dark_dragon.png"</x:v>
      </x:c>
    </x:row>
    <x:row r="3117" ht="22" customHeight="1">
      <x:c r="A3117" s="21" t="str">
        <x:v>data/avatars.json</x:v>
      </x:c>
      <x:c r="B3117" s="21" t="str">
        <x:v>$/avatars/4/group</x:v>
      </x:c>
      <x:c r="C3117" s="21" t="str">
        <x:v>string</x:v>
      </x:c>
      <x:c r="D3117" s="21" t="str">
        <x:v>"dark"</x:v>
      </x:c>
    </x:row>
    <x:row r="3118" ht="22" customHeight="1">
      <x:c r="A3118" s="21" t="str">
        <x:v>data/avatars.json</x:v>
      </x:c>
      <x:c r="B3118" s="21" t="str">
        <x:v>$/avatars/5</x:v>
      </x:c>
      <x:c r="C3118" s="21" t="str">
        <x:v>object</x:v>
      </x:c>
      <x:c r="D3118" s="21" t="str"/>
    </x:row>
    <x:row r="3119" ht="22" customHeight="1">
      <x:c r="A3119" s="21" t="str">
        <x:v>data/avatars.json</x:v>
      </x:c>
      <x:c r="B3119" s="21" t="str">
        <x:v>$/avatars/5/id</x:v>
      </x:c>
      <x:c r="C3119" s="21" t="str">
        <x:v>string</x:v>
      </x:c>
      <x:c r="D3119" s="21" t="str">
        <x:v>"avatar_006"</x:v>
      </x:c>
    </x:row>
    <x:row r="3120" ht="22" customHeight="1">
      <x:c r="A3120" s="21" t="str">
        <x:v>data/avatars.json</x:v>
      </x:c>
      <x:c r="B3120" s="21" t="str">
        <x:v>$/avatars/5/name</x:v>
      </x:c>
      <x:c r="C3120" s="21" t="str">
        <x:v>string</x:v>
      </x:c>
      <x:c r="D3120" s="21" t="str">
        <x:v>"暗黑女王"</x:v>
      </x:c>
    </x:row>
    <x:row r="3121" ht="22" customHeight="1">
      <x:c r="A3121" s="21" t="str">
        <x:v>data/avatars.json</x:v>
      </x:c>
      <x:c r="B3121" s="21" t="str">
        <x:v>$/avatars/5/name_en</x:v>
      </x:c>
      <x:c r="C3121" s="21" t="str">
        <x:v>string</x:v>
      </x:c>
      <x:c r="D3121" s="21" t="str">
        <x:v>"Dark Queen"</x:v>
      </x:c>
    </x:row>
    <x:row r="3122" ht="22" customHeight="1">
      <x:c r="A3122" s="21" t="str">
        <x:v>data/avatars.json</x:v>
      </x:c>
      <x:c r="B3122" s="21" t="str">
        <x:v>$/avatars/5/source</x:v>
      </x:c>
      <x:c r="C3122" s="21" t="str">
        <x:v>string</x:v>
      </x:c>
      <x:c r="D3122" s="21" t="str">
        <x:v>"res://assets/ui/unit_portraits/dark_queen.png"</x:v>
      </x:c>
    </x:row>
    <x:row r="3123" ht="22" customHeight="1">
      <x:c r="A3123" s="21" t="str">
        <x:v>data/avatars.json</x:v>
      </x:c>
      <x:c r="B3123" s="21" t="str">
        <x:v>$/avatars/5/group</x:v>
      </x:c>
      <x:c r="C3123" s="21" t="str">
        <x:v>string</x:v>
      </x:c>
      <x:c r="D3123" s="21" t="str">
        <x:v>"dark"</x:v>
      </x:c>
    </x:row>
    <x:row r="3124" ht="22" customHeight="1">
      <x:c r="A3124" s="21" t="str">
        <x:v>data/avatars.json</x:v>
      </x:c>
      <x:c r="B3124" s="21" t="str">
        <x:v>$/avatars/6</x:v>
      </x:c>
      <x:c r="C3124" s="21" t="str">
        <x:v>object</x:v>
      </x:c>
      <x:c r="D3124" s="21" t="str"/>
    </x:row>
    <x:row r="3125" ht="22" customHeight="1">
      <x:c r="A3125" s="21" t="str">
        <x:v>data/avatars.json</x:v>
      </x:c>
      <x:c r="B3125" s="21" t="str">
        <x:v>$/avatars/6/id</x:v>
      </x:c>
      <x:c r="C3125" s="21" t="str">
        <x:v>string</x:v>
      </x:c>
      <x:c r="D3125" s="21" t="str">
        <x:v>"avatar_007"</x:v>
      </x:c>
    </x:row>
    <x:row r="3126" ht="22" customHeight="1">
      <x:c r="A3126" s="21" t="str">
        <x:v>data/avatars.json</x:v>
      </x:c>
      <x:c r="B3126" s="21" t="str">
        <x:v>$/avatars/6/name</x:v>
      </x:c>
      <x:c r="C3126" s="21" t="str">
        <x:v>string</x:v>
      </x:c>
      <x:c r="D3126" s="21" t="str">
        <x:v>"暗黑法师"</x:v>
      </x:c>
    </x:row>
    <x:row r="3127" ht="22" customHeight="1">
      <x:c r="A3127" s="21" t="str">
        <x:v>data/avatars.json</x:v>
      </x:c>
      <x:c r="B3127" s="21" t="str">
        <x:v>$/avatars/6/name_en</x:v>
      </x:c>
      <x:c r="C3127" s="21" t="str">
        <x:v>string</x:v>
      </x:c>
      <x:c r="D3127" s="21" t="str">
        <x:v>"Dark Mage"</x:v>
      </x:c>
    </x:row>
    <x:row r="3128" ht="22" customHeight="1">
      <x:c r="A3128" s="21" t="str">
        <x:v>data/avatars.json</x:v>
      </x:c>
      <x:c r="B3128" s="21" t="str">
        <x:v>$/avatars/6/source</x:v>
      </x:c>
      <x:c r="C3128" s="21" t="str">
        <x:v>string</x:v>
      </x:c>
      <x:c r="D3128" s="21" t="str">
        <x:v>"res://assets/ui/unit_portraits/dark_mage.png"</x:v>
      </x:c>
    </x:row>
    <x:row r="3129" ht="22" customHeight="1">
      <x:c r="A3129" s="21" t="str">
        <x:v>data/avatars.json</x:v>
      </x:c>
      <x:c r="B3129" s="21" t="str">
        <x:v>$/avatars/6/group</x:v>
      </x:c>
      <x:c r="C3129" s="21" t="str">
        <x:v>string</x:v>
      </x:c>
      <x:c r="D3129" s="21" t="str">
        <x:v>"dark"</x:v>
      </x:c>
    </x:row>
    <x:row r="3130" ht="22" customHeight="1">
      <x:c r="A3130" s="21" t="str">
        <x:v>data/avatars.json</x:v>
      </x:c>
      <x:c r="B3130" s="21" t="str">
        <x:v>$/avatars/7</x:v>
      </x:c>
      <x:c r="C3130" s="21" t="str">
        <x:v>object</x:v>
      </x:c>
      <x:c r="D3130" s="21" t="str"/>
    </x:row>
    <x:row r="3131" ht="22" customHeight="1">
      <x:c r="A3131" s="21" t="str">
        <x:v>data/avatars.json</x:v>
      </x:c>
      <x:c r="B3131" s="21" t="str">
        <x:v>$/avatars/7/id</x:v>
      </x:c>
      <x:c r="C3131" s="21" t="str">
        <x:v>string</x:v>
      </x:c>
      <x:c r="D3131" s="21" t="str">
        <x:v>"avatar_008"</x:v>
      </x:c>
    </x:row>
    <x:row r="3132" ht="22" customHeight="1">
      <x:c r="A3132" s="21" t="str">
        <x:v>data/avatars.json</x:v>
      </x:c>
      <x:c r="B3132" s="21" t="str">
        <x:v>$/avatars/7/name</x:v>
      </x:c>
      <x:c r="C3132" s="21" t="str">
        <x:v>string</x:v>
      </x:c>
      <x:c r="D3132" s="21" t="str">
        <x:v>"末日"</x:v>
      </x:c>
    </x:row>
    <x:row r="3133" ht="22" customHeight="1">
      <x:c r="A3133" s="21" t="str">
        <x:v>data/avatars.json</x:v>
      </x:c>
      <x:c r="B3133" s="21" t="str">
        <x:v>$/avatars/7/name_en</x:v>
      </x:c>
      <x:c r="C3133" s="21" t="str">
        <x:v>string</x:v>
      </x:c>
      <x:c r="D3133" s="21" t="str">
        <x:v>"Doom"</x:v>
      </x:c>
    </x:row>
    <x:row r="3134" ht="22" customHeight="1">
      <x:c r="A3134" s="21" t="str">
        <x:v>data/avatars.json</x:v>
      </x:c>
      <x:c r="B3134" s="21" t="str">
        <x:v>$/avatars/7/source</x:v>
      </x:c>
      <x:c r="C3134" s="21" t="str">
        <x:v>string</x:v>
      </x:c>
      <x:c r="D3134" s="21" t="str">
        <x:v>"res://assets/ui/unit_portraits/dark_doom.png"</x:v>
      </x:c>
    </x:row>
    <x:row r="3135" ht="22" customHeight="1">
      <x:c r="A3135" s="21" t="str">
        <x:v>data/avatars.json</x:v>
      </x:c>
      <x:c r="B3135" s="21" t="str">
        <x:v>$/avatars/7/group</x:v>
      </x:c>
      <x:c r="C3135" s="21" t="str">
        <x:v>string</x:v>
      </x:c>
      <x:c r="D3135" s="21" t="str">
        <x:v>"dark"</x:v>
      </x:c>
    </x:row>
    <x:row r="3136" ht="22" customHeight="1">
      <x:c r="A3136" s="21" t="str">
        <x:v>data/avatars.json</x:v>
      </x:c>
      <x:c r="B3136" s="21" t="str">
        <x:v>$/avatars/8</x:v>
      </x:c>
      <x:c r="C3136" s="21" t="str">
        <x:v>object</x:v>
      </x:c>
      <x:c r="D3136" s="21" t="str"/>
    </x:row>
    <x:row r="3137" ht="22" customHeight="1">
      <x:c r="A3137" s="21" t="str">
        <x:v>data/avatars.json</x:v>
      </x:c>
      <x:c r="B3137" s="21" t="str">
        <x:v>$/avatars/8/id</x:v>
      </x:c>
      <x:c r="C3137" s="21" t="str">
        <x:v>string</x:v>
      </x:c>
      <x:c r="D3137" s="21" t="str">
        <x:v>"avatar_009"</x:v>
      </x:c>
    </x:row>
    <x:row r="3138" ht="22" customHeight="1">
      <x:c r="A3138" s="21" t="str">
        <x:v>data/avatars.json</x:v>
      </x:c>
      <x:c r="B3138" s="21" t="str">
        <x:v>$/avatars/8/name</x:v>
      </x:c>
      <x:c r="C3138" s="21" t="str">
        <x:v>string</x:v>
      </x:c>
      <x:c r="D3138" s="21" t="str">
        <x:v>"神族之王"</x:v>
      </x:c>
    </x:row>
    <x:row r="3139" ht="22" customHeight="1">
      <x:c r="A3139" s="21" t="str">
        <x:v>data/avatars.json</x:v>
      </x:c>
      <x:c r="B3139" s="21" t="str">
        <x:v>$/avatars/8/name_en</x:v>
      </x:c>
      <x:c r="C3139" s="21" t="str">
        <x:v>string</x:v>
      </x:c>
      <x:c r="D3139" s="21" t="str">
        <x:v>"God King"</x:v>
      </x:c>
    </x:row>
    <x:row r="3140" ht="22" customHeight="1">
      <x:c r="A3140" s="21" t="str">
        <x:v>data/avatars.json</x:v>
      </x:c>
      <x:c r="B3140" s="21" t="str">
        <x:v>$/avatars/8/source</x:v>
      </x:c>
      <x:c r="C3140" s="21" t="str">
        <x:v>string</x:v>
      </x:c>
      <x:c r="D3140" s="21" t="str">
        <x:v>"res://assets/ui/unit_portraits/god_king.png"</x:v>
      </x:c>
    </x:row>
    <x:row r="3141" ht="22" customHeight="1">
      <x:c r="A3141" s="21" t="str">
        <x:v>data/avatars.json</x:v>
      </x:c>
      <x:c r="B3141" s="21" t="str">
        <x:v>$/avatars/8/group</x:v>
      </x:c>
      <x:c r="C3141" s="21" t="str">
        <x:v>string</x:v>
      </x:c>
      <x:c r="D3141" s="21" t="str">
        <x:v>"god"</x:v>
      </x:c>
    </x:row>
    <x:row r="3142" ht="22" customHeight="1">
      <x:c r="A3142" s="21" t="str">
        <x:v>data/avatars.json</x:v>
      </x:c>
      <x:c r="B3142" s="21" t="str">
        <x:v>$/avatars/9</x:v>
      </x:c>
      <x:c r="C3142" s="21" t="str">
        <x:v>object</x:v>
      </x:c>
      <x:c r="D3142" s="21" t="str"/>
    </x:row>
    <x:row r="3143" ht="22" customHeight="1">
      <x:c r="A3143" s="21" t="str">
        <x:v>data/avatars.json</x:v>
      </x:c>
      <x:c r="B3143" s="21" t="str">
        <x:v>$/avatars/9/id</x:v>
      </x:c>
      <x:c r="C3143" s="21" t="str">
        <x:v>string</x:v>
      </x:c>
      <x:c r="D3143" s="21" t="str">
        <x:v>"avatar_010"</x:v>
      </x:c>
    </x:row>
    <x:row r="3144" ht="22" customHeight="1">
      <x:c r="A3144" s="21" t="str">
        <x:v>data/avatars.json</x:v>
      </x:c>
      <x:c r="B3144" s="21" t="str">
        <x:v>$/avatars/9/name</x:v>
      </x:c>
      <x:c r="C3144" s="21" t="str">
        <x:v>string</x:v>
      </x:c>
      <x:c r="D3144" s="21" t="str">
        <x:v>"大天使"</x:v>
      </x:c>
    </x:row>
    <x:row r="3145" ht="22" customHeight="1">
      <x:c r="A3145" s="21" t="str">
        <x:v>data/avatars.json</x:v>
      </x:c>
      <x:c r="B3145" s="21" t="str">
        <x:v>$/avatars/9/name_en</x:v>
      </x:c>
      <x:c r="C3145" s="21" t="str">
        <x:v>string</x:v>
      </x:c>
      <x:c r="D3145" s="21" t="str">
        <x:v>"Archangel"</x:v>
      </x:c>
    </x:row>
    <x:row r="3146" ht="22" customHeight="1">
      <x:c r="A3146" s="21" t="str">
        <x:v>data/avatars.json</x:v>
      </x:c>
      <x:c r="B3146" s="21" t="str">
        <x:v>$/avatars/9/source</x:v>
      </x:c>
      <x:c r="C3146" s="21" t="str">
        <x:v>string</x:v>
      </x:c>
      <x:c r="D3146" s="21" t="str">
        <x:v>"res://assets/ui/unit_portraits/god_archangel.png"</x:v>
      </x:c>
    </x:row>
    <x:row r="3147" ht="22" customHeight="1">
      <x:c r="A3147" s="21" t="str">
        <x:v>data/avatars.json</x:v>
      </x:c>
      <x:c r="B3147" s="21" t="str">
        <x:v>$/avatars/9/group</x:v>
      </x:c>
      <x:c r="C3147" s="21" t="str">
        <x:v>string</x:v>
      </x:c>
      <x:c r="D3147" s="21" t="str">
        <x:v>"god"</x:v>
      </x:c>
    </x:row>
    <x:row r="3148" ht="22" customHeight="1">
      <x:c r="A3148" s="21" t="str">
        <x:v>data/avatars.json</x:v>
      </x:c>
      <x:c r="B3148" s="21" t="str">
        <x:v>$/avatars/10</x:v>
      </x:c>
      <x:c r="C3148" s="21" t="str">
        <x:v>object</x:v>
      </x:c>
      <x:c r="D3148" s="21" t="str"/>
    </x:row>
    <x:row r="3149" ht="22" customHeight="1">
      <x:c r="A3149" s="21" t="str">
        <x:v>data/avatars.json</x:v>
      </x:c>
      <x:c r="B3149" s="21" t="str">
        <x:v>$/avatars/10/id</x:v>
      </x:c>
      <x:c r="C3149" s="21" t="str">
        <x:v>string</x:v>
      </x:c>
      <x:c r="D3149" s="21" t="str">
        <x:v>"avatar_011"</x:v>
      </x:c>
    </x:row>
    <x:row r="3150" ht="22" customHeight="1">
      <x:c r="A3150" s="21" t="str">
        <x:v>data/avatars.json</x:v>
      </x:c>
      <x:c r="B3150" s="21" t="str">
        <x:v>$/avatars/10/name</x:v>
      </x:c>
      <x:c r="C3150" s="21" t="str">
        <x:v>string</x:v>
      </x:c>
      <x:c r="D3150" s="21" t="str">
        <x:v>"极光"</x:v>
      </x:c>
    </x:row>
    <x:row r="3151" ht="22" customHeight="1">
      <x:c r="A3151" s="21" t="str">
        <x:v>data/avatars.json</x:v>
      </x:c>
      <x:c r="B3151" s="21" t="str">
        <x:v>$/avatars/10/name_en</x:v>
      </x:c>
      <x:c r="C3151" s="21" t="str">
        <x:v>string</x:v>
      </x:c>
      <x:c r="D3151" s="21" t="str">
        <x:v>"Aurora"</x:v>
      </x:c>
    </x:row>
    <x:row r="3152" ht="22" customHeight="1">
      <x:c r="A3152" s="21" t="str">
        <x:v>data/avatars.json</x:v>
      </x:c>
      <x:c r="B3152" s="21" t="str">
        <x:v>$/avatars/10/source</x:v>
      </x:c>
      <x:c r="C3152" s="21" t="str">
        <x:v>string</x:v>
      </x:c>
      <x:c r="D3152" s="21" t="str">
        <x:v>"res://assets/ui/unit_portraits/god_aurora.png"</x:v>
      </x:c>
    </x:row>
    <x:row r="3153" ht="22" customHeight="1">
      <x:c r="A3153" s="21" t="str">
        <x:v>data/avatars.json</x:v>
      </x:c>
      <x:c r="B3153" s="21" t="str">
        <x:v>$/avatars/10/group</x:v>
      </x:c>
      <x:c r="C3153" s="21" t="str">
        <x:v>string</x:v>
      </x:c>
      <x:c r="D3153" s="21" t="str">
        <x:v>"god"</x:v>
      </x:c>
    </x:row>
    <x:row r="3154" ht="22" customHeight="1">
      <x:c r="A3154" s="21" t="str">
        <x:v>data/avatars.json</x:v>
      </x:c>
      <x:c r="B3154" s="21" t="str">
        <x:v>$/avatars/11</x:v>
      </x:c>
      <x:c r="C3154" s="21" t="str">
        <x:v>object</x:v>
      </x:c>
      <x:c r="D3154" s="21" t="str"/>
    </x:row>
    <x:row r="3155" ht="22" customHeight="1">
      <x:c r="A3155" s="21" t="str">
        <x:v>data/avatars.json</x:v>
      </x:c>
      <x:c r="B3155" s="21" t="str">
        <x:v>$/avatars/11/id</x:v>
      </x:c>
      <x:c r="C3155" s="21" t="str">
        <x:v>string</x:v>
      </x:c>
      <x:c r="D3155" s="21" t="str">
        <x:v>"avatar_012"</x:v>
      </x:c>
    </x:row>
    <x:row r="3156" ht="22" customHeight="1">
      <x:c r="A3156" s="21" t="str">
        <x:v>data/avatars.json</x:v>
      </x:c>
      <x:c r="B3156" s="21" t="str">
        <x:v>$/avatars/11/name</x:v>
      </x:c>
      <x:c r="C3156" s="21" t="str">
        <x:v>string</x:v>
      </x:c>
      <x:c r="D3156" s="21" t="str">
        <x:v>"女祭司"</x:v>
      </x:c>
    </x:row>
    <x:row r="3157" ht="22" customHeight="1">
      <x:c r="A3157" s="21" t="str">
        <x:v>data/avatars.json</x:v>
      </x:c>
      <x:c r="B3157" s="21" t="str">
        <x:v>$/avatars/11/name_en</x:v>
      </x:c>
      <x:c r="C3157" s="21" t="str">
        <x:v>string</x:v>
      </x:c>
      <x:c r="D3157" s="21" t="str">
        <x:v>"Priestess"</x:v>
      </x:c>
    </x:row>
    <x:row r="3158" ht="22" customHeight="1">
      <x:c r="A3158" s="21" t="str">
        <x:v>data/avatars.json</x:v>
      </x:c>
      <x:c r="B3158" s="21" t="str">
        <x:v>$/avatars/11/source</x:v>
      </x:c>
      <x:c r="C3158" s="21" t="str">
        <x:v>string</x:v>
      </x:c>
      <x:c r="D3158" s="21" t="str">
        <x:v>"res://assets/ui/unit_portraits/god_priestess.png"</x:v>
      </x:c>
    </x:row>
    <x:row r="3159" ht="22" customHeight="1">
      <x:c r="A3159" s="21" t="str">
        <x:v>data/avatars.json</x:v>
      </x:c>
      <x:c r="B3159" s="21" t="str">
        <x:v>$/avatars/11/group</x:v>
      </x:c>
      <x:c r="C3159" s="21" t="str">
        <x:v>string</x:v>
      </x:c>
      <x:c r="D3159" s="21" t="str">
        <x:v>"god"</x:v>
      </x:c>
    </x:row>
    <x:row r="3160" ht="22" customHeight="1">
      <x:c r="A3160" s="21" t="str">
        <x:v>data/avatars.json</x:v>
      </x:c>
      <x:c r="B3160" s="21" t="str">
        <x:v>$/avatars/12</x:v>
      </x:c>
      <x:c r="C3160" s="21" t="str">
        <x:v>object</x:v>
      </x:c>
      <x:c r="D3160" s="21" t="str"/>
    </x:row>
    <x:row r="3161" ht="22" customHeight="1">
      <x:c r="A3161" s="21" t="str">
        <x:v>data/avatars.json</x:v>
      </x:c>
      <x:c r="B3161" s="21" t="str">
        <x:v>$/avatars/12/id</x:v>
      </x:c>
      <x:c r="C3161" s="21" t="str">
        <x:v>string</x:v>
      </x:c>
      <x:c r="D3161" s="21" t="str">
        <x:v>"avatar_013"</x:v>
      </x:c>
    </x:row>
    <x:row r="3162" ht="22" customHeight="1">
      <x:c r="A3162" s="21" t="str">
        <x:v>data/avatars.json</x:v>
      </x:c>
      <x:c r="B3162" s="21" t="str">
        <x:v>$/avatars/12/name</x:v>
      </x:c>
      <x:c r="C3162" s="21" t="str">
        <x:v>string</x:v>
      </x:c>
      <x:c r="D3162" s="21" t="str">
        <x:v>"亡灵泰坦"</x:v>
      </x:c>
    </x:row>
    <x:row r="3163" ht="22" customHeight="1">
      <x:c r="A3163" s="21" t="str">
        <x:v>data/avatars.json</x:v>
      </x:c>
      <x:c r="B3163" s="21" t="str">
        <x:v>$/avatars/12/name_en</x:v>
      </x:c>
      <x:c r="C3163" s="21" t="str">
        <x:v>string</x:v>
      </x:c>
      <x:c r="D3163" s="21" t="str">
        <x:v>"Undead Titan"</x:v>
      </x:c>
    </x:row>
    <x:row r="3164" ht="22" customHeight="1">
      <x:c r="A3164" s="21" t="str">
        <x:v>data/avatars.json</x:v>
      </x:c>
      <x:c r="B3164" s="21" t="str">
        <x:v>$/avatars/12/source</x:v>
      </x:c>
      <x:c r="C3164" s="21" t="str">
        <x:v>string</x:v>
      </x:c>
      <x:c r="D3164" s="21" t="str">
        <x:v>"res://assets/ui/unit_portraits/undead_titan.png"</x:v>
      </x:c>
    </x:row>
    <x:row r="3165" ht="22" customHeight="1">
      <x:c r="A3165" s="21" t="str">
        <x:v>data/avatars.json</x:v>
      </x:c>
      <x:c r="B3165" s="21" t="str">
        <x:v>$/avatars/12/group</x:v>
      </x:c>
      <x:c r="C3165" s="21" t="str">
        <x:v>string</x:v>
      </x:c>
      <x:c r="D3165" s="21" t="str">
        <x:v>"undead"</x:v>
      </x:c>
    </x:row>
    <x:row r="3166" ht="22" customHeight="1">
      <x:c r="A3166" s="21" t="str">
        <x:v>data/avatars.json</x:v>
      </x:c>
      <x:c r="B3166" s="21" t="str">
        <x:v>$/avatars/13</x:v>
      </x:c>
      <x:c r="C3166" s="21" t="str">
        <x:v>object</x:v>
      </x:c>
      <x:c r="D3166" s="21" t="str"/>
    </x:row>
    <x:row r="3167" ht="22" customHeight="1">
      <x:c r="A3167" s="21" t="str">
        <x:v>data/avatars.json</x:v>
      </x:c>
      <x:c r="B3167" s="21" t="str">
        <x:v>$/avatars/13/id</x:v>
      </x:c>
      <x:c r="C3167" s="21" t="str">
        <x:v>string</x:v>
      </x:c>
      <x:c r="D3167" s="21" t="str">
        <x:v>"avatar_014"</x:v>
      </x:c>
    </x:row>
    <x:row r="3168" ht="22" customHeight="1">
      <x:c r="A3168" s="21" t="str">
        <x:v>data/avatars.json</x:v>
      </x:c>
      <x:c r="B3168" s="21" t="str">
        <x:v>$/avatars/13/name</x:v>
      </x:c>
      <x:c r="C3168" s="21" t="str">
        <x:v>string</x:v>
      </x:c>
      <x:c r="D3168" s="21" t="str">
        <x:v>"亡灵母体"</x:v>
      </x:c>
    </x:row>
    <x:row r="3169" ht="22" customHeight="1">
      <x:c r="A3169" s="21" t="str">
        <x:v>data/avatars.json</x:v>
      </x:c>
      <x:c r="B3169" s="21" t="str">
        <x:v>$/avatars/13/name_en</x:v>
      </x:c>
      <x:c r="C3169" s="21" t="str">
        <x:v>string</x:v>
      </x:c>
      <x:c r="D3169" s="21" t="str">
        <x:v>"Undead Mother"</x:v>
      </x:c>
    </x:row>
    <x:row r="3170" ht="22" customHeight="1">
      <x:c r="A3170" s="21" t="str">
        <x:v>data/avatars.json</x:v>
      </x:c>
      <x:c r="B3170" s="21" t="str">
        <x:v>$/avatars/13/source</x:v>
      </x:c>
      <x:c r="C3170" s="21" t="str">
        <x:v>string</x:v>
      </x:c>
      <x:c r="D3170" s="21" t="str">
        <x:v>"res://assets/ui/unit_portraits/undead_mother.png"</x:v>
      </x:c>
    </x:row>
    <x:row r="3171" ht="22" customHeight="1">
      <x:c r="A3171" s="21" t="str">
        <x:v>data/avatars.json</x:v>
      </x:c>
      <x:c r="B3171" s="21" t="str">
        <x:v>$/avatars/13/group</x:v>
      </x:c>
      <x:c r="C3171" s="21" t="str">
        <x:v>string</x:v>
      </x:c>
      <x:c r="D3171" s="21" t="str">
        <x:v>"undead"</x:v>
      </x:c>
    </x:row>
    <x:row r="3172" ht="22" customHeight="1">
      <x:c r="A3172" s="21" t="str">
        <x:v>data/avatars.json</x:v>
      </x:c>
      <x:c r="B3172" s="21" t="str">
        <x:v>$/avatars/14</x:v>
      </x:c>
      <x:c r="C3172" s="21" t="str">
        <x:v>object</x:v>
      </x:c>
      <x:c r="D3172" s="21" t="str"/>
    </x:row>
    <x:row r="3173" ht="22" customHeight="1">
      <x:c r="A3173" s="21" t="str">
        <x:v>data/avatars.json</x:v>
      </x:c>
      <x:c r="B3173" s="21" t="str">
        <x:v>$/avatars/14/id</x:v>
      </x:c>
      <x:c r="C3173" s="21" t="str">
        <x:v>string</x:v>
      </x:c>
      <x:c r="D3173" s="21" t="str">
        <x:v>"avatar_015"</x:v>
      </x:c>
    </x:row>
    <x:row r="3174" ht="22" customHeight="1">
      <x:c r="A3174" s="21" t="str">
        <x:v>data/avatars.json</x:v>
      </x:c>
      <x:c r="B3174" s="21" t="str">
        <x:v>$/avatars/14/name</x:v>
      </x:c>
      <x:c r="C3174" s="21" t="str">
        <x:v>string</x:v>
      </x:c>
      <x:c r="D3174" s="21" t="str">
        <x:v>"尖刺"</x:v>
      </x:c>
    </x:row>
    <x:row r="3175" ht="22" customHeight="1">
      <x:c r="A3175" s="21" t="str">
        <x:v>data/avatars.json</x:v>
      </x:c>
      <x:c r="B3175" s="21" t="str">
        <x:v>$/avatars/14/name_en</x:v>
      </x:c>
      <x:c r="C3175" s="21" t="str">
        <x:v>string</x:v>
      </x:c>
      <x:c r="D3175" s="21" t="str">
        <x:v>"Spike"</x:v>
      </x:c>
    </x:row>
    <x:row r="3176" ht="22" customHeight="1">
      <x:c r="A3176" s="21" t="str">
        <x:v>data/avatars.json</x:v>
      </x:c>
      <x:c r="B3176" s="21" t="str">
        <x:v>$/avatars/14/source</x:v>
      </x:c>
      <x:c r="C3176" s="21" t="str">
        <x:v>string</x:v>
      </x:c>
      <x:c r="D3176" s="21" t="str">
        <x:v>"res://assets/ui/unit_portraits/undead_spike.png"</x:v>
      </x:c>
    </x:row>
    <x:row r="3177" ht="22" customHeight="1">
      <x:c r="A3177" s="21" t="str">
        <x:v>data/avatars.json</x:v>
      </x:c>
      <x:c r="B3177" s="21" t="str">
        <x:v>$/avatars/14/group</x:v>
      </x:c>
      <x:c r="C3177" s="21" t="str">
        <x:v>string</x:v>
      </x:c>
      <x:c r="D3177" s="21" t="str">
        <x:v>"undead"</x:v>
      </x:c>
    </x:row>
    <x:row r="3178" ht="22" customHeight="1">
      <x:c r="A3178" s="21" t="str">
        <x:v>data/avatars.json</x:v>
      </x:c>
      <x:c r="B3178" s="21" t="str">
        <x:v>$/avatars/15</x:v>
      </x:c>
      <x:c r="C3178" s="21" t="str">
        <x:v>object</x:v>
      </x:c>
      <x:c r="D3178" s="21" t="str"/>
    </x:row>
    <x:row r="3179" ht="22" customHeight="1">
      <x:c r="A3179" s="21" t="str">
        <x:v>data/avatars.json</x:v>
      </x:c>
      <x:c r="B3179" s="21" t="str">
        <x:v>$/avatars/15/id</x:v>
      </x:c>
      <x:c r="C3179" s="21" t="str">
        <x:v>string</x:v>
      </x:c>
      <x:c r="D3179" s="21" t="str">
        <x:v>"avatar_016"</x:v>
      </x:c>
    </x:row>
    <x:row r="3180" ht="22" customHeight="1">
      <x:c r="A3180" s="21" t="str">
        <x:v>data/avatars.json</x:v>
      </x:c>
      <x:c r="B3180" s="21" t="str">
        <x:v>$/avatars/15/name</x:v>
      </x:c>
      <x:c r="C3180" s="21" t="str">
        <x:v>string</x:v>
      </x:c>
      <x:c r="D3180" s="21" t="str">
        <x:v>"剧毒"</x:v>
      </x:c>
    </x:row>
    <x:row r="3181" ht="22" customHeight="1">
      <x:c r="A3181" s="21" t="str">
        <x:v>data/avatars.json</x:v>
      </x:c>
      <x:c r="B3181" s="21" t="str">
        <x:v>$/avatars/15/name_en</x:v>
      </x:c>
      <x:c r="C3181" s="21" t="str">
        <x:v>string</x:v>
      </x:c>
      <x:c r="D3181" s="21" t="str">
        <x:v>"Poison"</x:v>
      </x:c>
    </x:row>
    <x:row r="3182" ht="22" customHeight="1">
      <x:c r="A3182" s="21" t="str">
        <x:v>data/avatars.json</x:v>
      </x:c>
      <x:c r="B3182" s="21" t="str">
        <x:v>$/avatars/15/source</x:v>
      </x:c>
      <x:c r="C3182" s="21" t="str">
        <x:v>string</x:v>
      </x:c>
      <x:c r="D3182" s="21" t="str">
        <x:v>"res://assets/ui/unit_portraits/undead_poison.png"</x:v>
      </x:c>
    </x:row>
    <x:row r="3183" ht="22" customHeight="1">
      <x:c r="A3183" s="21" t="str">
        <x:v>data/avatars.json</x:v>
      </x:c>
      <x:c r="B3183" s="21" t="str">
        <x:v>$/avatars/15/group</x:v>
      </x:c>
      <x:c r="C3183" s="21" t="str">
        <x:v>string</x:v>
      </x:c>
      <x:c r="D3183" s="21" t="str">
        <x:v>"undead"</x:v>
      </x:c>
    </x:row>
    <x:row r="3184" ht="22" customHeight="1">
      <x:c r="A3184" s="21" t="str">
        <x:v>data/avatars.json</x:v>
      </x:c>
      <x:c r="B3184" s="21" t="str">
        <x:v>$/avatars/16</x:v>
      </x:c>
      <x:c r="C3184" s="21" t="str">
        <x:v>object</x:v>
      </x:c>
      <x:c r="D3184" s="21" t="str"/>
    </x:row>
    <x:row r="3185" ht="22" customHeight="1">
      <x:c r="A3185" s="21" t="str">
        <x:v>data/avatars.json</x:v>
      </x:c>
      <x:c r="B3185" s="21" t="str">
        <x:v>$/avatars/16/id</x:v>
      </x:c>
      <x:c r="C3185" s="21" t="str">
        <x:v>string</x:v>
      </x:c>
      <x:c r="D3185" s="21" t="str">
        <x:v>"avatar_017"</x:v>
      </x:c>
    </x:row>
    <x:row r="3186" ht="22" customHeight="1">
      <x:c r="A3186" s="21" t="str">
        <x:v>data/avatars.json</x:v>
      </x:c>
      <x:c r="B3186" s="21" t="str">
        <x:v>$/avatars/16/name</x:v>
      </x:c>
      <x:c r="C3186" s="21" t="str">
        <x:v>string</x:v>
      </x:c>
      <x:c r="D3186" s="21" t="str">
        <x:v>"狮子座 · 烈阳"</x:v>
      </x:c>
    </x:row>
    <x:row r="3187" ht="22" customHeight="1">
      <x:c r="A3187" s="21" t="str">
        <x:v>data/avatars.json</x:v>
      </x:c>
      <x:c r="B3187" s="21" t="str">
        <x:v>$/avatars/16/name_en</x:v>
      </x:c>
      <x:c r="C3187" s="21" t="str">
        <x:v>string</x:v>
      </x:c>
      <x:c r="D3187" s="21" t="str">
        <x:v>"Leo"</x:v>
      </x:c>
    </x:row>
    <x:row r="3188" ht="22" customHeight="1">
      <x:c r="A3188" s="21" t="str">
        <x:v>data/avatars.json</x:v>
      </x:c>
      <x:c r="B3188" s="21" t="str">
        <x:v>$/avatars/16/source</x:v>
      </x:c>
      <x:c r="C3188" s="21" t="str">
        <x:v>string</x:v>
      </x:c>
      <x:c r="D3188" s="21" t="str">
        <x:v>"res://assets/ui/mercenary_portraits/merc_leo_sun.png"</x:v>
      </x:c>
    </x:row>
    <x:row r="3189" ht="22" customHeight="1">
      <x:c r="A3189" s="21" t="str">
        <x:v>data/avatars.json</x:v>
      </x:c>
      <x:c r="B3189" s="21" t="str">
        <x:v>$/avatars/16/group</x:v>
      </x:c>
      <x:c r="C3189" s="21" t="str">
        <x:v>string</x:v>
      </x:c>
      <x:c r="D3189" s="21" t="str">
        <x:v>"mercenary"</x:v>
      </x:c>
    </x:row>
    <x:row r="3190" ht="22" customHeight="1">
      <x:c r="A3190" s="21" t="str">
        <x:v>data/avatars.json</x:v>
      </x:c>
      <x:c r="B3190" s="21" t="str">
        <x:v>$/avatars/17</x:v>
      </x:c>
      <x:c r="C3190" s="21" t="str">
        <x:v>object</x:v>
      </x:c>
      <x:c r="D3190" s="21" t="str"/>
    </x:row>
    <x:row r="3191" ht="22" customHeight="1">
      <x:c r="A3191" s="21" t="str">
        <x:v>data/avatars.json</x:v>
      </x:c>
      <x:c r="B3191" s="21" t="str">
        <x:v>$/avatars/17/id</x:v>
      </x:c>
      <x:c r="C3191" s="21" t="str">
        <x:v>string</x:v>
      </x:c>
      <x:c r="D3191" s="21" t="str">
        <x:v>"avatar_018"</x:v>
      </x:c>
    </x:row>
    <x:row r="3192" ht="22" customHeight="1">
      <x:c r="A3192" s="21" t="str">
        <x:v>data/avatars.json</x:v>
      </x:c>
      <x:c r="B3192" s="21" t="str">
        <x:v>$/avatars/17/name</x:v>
      </x:c>
      <x:c r="C3192" s="21" t="str">
        <x:v>string</x:v>
      </x:c>
      <x:c r="D3192" s="21" t="str">
        <x:v>"天蝎座 · 死神"</x:v>
      </x:c>
    </x:row>
    <x:row r="3193" ht="22" customHeight="1">
      <x:c r="A3193" s="21" t="str">
        <x:v>data/avatars.json</x:v>
      </x:c>
      <x:c r="B3193" s="21" t="str">
        <x:v>$/avatars/17/name_en</x:v>
      </x:c>
      <x:c r="C3193" s="21" t="str">
        <x:v>string</x:v>
      </x:c>
      <x:c r="D3193" s="21" t="str">
        <x:v>"Scorpio"</x:v>
      </x:c>
    </x:row>
    <x:row r="3194" ht="22" customHeight="1">
      <x:c r="A3194" s="21" t="str">
        <x:v>data/avatars.json</x:v>
      </x:c>
      <x:c r="B3194" s="21" t="str">
        <x:v>$/avatars/17/source</x:v>
      </x:c>
      <x:c r="C3194" s="21" t="str">
        <x:v>string</x:v>
      </x:c>
      <x:c r="D3194" s="21" t="str">
        <x:v>"res://assets/ui/mercenary_portraits/merc_scorpio_death.png"</x:v>
      </x:c>
    </x:row>
    <x:row r="3195" ht="22" customHeight="1">
      <x:c r="A3195" s="21" t="str">
        <x:v>data/avatars.json</x:v>
      </x:c>
      <x:c r="B3195" s="21" t="str">
        <x:v>$/avatars/17/group</x:v>
      </x:c>
      <x:c r="C3195" s="21" t="str">
        <x:v>string</x:v>
      </x:c>
      <x:c r="D3195" s="21" t="str">
        <x:v>"mercenary"</x:v>
      </x:c>
    </x:row>
    <x:row r="3196" ht="22" customHeight="1">
      <x:c r="A3196" s="21" t="str">
        <x:v>data/avatars.json</x:v>
      </x:c>
      <x:c r="B3196" s="21" t="str">
        <x:v>$/avatars/18</x:v>
      </x:c>
      <x:c r="C3196" s="21" t="str">
        <x:v>object</x:v>
      </x:c>
      <x:c r="D3196" s="21" t="str"/>
    </x:row>
    <x:row r="3197" ht="22" customHeight="1">
      <x:c r="A3197" s="21" t="str">
        <x:v>data/avatars.json</x:v>
      </x:c>
      <x:c r="B3197" s="21" t="str">
        <x:v>$/avatars/18/id</x:v>
      </x:c>
      <x:c r="C3197" s="21" t="str">
        <x:v>string</x:v>
      </x:c>
      <x:c r="D3197" s="21" t="str">
        <x:v>"avatar_019"</x:v>
      </x:c>
    </x:row>
    <x:row r="3198" ht="22" customHeight="1">
      <x:c r="A3198" s="21" t="str">
        <x:v>data/avatars.json</x:v>
      </x:c>
      <x:c r="B3198" s="21" t="str">
        <x:v>$/avatars/18/name</x:v>
      </x:c>
      <x:c r="C3198" s="21" t="str">
        <x:v>string</x:v>
      </x:c>
      <x:c r="D3198" s="21" t="str">
        <x:v>"天秤座 · 裁决"</x:v>
      </x:c>
    </x:row>
    <x:row r="3199" ht="22" customHeight="1">
      <x:c r="A3199" s="21" t="str">
        <x:v>data/avatars.json</x:v>
      </x:c>
      <x:c r="B3199" s="21" t="str">
        <x:v>$/avatars/18/name_en</x:v>
      </x:c>
      <x:c r="C3199" s="21" t="str">
        <x:v>string</x:v>
      </x:c>
      <x:c r="D3199" s="21" t="str">
        <x:v>"Libra"</x:v>
      </x:c>
    </x:row>
    <x:row r="3200" ht="22" customHeight="1">
      <x:c r="A3200" s="21" t="str">
        <x:v>data/avatars.json</x:v>
      </x:c>
      <x:c r="B3200" s="21" t="str">
        <x:v>$/avatars/18/source</x:v>
      </x:c>
      <x:c r="C3200" s="21" t="str">
        <x:v>string</x:v>
      </x:c>
      <x:c r="D3200" s="21" t="str">
        <x:v>"res://assets/ui/mercenary_portraits/merc_libra_judge.png"</x:v>
      </x:c>
    </x:row>
    <x:row r="3201" ht="22" customHeight="1">
      <x:c r="A3201" s="21" t="str">
        <x:v>data/avatars.json</x:v>
      </x:c>
      <x:c r="B3201" s="21" t="str">
        <x:v>$/avatars/18/group</x:v>
      </x:c>
      <x:c r="C3201" s="21" t="str">
        <x:v>string</x:v>
      </x:c>
      <x:c r="D3201" s="21" t="str">
        <x:v>"mercenary"</x:v>
      </x:c>
    </x:row>
    <x:row r="3202" ht="22" customHeight="1">
      <x:c r="A3202" s="21" t="str">
        <x:v>data/avatars.json</x:v>
      </x:c>
      <x:c r="B3202" s="21" t="str">
        <x:v>$/avatars/19</x:v>
      </x:c>
      <x:c r="C3202" s="21" t="str">
        <x:v>object</x:v>
      </x:c>
      <x:c r="D3202" s="21" t="str"/>
    </x:row>
    <x:row r="3203" ht="22" customHeight="1">
      <x:c r="A3203" s="21" t="str">
        <x:v>data/avatars.json</x:v>
      </x:c>
      <x:c r="B3203" s="21" t="str">
        <x:v>$/avatars/19/id</x:v>
      </x:c>
      <x:c r="C3203" s="21" t="str">
        <x:v>string</x:v>
      </x:c>
      <x:c r="D3203" s="21" t="str">
        <x:v>"avatar_020"</x:v>
      </x:c>
    </x:row>
    <x:row r="3204" ht="22" customHeight="1">
      <x:c r="A3204" s="21" t="str">
        <x:v>data/avatars.json</x:v>
      </x:c>
      <x:c r="B3204" s="21" t="str">
        <x:v>$/avatars/19/name</x:v>
      </x:c>
      <x:c r="C3204" s="21" t="str">
        <x:v>string</x:v>
      </x:c>
      <x:c r="D3204" s="21" t="str">
        <x:v>"白羊座 · 血怒"</x:v>
      </x:c>
    </x:row>
    <x:row r="3205" ht="22" customHeight="1">
      <x:c r="A3205" s="21" t="str">
        <x:v>data/avatars.json</x:v>
      </x:c>
      <x:c r="B3205" s="21" t="str">
        <x:v>$/avatars/19/name_en</x:v>
      </x:c>
      <x:c r="C3205" s="21" t="str">
        <x:v>string</x:v>
      </x:c>
      <x:c r="D3205" s="21" t="str">
        <x:v>"Aries"</x:v>
      </x:c>
    </x:row>
    <x:row r="3206" ht="22" customHeight="1">
      <x:c r="A3206" s="21" t="str">
        <x:v>data/avatars.json</x:v>
      </x:c>
      <x:c r="B3206" s="21" t="str">
        <x:v>$/avatars/19/source</x:v>
      </x:c>
      <x:c r="C3206" s="21" t="str">
        <x:v>string</x:v>
      </x:c>
      <x:c r="D3206" s="21" t="str">
        <x:v>"res://assets/ui/mercenary_portraits/merc_aries_blood.png"</x:v>
      </x:c>
    </x:row>
    <x:row r="3207" ht="22" customHeight="1">
      <x:c r="A3207" s="21" t="str">
        <x:v>data/avatars.json</x:v>
      </x:c>
      <x:c r="B3207" s="21" t="str">
        <x:v>$/avatars/19/group</x:v>
      </x:c>
      <x:c r="C3207" s="21" t="str">
        <x:v>string</x:v>
      </x:c>
      <x:c r="D3207" s="21" t="str">
        <x:v>"mercenary"</x:v>
      </x:c>
    </x:row>
    <x:row r="3208" ht="22" customHeight="1">
      <x:c r="A3208" s="21" t="str">
        <x:v>data/avatars.json</x:v>
      </x:c>
      <x:c r="B3208" s="21" t="str">
        <x:v>$/avatars/20</x:v>
      </x:c>
      <x:c r="C3208" s="21" t="str">
        <x:v>object</x:v>
      </x:c>
      <x:c r="D3208" s="21" t="str"/>
    </x:row>
    <x:row r="3209" ht="22" customHeight="1">
      <x:c r="A3209" s="21" t="str">
        <x:v>data/avatars.json</x:v>
      </x:c>
      <x:c r="B3209" s="21" t="str">
        <x:v>$/avatars/20/id</x:v>
      </x:c>
      <x:c r="C3209" s="21" t="str">
        <x:v>string</x:v>
      </x:c>
      <x:c r="D3209" s="21" t="str">
        <x:v>"avatar_021"</x:v>
      </x:c>
    </x:row>
    <x:row r="3210" ht="22" customHeight="1">
      <x:c r="A3210" s="21" t="str">
        <x:v>data/avatars.json</x:v>
      </x:c>
      <x:c r="B3210" s="21" t="str">
        <x:v>$/avatars/20/name</x:v>
      </x:c>
      <x:c r="C3210" s="21" t="str">
        <x:v>string</x:v>
      </x:c>
      <x:c r="D3210" s="21" t="str">
        <x:v>"神侍"</x:v>
      </x:c>
    </x:row>
    <x:row r="3211" ht="22" customHeight="1">
      <x:c r="A3211" s="21" t="str">
        <x:v>data/avatars.json</x:v>
      </x:c>
      <x:c r="B3211" s="21" t="str">
        <x:v>$/avatars/20/name_en</x:v>
      </x:c>
      <x:c r="C3211" s="21" t="str">
        <x:v>string</x:v>
      </x:c>
      <x:c r="D3211" s="21" t="str">
        <x:v>"Godhand"</x:v>
      </x:c>
    </x:row>
    <x:row r="3212" ht="22" customHeight="1">
      <x:c r="A3212" s="21" t="str">
        <x:v>data/avatars.json</x:v>
      </x:c>
      <x:c r="B3212" s="21" t="str">
        <x:v>$/avatars/20/source</x:v>
      </x:c>
      <x:c r="C3212" s="21" t="str">
        <x:v>string</x:v>
      </x:c>
      <x:c r="D3212" s="21" t="str">
        <x:v>"res://assets/ui/unit_portraits/god_priest.png"</x:v>
      </x:c>
    </x:row>
    <x:row r="3213" ht="22" customHeight="1">
      <x:c r="A3213" s="21" t="str">
        <x:v>data/avatars.json</x:v>
      </x:c>
      <x:c r="B3213" s="21" t="str">
        <x:v>$/avatars/20/group</x:v>
      </x:c>
      <x:c r="C3213" s="21" t="str">
        <x:v>string</x:v>
      </x:c>
      <x:c r="D3213" s="21" t="str">
        <x:v>"god"</x:v>
      </x:c>
    </x:row>
    <x:row r="3214" ht="22" customHeight="1">
      <x:c r="A3214" s="21" t="str">
        <x:v>data/avatars.json</x:v>
      </x:c>
      <x:c r="B3214" s="21" t="str">
        <x:v>$/avatars/21</x:v>
      </x:c>
      <x:c r="C3214" s="21" t="str">
        <x:v>object</x:v>
      </x:c>
      <x:c r="D3214" s="21" t="str"/>
    </x:row>
    <x:row r="3215" ht="22" customHeight="1">
      <x:c r="A3215" s="21" t="str">
        <x:v>data/avatars.json</x:v>
      </x:c>
      <x:c r="B3215" s="21" t="str">
        <x:v>$/avatars/21/id</x:v>
      </x:c>
      <x:c r="C3215" s="21" t="str">
        <x:v>string</x:v>
      </x:c>
      <x:c r="D3215" s="21" t="str">
        <x:v>"avatar_022"</x:v>
      </x:c>
    </x:row>
    <x:row r="3216" ht="22" customHeight="1">
      <x:c r="A3216" s="21" t="str">
        <x:v>data/avatars.json</x:v>
      </x:c>
      <x:c r="B3216" s="21" t="str">
        <x:v>$/avatars/21/name</x:v>
      </x:c>
      <x:c r="C3216" s="21" t="str">
        <x:v>string</x:v>
      </x:c>
      <x:c r="D3216" s="21" t="str">
        <x:v>"光之卫士"</x:v>
      </x:c>
    </x:row>
    <x:row r="3217" ht="22" customHeight="1">
      <x:c r="A3217" s="21" t="str">
        <x:v>data/avatars.json</x:v>
      </x:c>
      <x:c r="B3217" s="21" t="str">
        <x:v>$/avatars/21/name_en</x:v>
      </x:c>
      <x:c r="C3217" s="21" t="str">
        <x:v>string</x:v>
      </x:c>
      <x:c r="D3217" s="21" t="str">
        <x:v>"Lightguard"</x:v>
      </x:c>
    </x:row>
    <x:row r="3218" ht="22" customHeight="1">
      <x:c r="A3218" s="21" t="str">
        <x:v>data/avatars.json</x:v>
      </x:c>
      <x:c r="B3218" s="21" t="str">
        <x:v>$/avatars/21/source</x:v>
      </x:c>
      <x:c r="C3218" s="21" t="str">
        <x:v>string</x:v>
      </x:c>
      <x:c r="D3218" s="21" t="str">
        <x:v>"res://assets/ui/unit_portraits/god_guard.png"</x:v>
      </x:c>
    </x:row>
    <x:row r="3219" ht="22" customHeight="1">
      <x:c r="A3219" s="21" t="str">
        <x:v>data/avatars.json</x:v>
      </x:c>
      <x:c r="B3219" s="21" t="str">
        <x:v>$/avatars/21/group</x:v>
      </x:c>
      <x:c r="C3219" s="21" t="str">
        <x:v>string</x:v>
      </x:c>
      <x:c r="D3219" s="21" t="str">
        <x:v>"god"</x:v>
      </x:c>
    </x:row>
    <x:row r="3220" ht="22" customHeight="1">
      <x:c r="A3220" s="21" t="str">
        <x:v>data/avatars.json</x:v>
      </x:c>
      <x:c r="B3220" s="21" t="str">
        <x:v>$/avatars/22</x:v>
      </x:c>
      <x:c r="C3220" s="21" t="str">
        <x:v>object</x:v>
      </x:c>
      <x:c r="D3220" s="21" t="str"/>
    </x:row>
    <x:row r="3221" ht="22" customHeight="1">
      <x:c r="A3221" s="21" t="str">
        <x:v>data/avatars.json</x:v>
      </x:c>
      <x:c r="B3221" s="21" t="str">
        <x:v>$/avatars/22/id</x:v>
      </x:c>
      <x:c r="C3221" s="21" t="str">
        <x:v>string</x:v>
      </x:c>
      <x:c r="D3221" s="21" t="str">
        <x:v>"avatar_023"</x:v>
      </x:c>
    </x:row>
    <x:row r="3222" ht="22" customHeight="1">
      <x:c r="A3222" s="21" t="str">
        <x:v>data/avatars.json</x:v>
      </x:c>
      <x:c r="B3222" s="21" t="str">
        <x:v>$/avatars/22/name</x:v>
      </x:c>
      <x:c r="C3222" s="21" t="str">
        <x:v>string</x:v>
      </x:c>
      <x:c r="D3222" s="21" t="str">
        <x:v>"天使"</x:v>
      </x:c>
    </x:row>
    <x:row r="3223" ht="22" customHeight="1">
      <x:c r="A3223" s="21" t="str">
        <x:v>data/avatars.json</x:v>
      </x:c>
      <x:c r="B3223" s="21" t="str">
        <x:v>$/avatars/22/name_en</x:v>
      </x:c>
      <x:c r="C3223" s="21" t="str">
        <x:v>string</x:v>
      </x:c>
      <x:c r="D3223" s="21" t="str">
        <x:v>"Angel"</x:v>
      </x:c>
    </x:row>
    <x:row r="3224" ht="22" customHeight="1">
      <x:c r="A3224" s="21" t="str">
        <x:v>data/avatars.json</x:v>
      </x:c>
      <x:c r="B3224" s="21" t="str">
        <x:v>$/avatars/22/source</x:v>
      </x:c>
      <x:c r="C3224" s="21" t="str">
        <x:v>string</x:v>
      </x:c>
      <x:c r="D3224" s="21" t="str">
        <x:v>"res://assets/ui/unit_portraits/god_angel.png"</x:v>
      </x:c>
    </x:row>
    <x:row r="3225" ht="22" customHeight="1">
      <x:c r="A3225" s="21" t="str">
        <x:v>data/avatars.json</x:v>
      </x:c>
      <x:c r="B3225" s="21" t="str">
        <x:v>$/avatars/22/group</x:v>
      </x:c>
      <x:c r="C3225" s="21" t="str">
        <x:v>string</x:v>
      </x:c>
      <x:c r="D3225" s="21" t="str">
        <x:v>"god"</x:v>
      </x:c>
    </x:row>
    <x:row r="3226" ht="22" customHeight="1">
      <x:c r="A3226" s="21" t="str">
        <x:v>data/avatars.json</x:v>
      </x:c>
      <x:c r="B3226" s="21" t="str">
        <x:v>$/avatars/23</x:v>
      </x:c>
      <x:c r="C3226" s="21" t="str">
        <x:v>object</x:v>
      </x:c>
      <x:c r="D3226" s="21" t="str"/>
    </x:row>
    <x:row r="3227" ht="22" customHeight="1">
      <x:c r="A3227" s="21" t="str">
        <x:v>data/avatars.json</x:v>
      </x:c>
      <x:c r="B3227" s="21" t="str">
        <x:v>$/avatars/23/id</x:v>
      </x:c>
      <x:c r="C3227" s="21" t="str">
        <x:v>string</x:v>
      </x:c>
      <x:c r="D3227" s="21" t="str">
        <x:v>"avatar_024"</x:v>
      </x:c>
    </x:row>
    <x:row r="3228" ht="22" customHeight="1">
      <x:c r="A3228" s="21" t="str">
        <x:v>data/avatars.json</x:v>
      </x:c>
      <x:c r="B3228" s="21" t="str">
        <x:v>$/avatars/23/name</x:v>
      </x:c>
      <x:c r="C3228" s="21" t="str">
        <x:v>string</x:v>
      </x:c>
      <x:c r="D3228" s="21" t="str">
        <x:v>"裁决者"</x:v>
      </x:c>
    </x:row>
    <x:row r="3229" ht="22" customHeight="1">
      <x:c r="A3229" s="21" t="str">
        <x:v>data/avatars.json</x:v>
      </x:c>
      <x:c r="B3229" s="21" t="str">
        <x:v>$/avatars/23/name_en</x:v>
      </x:c>
      <x:c r="C3229" s="21" t="str">
        <x:v>string</x:v>
      </x:c>
      <x:c r="D3229" s="21" t="str">
        <x:v>"Arbiter"</x:v>
      </x:c>
    </x:row>
    <x:row r="3230" ht="22" customHeight="1">
      <x:c r="A3230" s="21" t="str">
        <x:v>data/avatars.json</x:v>
      </x:c>
      <x:c r="B3230" s="21" t="str">
        <x:v>$/avatars/23/source</x:v>
      </x:c>
      <x:c r="C3230" s="21" t="str">
        <x:v>string</x:v>
      </x:c>
      <x:c r="D3230" s="21" t="str">
        <x:v>"res://assets/ui/unit_portraits/god_arbiter.png"</x:v>
      </x:c>
    </x:row>
    <x:row r="3231" ht="22" customHeight="1">
      <x:c r="A3231" s="21" t="str">
        <x:v>data/avatars.json</x:v>
      </x:c>
      <x:c r="B3231" s="21" t="str">
        <x:v>$/avatars/23/group</x:v>
      </x:c>
      <x:c r="C3231" s="21" t="str">
        <x:v>string</x:v>
      </x:c>
      <x:c r="D3231" s="21" t="str">
        <x:v>"god"</x:v>
      </x:c>
    </x:row>
    <x:row r="3232" ht="22" customHeight="1">
      <x:c r="A3232" s="21" t="str">
        <x:v>data/avatars.json</x:v>
      </x:c>
      <x:c r="B3232" s="21" t="str">
        <x:v>$/avatars/24</x:v>
      </x:c>
      <x:c r="C3232" s="21" t="str">
        <x:v>object</x:v>
      </x:c>
      <x:c r="D3232" s="21" t="str"/>
    </x:row>
    <x:row r="3233" ht="22" customHeight="1">
      <x:c r="A3233" s="21" t="str">
        <x:v>data/avatars.json</x:v>
      </x:c>
      <x:c r="B3233" s="21" t="str">
        <x:v>$/avatars/24/id</x:v>
      </x:c>
      <x:c r="C3233" s="21" t="str">
        <x:v>string</x:v>
      </x:c>
      <x:c r="D3233" s="21" t="str">
        <x:v>"avatar_025"</x:v>
      </x:c>
    </x:row>
    <x:row r="3234" ht="22" customHeight="1">
      <x:c r="A3234" s="21" t="str">
        <x:v>data/avatars.json</x:v>
      </x:c>
      <x:c r="B3234" s="21" t="str">
        <x:v>$/avatars/24/name</x:v>
      </x:c>
      <x:c r="C3234" s="21" t="str">
        <x:v>string</x:v>
      </x:c>
      <x:c r="D3234" s="21" t="str">
        <x:v>"魔童"</x:v>
      </x:c>
    </x:row>
    <x:row r="3235" ht="22" customHeight="1">
      <x:c r="A3235" s="21" t="str">
        <x:v>data/avatars.json</x:v>
      </x:c>
      <x:c r="B3235" s="21" t="str">
        <x:v>$/avatars/24/name_en</x:v>
      </x:c>
      <x:c r="C3235" s="21" t="str">
        <x:v>string</x:v>
      </x:c>
      <x:c r="D3235" s="21" t="str">
        <x:v>"Imp"</x:v>
      </x:c>
    </x:row>
    <x:row r="3236" ht="22" customHeight="1">
      <x:c r="A3236" s="21" t="str">
        <x:v>data/avatars.json</x:v>
      </x:c>
      <x:c r="B3236" s="21" t="str">
        <x:v>$/avatars/24/source</x:v>
      </x:c>
      <x:c r="C3236" s="21" t="str">
        <x:v>string</x:v>
      </x:c>
      <x:c r="D3236" s="21" t="str">
        <x:v>"res://assets/ui/unit_portraits/dark_imp.png"</x:v>
      </x:c>
    </x:row>
    <x:row r="3237" ht="22" customHeight="1">
      <x:c r="A3237" s="21" t="str">
        <x:v>data/avatars.json</x:v>
      </x:c>
      <x:c r="B3237" s="21" t="str">
        <x:v>$/avatars/24/group</x:v>
      </x:c>
      <x:c r="C3237" s="21" t="str">
        <x:v>string</x:v>
      </x:c>
      <x:c r="D3237" s="21" t="str">
        <x:v>"dark"</x:v>
      </x:c>
    </x:row>
    <x:row r="3238" ht="22" customHeight="1">
      <x:c r="A3238" s="21" t="str">
        <x:v>data/avatars.json</x:v>
      </x:c>
      <x:c r="B3238" s="21" t="str">
        <x:v>$/avatars/25</x:v>
      </x:c>
      <x:c r="C3238" s="21" t="str">
        <x:v>object</x:v>
      </x:c>
      <x:c r="D3238" s="21" t="str"/>
    </x:row>
    <x:row r="3239" ht="22" customHeight="1">
      <x:c r="A3239" s="21" t="str">
        <x:v>data/avatars.json</x:v>
      </x:c>
      <x:c r="B3239" s="21" t="str">
        <x:v>$/avatars/25/id</x:v>
      </x:c>
      <x:c r="C3239" s="21" t="str">
        <x:v>string</x:v>
      </x:c>
      <x:c r="D3239" s="21" t="str">
        <x:v>"avatar_026"</x:v>
      </x:c>
    </x:row>
    <x:row r="3240" ht="22" customHeight="1">
      <x:c r="A3240" s="21" t="str">
        <x:v>data/avatars.json</x:v>
      </x:c>
      <x:c r="B3240" s="21" t="str">
        <x:v>$/avatars/25/name</x:v>
      </x:c>
      <x:c r="C3240" s="21" t="str">
        <x:v>string</x:v>
      </x:c>
      <x:c r="D3240" s="21" t="str">
        <x:v>"恐惧魔"</x:v>
      </x:c>
    </x:row>
    <x:row r="3241" ht="22" customHeight="1">
      <x:c r="A3241" s="21" t="str">
        <x:v>data/avatars.json</x:v>
      </x:c>
      <x:c r="B3241" s="21" t="str">
        <x:v>$/avatars/25/name_en</x:v>
      </x:c>
      <x:c r="C3241" s="21" t="str">
        <x:v>string</x:v>
      </x:c>
      <x:c r="D3241" s="21" t="str">
        <x:v>"Fear Demon"</x:v>
      </x:c>
    </x:row>
    <x:row r="3242" ht="22" customHeight="1">
      <x:c r="A3242" s="21" t="str">
        <x:v>data/avatars.json</x:v>
      </x:c>
      <x:c r="B3242" s="21" t="str">
        <x:v>$/avatars/25/source</x:v>
      </x:c>
      <x:c r="C3242" s="21" t="str">
        <x:v>string</x:v>
      </x:c>
      <x:c r="D3242" s="21" t="str">
        <x:v>"res://assets/ui/unit_portraits/dark_fear.png"</x:v>
      </x:c>
    </x:row>
    <x:row r="3243" ht="22" customHeight="1">
      <x:c r="A3243" s="21" t="str">
        <x:v>data/avatars.json</x:v>
      </x:c>
      <x:c r="B3243" s="21" t="str">
        <x:v>$/avatars/25/group</x:v>
      </x:c>
      <x:c r="C3243" s="21" t="str">
        <x:v>string</x:v>
      </x:c>
      <x:c r="D3243" s="21" t="str">
        <x:v>"dark"</x:v>
      </x:c>
    </x:row>
    <x:row r="3244" ht="22" customHeight="1">
      <x:c r="A3244" s="21" t="str">
        <x:v>data/avatars.json</x:v>
      </x:c>
      <x:c r="B3244" s="21" t="str">
        <x:v>$/avatars/26</x:v>
      </x:c>
      <x:c r="C3244" s="21" t="str">
        <x:v>object</x:v>
      </x:c>
      <x:c r="D3244" s="21" t="str"/>
    </x:row>
    <x:row r="3245" ht="22" customHeight="1">
      <x:c r="A3245" s="21" t="str">
        <x:v>data/avatars.json</x:v>
      </x:c>
      <x:c r="B3245" s="21" t="str">
        <x:v>$/avatars/26/id</x:v>
      </x:c>
      <x:c r="C3245" s="21" t="str">
        <x:v>string</x:v>
      </x:c>
      <x:c r="D3245" s="21" t="str">
        <x:v>"avatar_027"</x:v>
      </x:c>
    </x:row>
    <x:row r="3246" ht="22" customHeight="1">
      <x:c r="A3246" s="21" t="str">
        <x:v>data/avatars.json</x:v>
      </x:c>
      <x:c r="B3246" s="21" t="str">
        <x:v>$/avatars/26/name</x:v>
      </x:c>
      <x:c r="C3246" s="21" t="str">
        <x:v>string</x:v>
      </x:c>
      <x:c r="D3246" s="21" t="str">
        <x:v>"偷袭者"</x:v>
      </x:c>
    </x:row>
    <x:row r="3247" ht="22" customHeight="1">
      <x:c r="A3247" s="21" t="str">
        <x:v>data/avatars.json</x:v>
      </x:c>
      <x:c r="B3247" s="21" t="str">
        <x:v>$/avatars/26/name_en</x:v>
      </x:c>
      <x:c r="C3247" s="21" t="str">
        <x:v>string</x:v>
      </x:c>
      <x:c r="D3247" s="21" t="str">
        <x:v>"Ambusher"</x:v>
      </x:c>
    </x:row>
    <x:row r="3248" ht="22" customHeight="1">
      <x:c r="A3248" s="21" t="str">
        <x:v>data/avatars.json</x:v>
      </x:c>
      <x:c r="B3248" s="21" t="str">
        <x:v>$/avatars/26/source</x:v>
      </x:c>
      <x:c r="C3248" s="21" t="str">
        <x:v>string</x:v>
      </x:c>
      <x:c r="D3248" s="21" t="str">
        <x:v>"res://assets/ui/unit_portraits/dark_scythe.png"</x:v>
      </x:c>
    </x:row>
    <x:row r="3249" ht="22" customHeight="1">
      <x:c r="A3249" s="21" t="str">
        <x:v>data/avatars.json</x:v>
      </x:c>
      <x:c r="B3249" s="21" t="str">
        <x:v>$/avatars/26/group</x:v>
      </x:c>
      <x:c r="C3249" s="21" t="str">
        <x:v>string</x:v>
      </x:c>
      <x:c r="D3249" s="21" t="str">
        <x:v>"dark"</x:v>
      </x:c>
    </x:row>
    <x:row r="3250" ht="22" customHeight="1">
      <x:c r="A3250" s="21" t="str">
        <x:v>data/avatars.json</x:v>
      </x:c>
      <x:c r="B3250" s="21" t="str">
        <x:v>$/avatars/27</x:v>
      </x:c>
      <x:c r="C3250" s="21" t="str">
        <x:v>object</x:v>
      </x:c>
      <x:c r="D3250" s="21" t="str"/>
    </x:row>
    <x:row r="3251" ht="22" customHeight="1">
      <x:c r="A3251" s="21" t="str">
        <x:v>data/avatars.json</x:v>
      </x:c>
      <x:c r="B3251" s="21" t="str">
        <x:v>$/avatars/27/id</x:v>
      </x:c>
      <x:c r="C3251" s="21" t="str">
        <x:v>string</x:v>
      </x:c>
      <x:c r="D3251" s="21" t="str">
        <x:v>"avatar_028"</x:v>
      </x:c>
    </x:row>
    <x:row r="3252" ht="22" customHeight="1">
      <x:c r="A3252" s="21" t="str">
        <x:v>data/avatars.json</x:v>
      </x:c>
      <x:c r="B3252" s="21" t="str">
        <x:v>$/avatars/27/name</x:v>
      </x:c>
      <x:c r="C3252" s="21" t="str">
        <x:v>string</x:v>
      </x:c>
      <x:c r="D3252" s="21" t="str">
        <x:v>"魅魔"</x:v>
      </x:c>
    </x:row>
    <x:row r="3253" ht="22" customHeight="1">
      <x:c r="A3253" s="21" t="str">
        <x:v>data/avatars.json</x:v>
      </x:c>
      <x:c r="B3253" s="21" t="str">
        <x:v>$/avatars/27/name_en</x:v>
      </x:c>
      <x:c r="C3253" s="21" t="str">
        <x:v>string</x:v>
      </x:c>
      <x:c r="D3253" s="21" t="str">
        <x:v>"Succubus"</x:v>
      </x:c>
    </x:row>
    <x:row r="3254" ht="22" customHeight="1">
      <x:c r="A3254" s="21" t="str">
        <x:v>data/avatars.json</x:v>
      </x:c>
      <x:c r="B3254" s="21" t="str">
        <x:v>$/avatars/27/source</x:v>
      </x:c>
      <x:c r="C3254" s="21" t="str">
        <x:v>string</x:v>
      </x:c>
      <x:c r="D3254" s="21" t="str">
        <x:v>"res://assets/ui/unit_portraits/dark_suc.png"</x:v>
      </x:c>
    </x:row>
    <x:row r="3255" ht="22" customHeight="1">
      <x:c r="A3255" s="21" t="str">
        <x:v>data/avatars.json</x:v>
      </x:c>
      <x:c r="B3255" s="21" t="str">
        <x:v>$/avatars/27/group</x:v>
      </x:c>
      <x:c r="C3255" s="21" t="str">
        <x:v>string</x:v>
      </x:c>
      <x:c r="D3255" s="21" t="str">
        <x:v>"dark"</x:v>
      </x:c>
    </x:row>
    <x:row r="3256" ht="22" customHeight="1">
      <x:c r="A3256" s="21" t="str">
        <x:v>data/avatars.json</x:v>
      </x:c>
      <x:c r="B3256" s="21" t="str">
        <x:v>$/avatars/28</x:v>
      </x:c>
      <x:c r="C3256" s="21" t="str">
        <x:v>object</x:v>
      </x:c>
      <x:c r="D3256" s="21" t="str"/>
    </x:row>
    <x:row r="3257" ht="22" customHeight="1">
      <x:c r="A3257" s="21" t="str">
        <x:v>data/avatars.json</x:v>
      </x:c>
      <x:c r="B3257" s="21" t="str">
        <x:v>$/avatars/28/id</x:v>
      </x:c>
      <x:c r="C3257" s="21" t="str">
        <x:v>string</x:v>
      </x:c>
      <x:c r="D3257" s="21" t="str">
        <x:v>"avatar_029"</x:v>
      </x:c>
    </x:row>
    <x:row r="3258" ht="22" customHeight="1">
      <x:c r="A3258" s="21" t="str">
        <x:v>data/avatars.json</x:v>
      </x:c>
      <x:c r="B3258" s="21" t="str">
        <x:v>$/avatars/28/name</x:v>
      </x:c>
      <x:c r="C3258" s="21" t="str">
        <x:v>string</x:v>
      </x:c>
      <x:c r="D3258" s="21" t="str">
        <x:v>"小灵"</x:v>
      </x:c>
    </x:row>
    <x:row r="3259" ht="22" customHeight="1">
      <x:c r="A3259" s="21" t="str">
        <x:v>data/avatars.json</x:v>
      </x:c>
      <x:c r="B3259" s="21" t="str">
        <x:v>$/avatars/28/name_en</x:v>
      </x:c>
      <x:c r="C3259" s="21" t="str">
        <x:v>string</x:v>
      </x:c>
      <x:c r="D3259" s="21" t="str">
        <x:v>"Wisp"</x:v>
      </x:c>
    </x:row>
    <x:row r="3260" ht="22" customHeight="1">
      <x:c r="A3260" s="21" t="str">
        <x:v>data/avatars.json</x:v>
      </x:c>
      <x:c r="B3260" s="21" t="str">
        <x:v>$/avatars/28/source</x:v>
      </x:c>
      <x:c r="C3260" s="21" t="str">
        <x:v>string</x:v>
      </x:c>
      <x:c r="D3260" s="21" t="str">
        <x:v>"res://assets/ui/unit_portraits/undead_small.png"</x:v>
      </x:c>
    </x:row>
    <x:row r="3261" ht="22" customHeight="1">
      <x:c r="A3261" s="21" t="str">
        <x:v>data/avatars.json</x:v>
      </x:c>
      <x:c r="B3261" s="21" t="str">
        <x:v>$/avatars/28/group</x:v>
      </x:c>
      <x:c r="C3261" s="21" t="str">
        <x:v>string</x:v>
      </x:c>
      <x:c r="D3261" s="21" t="str">
        <x:v>"undead"</x:v>
      </x:c>
    </x:row>
    <x:row r="3262" ht="22" customHeight="1">
      <x:c r="A3262" s="21" t="str">
        <x:v>data/avatars.json</x:v>
      </x:c>
      <x:c r="B3262" s="21" t="str">
        <x:v>$/avatars/29</x:v>
      </x:c>
      <x:c r="C3262" s="21" t="str">
        <x:v>object</x:v>
      </x:c>
      <x:c r="D3262" s="21" t="str"/>
    </x:row>
    <x:row r="3263" ht="22" customHeight="1">
      <x:c r="A3263" s="21" t="str">
        <x:v>data/avatars.json</x:v>
      </x:c>
      <x:c r="B3263" s="21" t="str">
        <x:v>$/avatars/29/id</x:v>
      </x:c>
      <x:c r="C3263" s="21" t="str">
        <x:v>string</x:v>
      </x:c>
      <x:c r="D3263" s="21" t="str">
        <x:v>"avatar_030"</x:v>
      </x:c>
    </x:row>
    <x:row r="3264" ht="22" customHeight="1">
      <x:c r="A3264" s="21" t="str">
        <x:v>data/avatars.json</x:v>
      </x:c>
      <x:c r="B3264" s="21" t="str">
        <x:v>$/avatars/29/name</x:v>
      </x:c>
      <x:c r="C3264" s="21" t="str">
        <x:v>string</x:v>
      </x:c>
      <x:c r="D3264" s="21" t="str">
        <x:v>"寄生灵"</x:v>
      </x:c>
    </x:row>
    <x:row r="3265" ht="22" customHeight="1">
      <x:c r="A3265" s="21" t="str">
        <x:v>data/avatars.json</x:v>
      </x:c>
      <x:c r="B3265" s="21" t="str">
        <x:v>$/avatars/29/name_en</x:v>
      </x:c>
      <x:c r="C3265" s="21" t="str">
        <x:v>string</x:v>
      </x:c>
      <x:c r="D3265" s="21" t="str">
        <x:v>"Leech Wisp"</x:v>
      </x:c>
    </x:row>
    <x:row r="3266" ht="22" customHeight="1">
      <x:c r="A3266" s="21" t="str">
        <x:v>data/avatars.json</x:v>
      </x:c>
      <x:c r="B3266" s="21" t="str">
        <x:v>$/avatars/29/source</x:v>
      </x:c>
      <x:c r="C3266" s="21" t="str">
        <x:v>string</x:v>
      </x:c>
      <x:c r="D3266" s="21" t="str">
        <x:v>"res://assets/ui/unit_portraits/undead_parasite.png"</x:v>
      </x:c>
    </x:row>
    <x:row r="3267" ht="22" customHeight="1">
      <x:c r="A3267" s="21" t="str">
        <x:v>data/avatars.json</x:v>
      </x:c>
      <x:c r="B3267" s="21" t="str">
        <x:v>$/avatars/29/group</x:v>
      </x:c>
      <x:c r="C3267" s="21" t="str">
        <x:v>string</x:v>
      </x:c>
      <x:c r="D3267" s="21" t="str">
        <x:v>"undead"</x:v>
      </x:c>
    </x:row>
    <x:row r="3268" ht="22" customHeight="1">
      <x:c r="A3268" s="21" t="str">
        <x:v>data/avatars.json</x:v>
      </x:c>
      <x:c r="B3268" s="21" t="str">
        <x:v>$/avatars/30</x:v>
      </x:c>
      <x:c r="C3268" s="21" t="str">
        <x:v>object</x:v>
      </x:c>
      <x:c r="D3268" s="21" t="str"/>
    </x:row>
    <x:row r="3269" ht="22" customHeight="1">
      <x:c r="A3269" s="21" t="str">
        <x:v>data/avatars.json</x:v>
      </x:c>
      <x:c r="B3269" s="21" t="str">
        <x:v>$/avatars/30/id</x:v>
      </x:c>
      <x:c r="C3269" s="21" t="str">
        <x:v>string</x:v>
      </x:c>
      <x:c r="D3269" s="21" t="str">
        <x:v>"avatar_031"</x:v>
      </x:c>
    </x:row>
    <x:row r="3270" ht="22" customHeight="1">
      <x:c r="A3270" s="21" t="str">
        <x:v>data/avatars.json</x:v>
      </x:c>
      <x:c r="B3270" s="21" t="str">
        <x:v>$/avatars/30/name</x:v>
      </x:c>
      <x:c r="C3270" s="21" t="str">
        <x:v>string</x:v>
      </x:c>
      <x:c r="D3270" s="21" t="str">
        <x:v>"飞灵"</x:v>
      </x:c>
    </x:row>
    <x:row r="3271" ht="22" customHeight="1">
      <x:c r="A3271" s="21" t="str">
        <x:v>data/avatars.json</x:v>
      </x:c>
      <x:c r="B3271" s="21" t="str">
        <x:v>$/avatars/30/name_en</x:v>
      </x:c>
      <x:c r="C3271" s="21" t="str">
        <x:v>string</x:v>
      </x:c>
      <x:c r="D3271" s="21" t="str">
        <x:v>"Fly Wisp"</x:v>
      </x:c>
    </x:row>
    <x:row r="3272" ht="22" customHeight="1">
      <x:c r="A3272" s="21" t="str">
        <x:v>data/avatars.json</x:v>
      </x:c>
      <x:c r="B3272" s="21" t="str">
        <x:v>$/avatars/30/source</x:v>
      </x:c>
      <x:c r="C3272" s="21" t="str">
        <x:v>string</x:v>
      </x:c>
      <x:c r="D3272" s="21" t="str">
        <x:v>"res://assets/ui/unit_portraits/undead_fly.png"</x:v>
      </x:c>
    </x:row>
    <x:row r="3273" ht="22" customHeight="1">
      <x:c r="A3273" s="21" t="str">
        <x:v>data/avatars.json</x:v>
      </x:c>
      <x:c r="B3273" s="21" t="str">
        <x:v>$/avatars/30/group</x:v>
      </x:c>
      <x:c r="C3273" s="21" t="str">
        <x:v>string</x:v>
      </x:c>
      <x:c r="D3273" s="21" t="str">
        <x:v>"undead"</x:v>
      </x:c>
    </x:row>
    <x:row r="3274" ht="22" customHeight="1">
      <x:c r="A3274" s="21" t="str">
        <x:v>data/avatars.json</x:v>
      </x:c>
      <x:c r="B3274" s="21" t="str">
        <x:v>$/avatars/31</x:v>
      </x:c>
      <x:c r="C3274" s="21" t="str">
        <x:v>object</x:v>
      </x:c>
      <x:c r="D3274" s="21" t="str"/>
    </x:row>
    <x:row r="3275" ht="22" customHeight="1">
      <x:c r="A3275" s="21" t="str">
        <x:v>data/avatars.json</x:v>
      </x:c>
      <x:c r="B3275" s="21" t="str">
        <x:v>$/avatars/31/id</x:v>
      </x:c>
      <x:c r="C3275" s="21" t="str">
        <x:v>string</x:v>
      </x:c>
      <x:c r="D3275" s="21" t="str">
        <x:v>"avatar_032"</x:v>
      </x:c>
    </x:row>
    <x:row r="3276" ht="22" customHeight="1">
      <x:c r="A3276" s="21" t="str">
        <x:v>data/avatars.json</x:v>
      </x:c>
      <x:c r="B3276" s="21" t="str">
        <x:v>$/avatars/31/name</x:v>
      </x:c>
      <x:c r="C3276" s="21" t="str">
        <x:v>string</x:v>
      </x:c>
      <x:c r="D3276" s="21" t="str">
        <x:v>"自爆灵"</x:v>
      </x:c>
    </x:row>
    <x:row r="3277" ht="22" customHeight="1">
      <x:c r="A3277" s="21" t="str">
        <x:v>data/avatars.json</x:v>
      </x:c>
      <x:c r="B3277" s="21" t="str">
        <x:v>$/avatars/31/name_en</x:v>
      </x:c>
      <x:c r="C3277" s="21" t="str">
        <x:v>string</x:v>
      </x:c>
      <x:c r="D3277" s="21" t="str">
        <x:v>"Bomb Wisp"</x:v>
      </x:c>
    </x:row>
    <x:row r="3278" ht="22" customHeight="1">
      <x:c r="A3278" s="21" t="str">
        <x:v>data/avatars.json</x:v>
      </x:c>
      <x:c r="B3278" s="21" t="str">
        <x:v>$/avatars/31/source</x:v>
      </x:c>
      <x:c r="C3278" s="21" t="str">
        <x:v>string</x:v>
      </x:c>
      <x:c r="D3278" s="21" t="str">
        <x:v>"res://assets/ui/unit_portraits/undead_bomb.png"</x:v>
      </x:c>
    </x:row>
    <x:row r="3279" ht="22" customHeight="1">
      <x:c r="A3279" s="21" t="str">
        <x:v>data/avatars.json</x:v>
      </x:c>
      <x:c r="B3279" s="21" t="str">
        <x:v>$/avatars/31/group</x:v>
      </x:c>
      <x:c r="C3279" s="21" t="str">
        <x:v>string</x:v>
      </x:c>
      <x:c r="D3279" s="21" t="str">
        <x:v>"undead"</x:v>
      </x:c>
    </x:row>
    <x:row r="3280" ht="22" customHeight="1">
      <x:c r="A3280" s="21" t="str">
        <x:v>data/avatars.json</x:v>
      </x:c>
      <x:c r="B3280" s="21" t="str">
        <x:v>$/avatars/32</x:v>
      </x:c>
      <x:c r="C3280" s="21" t="str">
        <x:v>object</x:v>
      </x:c>
      <x:c r="D3280" s="21" t="str"/>
    </x:row>
    <x:row r="3281" ht="22" customHeight="1">
      <x:c r="A3281" s="21" t="str">
        <x:v>data/avatars.json</x:v>
      </x:c>
      <x:c r="B3281" s="21" t="str">
        <x:v>$/avatars/32/id</x:v>
      </x:c>
      <x:c r="C3281" s="21" t="str">
        <x:v>string</x:v>
      </x:c>
      <x:c r="D3281" s="21" t="str">
        <x:v>"avatar_033"</x:v>
      </x:c>
    </x:row>
    <x:row r="3282" ht="22" customHeight="1">
      <x:c r="A3282" s="21" t="str">
        <x:v>data/avatars.json</x:v>
      </x:c>
      <x:c r="B3282" s="21" t="str">
        <x:v>$/avatars/32/name</x:v>
      </x:c>
      <x:c r="C3282" s="21" t="str">
        <x:v>string</x:v>
      </x:c>
      <x:c r="D3282" s="21" t="str">
        <x:v>"民兵"</x:v>
      </x:c>
    </x:row>
    <x:row r="3283" ht="22" customHeight="1">
      <x:c r="A3283" s="21" t="str">
        <x:v>data/avatars.json</x:v>
      </x:c>
      <x:c r="B3283" s="21" t="str">
        <x:v>$/avatars/32/name_en</x:v>
      </x:c>
      <x:c r="C3283" s="21" t="str">
        <x:v>string</x:v>
      </x:c>
      <x:c r="D3283" s="21" t="str">
        <x:v>"Militia"</x:v>
      </x:c>
    </x:row>
    <x:row r="3284" ht="22" customHeight="1">
      <x:c r="A3284" s="21" t="str">
        <x:v>data/avatars.json</x:v>
      </x:c>
      <x:c r="B3284" s="21" t="str">
        <x:v>$/avatars/32/source</x:v>
      </x:c>
      <x:c r="C3284" s="21" t="str">
        <x:v>string</x:v>
      </x:c>
      <x:c r="D3284" s="21" t="str">
        <x:v>"res://assets/ui/unit_portraits/human_militia.png"</x:v>
      </x:c>
    </x:row>
    <x:row r="3285" ht="22" customHeight="1">
      <x:c r="A3285" s="21" t="str">
        <x:v>data/avatars.json</x:v>
      </x:c>
      <x:c r="B3285" s="21" t="str">
        <x:v>$/avatars/32/group</x:v>
      </x:c>
      <x:c r="C3285" s="21" t="str">
        <x:v>string</x:v>
      </x:c>
      <x:c r="D3285" s="21" t="str">
        <x:v>"human"</x:v>
      </x:c>
    </x:row>
    <x:row r="3286" ht="22" customHeight="1">
      <x:c r="A3286" s="21" t="str">
        <x:v>data/avatars.json</x:v>
      </x:c>
      <x:c r="B3286" s="21" t="str">
        <x:v>$/avatars/33</x:v>
      </x:c>
      <x:c r="C3286" s="21" t="str">
        <x:v>object</x:v>
      </x:c>
      <x:c r="D3286" s="21" t="str"/>
    </x:row>
    <x:row r="3287" ht="22" customHeight="1">
      <x:c r="A3287" s="21" t="str">
        <x:v>data/avatars.json</x:v>
      </x:c>
      <x:c r="B3287" s="21" t="str">
        <x:v>$/avatars/33/id</x:v>
      </x:c>
      <x:c r="C3287" s="21" t="str">
        <x:v>string</x:v>
      </x:c>
      <x:c r="D3287" s="21" t="str">
        <x:v>"avatar_034"</x:v>
      </x:c>
    </x:row>
    <x:row r="3288" ht="22" customHeight="1">
      <x:c r="A3288" s="21" t="str">
        <x:v>data/avatars.json</x:v>
      </x:c>
      <x:c r="B3288" s="21" t="str">
        <x:v>$/avatars/33/name</x:v>
      </x:c>
      <x:c r="C3288" s="21" t="str">
        <x:v>string</x:v>
      </x:c>
      <x:c r="D3288" s="21" t="str">
        <x:v>"商人"</x:v>
      </x:c>
    </x:row>
    <x:row r="3289" ht="22" customHeight="1">
      <x:c r="A3289" s="21" t="str">
        <x:v>data/avatars.json</x:v>
      </x:c>
      <x:c r="B3289" s="21" t="str">
        <x:v>$/avatars/33/name_en</x:v>
      </x:c>
      <x:c r="C3289" s="21" t="str">
        <x:v>string</x:v>
      </x:c>
      <x:c r="D3289" s="21" t="str">
        <x:v>"Merchant"</x:v>
      </x:c>
    </x:row>
    <x:row r="3290" ht="22" customHeight="1">
      <x:c r="A3290" s="21" t="str">
        <x:v>data/avatars.json</x:v>
      </x:c>
      <x:c r="B3290" s="21" t="str">
        <x:v>$/avatars/33/source</x:v>
      </x:c>
      <x:c r="C3290" s="21" t="str">
        <x:v>string</x:v>
      </x:c>
      <x:c r="D3290" s="21" t="str">
        <x:v>"res://assets/ui/unit_portraits/human_merchant.png"</x:v>
      </x:c>
    </x:row>
    <x:row r="3291" ht="22" customHeight="1">
      <x:c r="A3291" s="21" t="str">
        <x:v>data/avatars.json</x:v>
      </x:c>
      <x:c r="B3291" s="21" t="str">
        <x:v>$/avatars/33/group</x:v>
      </x:c>
      <x:c r="C3291" s="21" t="str">
        <x:v>string</x:v>
      </x:c>
      <x:c r="D3291" s="21" t="str">
        <x:v>"human"</x:v>
      </x:c>
    </x:row>
    <x:row r="3292" ht="22" customHeight="1">
      <x:c r="A3292" s="21" t="str">
        <x:v>data/avatars.json</x:v>
      </x:c>
      <x:c r="B3292" s="21" t="str">
        <x:v>$/avatars/34</x:v>
      </x:c>
      <x:c r="C3292" s="21" t="str">
        <x:v>object</x:v>
      </x:c>
      <x:c r="D3292" s="21" t="str"/>
    </x:row>
    <x:row r="3293" ht="22" customHeight="1">
      <x:c r="A3293" s="21" t="str">
        <x:v>data/avatars.json</x:v>
      </x:c>
      <x:c r="B3293" s="21" t="str">
        <x:v>$/avatars/34/id</x:v>
      </x:c>
      <x:c r="C3293" s="21" t="str">
        <x:v>string</x:v>
      </x:c>
      <x:c r="D3293" s="21" t="str">
        <x:v>"avatar_035"</x:v>
      </x:c>
    </x:row>
    <x:row r="3294" ht="22" customHeight="1">
      <x:c r="A3294" s="21" t="str">
        <x:v>data/avatars.json</x:v>
      </x:c>
      <x:c r="B3294" s="21" t="str">
        <x:v>$/avatars/34/name</x:v>
      </x:c>
      <x:c r="C3294" s="21" t="str">
        <x:v>string</x:v>
      </x:c>
      <x:c r="D3294" s="21" t="str">
        <x:v>"牧师"</x:v>
      </x:c>
    </x:row>
    <x:row r="3295" ht="22" customHeight="1">
      <x:c r="A3295" s="21" t="str">
        <x:v>data/avatars.json</x:v>
      </x:c>
      <x:c r="B3295" s="21" t="str">
        <x:v>$/avatars/34/name_en</x:v>
      </x:c>
      <x:c r="C3295" s="21" t="str">
        <x:v>string</x:v>
      </x:c>
      <x:c r="D3295" s="21" t="str">
        <x:v>"Cleric"</x:v>
      </x:c>
    </x:row>
    <x:row r="3296" ht="22" customHeight="1">
      <x:c r="A3296" s="21" t="str">
        <x:v>data/avatars.json</x:v>
      </x:c>
      <x:c r="B3296" s="21" t="str">
        <x:v>$/avatars/34/source</x:v>
      </x:c>
      <x:c r="C3296" s="21" t="str">
        <x:v>string</x:v>
      </x:c>
      <x:c r="D3296" s="21" t="str">
        <x:v>"res://assets/ui/unit_portraits/human_cleric.png"</x:v>
      </x:c>
    </x:row>
    <x:row r="3297" ht="22" customHeight="1">
      <x:c r="A3297" s="21" t="str">
        <x:v>data/avatars.json</x:v>
      </x:c>
      <x:c r="B3297" s="21" t="str">
        <x:v>$/avatars/34/group</x:v>
      </x:c>
      <x:c r="C3297" s="21" t="str">
        <x:v>string</x:v>
      </x:c>
      <x:c r="D3297" s="21" t="str">
        <x:v>"human"</x:v>
      </x:c>
    </x:row>
    <x:row r="3298" ht="22" customHeight="1">
      <x:c r="A3298" s="21" t="str">
        <x:v>data/avatars.json</x:v>
      </x:c>
      <x:c r="B3298" s="21" t="str">
        <x:v>$/avatars/35</x:v>
      </x:c>
      <x:c r="C3298" s="21" t="str">
        <x:v>object</x:v>
      </x:c>
      <x:c r="D3298" s="21" t="str"/>
    </x:row>
    <x:row r="3299" ht="22" customHeight="1">
      <x:c r="A3299" s="21" t="str">
        <x:v>data/avatars.json</x:v>
      </x:c>
      <x:c r="B3299" s="21" t="str">
        <x:v>$/avatars/35/id</x:v>
      </x:c>
      <x:c r="C3299" s="21" t="str">
        <x:v>string</x:v>
      </x:c>
      <x:c r="D3299" s="21" t="str">
        <x:v>"avatar_036"</x:v>
      </x:c>
    </x:row>
    <x:row r="3300" ht="22" customHeight="1">
      <x:c r="A3300" s="21" t="str">
        <x:v>data/avatars.json</x:v>
      </x:c>
      <x:c r="B3300" s="21" t="str">
        <x:v>$/avatars/35/name</x:v>
      </x:c>
      <x:c r="C3300" s="21" t="str">
        <x:v>string</x:v>
      </x:c>
      <x:c r="D3300" s="21" t="str">
        <x:v>"死侍"</x:v>
      </x:c>
    </x:row>
    <x:row r="3301" ht="22" customHeight="1">
      <x:c r="A3301" s="21" t="str">
        <x:v>data/avatars.json</x:v>
      </x:c>
      <x:c r="B3301" s="21" t="str">
        <x:v>$/avatars/35/name_en</x:v>
      </x:c>
      <x:c r="C3301" s="21" t="str">
        <x:v>string</x:v>
      </x:c>
      <x:c r="D3301" s="21" t="str">
        <x:v>"Deathbound"</x:v>
      </x:c>
    </x:row>
    <x:row r="3302" ht="22" customHeight="1">
      <x:c r="A3302" s="21" t="str">
        <x:v>data/avatars.json</x:v>
      </x:c>
      <x:c r="B3302" s="21" t="str">
        <x:v>$/avatars/35/source</x:v>
      </x:c>
      <x:c r="C3302" s="21" t="str">
        <x:v>string</x:v>
      </x:c>
      <x:c r="D3302" s="21" t="str">
        <x:v>"res://assets/ui/unit_portraits/human_death_servant.png"</x:v>
      </x:c>
    </x:row>
    <x:row r="3303" ht="22" customHeight="1">
      <x:c r="A3303" s="21" t="str">
        <x:v>data/avatars.json</x:v>
      </x:c>
      <x:c r="B3303" s="21" t="str">
        <x:v>$/avatars/35/group</x:v>
      </x:c>
      <x:c r="C3303" s="21" t="str">
        <x:v>string</x:v>
      </x:c>
      <x:c r="D3303" s="21" t="str">
        <x:v>"human"</x:v>
      </x:c>
    </x:row>
    <x:row r="3304" ht="22" customHeight="1">
      <x:c r="A3304" s="21" t="str">
        <x:v>data/avatars.json</x:v>
      </x:c>
      <x:c r="B3304" s="21" t="str">
        <x:v>$/avatars/36</x:v>
      </x:c>
      <x:c r="C3304" s="21" t="str">
        <x:v>object</x:v>
      </x:c>
      <x:c r="D3304" s="21" t="str"/>
    </x:row>
    <x:row r="3305" ht="22" customHeight="1">
      <x:c r="A3305" s="21" t="str">
        <x:v>data/avatars.json</x:v>
      </x:c>
      <x:c r="B3305" s="21" t="str">
        <x:v>$/avatars/36/id</x:v>
      </x:c>
      <x:c r="C3305" s="21" t="str">
        <x:v>string</x:v>
      </x:c>
      <x:c r="D3305" s="21" t="str">
        <x:v>"avatar_037"</x:v>
      </x:c>
    </x:row>
    <x:row r="3306" ht="22" customHeight="1">
      <x:c r="A3306" s="21" t="str">
        <x:v>data/avatars.json</x:v>
      </x:c>
      <x:c r="B3306" s="21" t="str">
        <x:v>$/avatars/36/name</x:v>
      </x:c>
      <x:c r="C3306" s="21" t="str">
        <x:v>string</x:v>
      </x:c>
      <x:c r="D3306" s="21" t="str">
        <x:v>"赤卫"</x:v>
      </x:c>
    </x:row>
    <x:row r="3307" ht="22" customHeight="1">
      <x:c r="A3307" s="21" t="str">
        <x:v>data/avatars.json</x:v>
      </x:c>
      <x:c r="B3307" s="21" t="str">
        <x:v>$/avatars/36/name_en</x:v>
      </x:c>
      <x:c r="C3307" s="21" t="str">
        <x:v>string</x:v>
      </x:c>
      <x:c r="D3307" s="21" t="str">
        <x:v>"Crimson Guard"</x:v>
      </x:c>
    </x:row>
    <x:row r="3308" ht="22" customHeight="1">
      <x:c r="A3308" s="21" t="str">
        <x:v>data/avatars.json</x:v>
      </x:c>
      <x:c r="B3308" s="21" t="str">
        <x:v>$/avatars/36/source</x:v>
      </x:c>
      <x:c r="C3308" s="21" t="str">
        <x:v>string</x:v>
      </x:c>
      <x:c r="D3308" s="21" t="str">
        <x:v>"res://assets/ui/unit_portraits/crimson.png"</x:v>
      </x:c>
    </x:row>
    <x:row r="3309" ht="22" customHeight="1">
      <x:c r="A3309" s="21" t="str">
        <x:v>data/avatars.json</x:v>
      </x:c>
      <x:c r="B3309" s="21" t="str">
        <x:v>$/avatars/36/group</x:v>
      </x:c>
      <x:c r="C3309" s="21" t="str">
        <x:v>string</x:v>
      </x:c>
      <x:c r="D3309" s="21" t="str">
        <x:v>"crimson"</x:v>
      </x:c>
    </x:row>
    <x:row r="3310" ht="22" customHeight="1">
      <x:c r="A3310" s="21" t="str">
        <x:v>data/avatars.json</x:v>
      </x:c>
      <x:c r="B3310" s="21" t="str">
        <x:v>$/avatars/37</x:v>
      </x:c>
      <x:c r="C3310" s="21" t="str">
        <x:v>object</x:v>
      </x:c>
      <x:c r="D3310" s="21" t="str"/>
    </x:row>
    <x:row r="3311" ht="22" customHeight="1">
      <x:c r="A3311" s="21" t="str">
        <x:v>data/avatars.json</x:v>
      </x:c>
      <x:c r="B3311" s="21" t="str">
        <x:v>$/avatars/37/id</x:v>
      </x:c>
      <x:c r="C3311" s="21" t="str">
        <x:v>string</x:v>
      </x:c>
      <x:c r="D3311" s="21" t="str">
        <x:v>"avatar_038"</x:v>
      </x:c>
    </x:row>
    <x:row r="3312" ht="22" customHeight="1">
      <x:c r="A3312" s="21" t="str">
        <x:v>data/avatars.json</x:v>
      </x:c>
      <x:c r="B3312" s="21" t="str">
        <x:v>$/avatars/37/name</x:v>
      </x:c>
      <x:c r="C3312" s="21" t="str">
        <x:v>string</x:v>
      </x:c>
      <x:c r="D3312" s="21" t="str">
        <x:v>"赤舞者"</x:v>
      </x:c>
    </x:row>
    <x:row r="3313" ht="22" customHeight="1">
      <x:c r="A3313" s="21" t="str">
        <x:v>data/avatars.json</x:v>
      </x:c>
      <x:c r="B3313" s="21" t="str">
        <x:v>$/avatars/37/name_en</x:v>
      </x:c>
      <x:c r="C3313" s="21" t="str">
        <x:v>string</x:v>
      </x:c>
      <x:c r="D3313" s="21" t="str">
        <x:v>"Dancer"</x:v>
      </x:c>
    </x:row>
    <x:row r="3314" ht="22" customHeight="1">
      <x:c r="A3314" s="21" t="str">
        <x:v>data/avatars.json</x:v>
      </x:c>
      <x:c r="B3314" s="21" t="str">
        <x:v>$/avatars/37/source</x:v>
      </x:c>
      <x:c r="C3314" s="21" t="str">
        <x:v>string</x:v>
      </x:c>
      <x:c r="D3314" s="21" t="str">
        <x:v>"res://assets/ui/unit_portraits/dancer.png"</x:v>
      </x:c>
    </x:row>
    <x:row r="3315" ht="22" customHeight="1">
      <x:c r="A3315" s="21" t="str">
        <x:v>data/avatars.json</x:v>
      </x:c>
      <x:c r="B3315" s="21" t="str">
        <x:v>$/avatars/37/group</x:v>
      </x:c>
      <x:c r="C3315" s="21" t="str">
        <x:v>string</x:v>
      </x:c>
      <x:c r="D3315" s="21" t="str">
        <x:v>"crimson"</x:v>
      </x:c>
    </x:row>
    <x:row r="3316" ht="22" customHeight="1">
      <x:c r="A3316" s="21" t="str">
        <x:v>data/avatars.json</x:v>
      </x:c>
      <x:c r="B3316" s="21" t="str">
        <x:v>$/avatars/38</x:v>
      </x:c>
      <x:c r="C3316" s="21" t="str">
        <x:v>object</x:v>
      </x:c>
      <x:c r="D3316" s="21" t="str"/>
    </x:row>
    <x:row r="3317" ht="22" customHeight="1">
      <x:c r="A3317" s="21" t="str">
        <x:v>data/avatars.json</x:v>
      </x:c>
      <x:c r="B3317" s="21" t="str">
        <x:v>$/avatars/38/id</x:v>
      </x:c>
      <x:c r="C3317" s="21" t="str">
        <x:v>string</x:v>
      </x:c>
      <x:c r="D3317" s="21" t="str">
        <x:v>"avatar_039"</x:v>
      </x:c>
    </x:row>
    <x:row r="3318" ht="22" customHeight="1">
      <x:c r="A3318" s="21" t="str">
        <x:v>data/avatars.json</x:v>
      </x:c>
      <x:c r="B3318" s="21" t="str">
        <x:v>$/avatars/38/name</x:v>
      </x:c>
      <x:c r="C3318" s="21" t="str">
        <x:v>string</x:v>
      </x:c>
      <x:c r="D3318" s="21" t="str">
        <x:v>"战鼓使"</x:v>
      </x:c>
    </x:row>
    <x:row r="3319" ht="22" customHeight="1">
      <x:c r="A3319" s="21" t="str">
        <x:v>data/avatars.json</x:v>
      </x:c>
      <x:c r="B3319" s="21" t="str">
        <x:v>$/avatars/38/name_en</x:v>
      </x:c>
      <x:c r="C3319" s="21" t="str">
        <x:v>string</x:v>
      </x:c>
      <x:c r="D3319" s="21" t="str">
        <x:v>"Drummer"</x:v>
      </x:c>
    </x:row>
    <x:row r="3320" ht="22" customHeight="1">
      <x:c r="A3320" s="21" t="str">
        <x:v>data/avatars.json</x:v>
      </x:c>
      <x:c r="B3320" s="21" t="str">
        <x:v>$/avatars/38/source</x:v>
      </x:c>
      <x:c r="C3320" s="21" t="str">
        <x:v>string</x:v>
      </x:c>
      <x:c r="D3320" s="21" t="str">
        <x:v>"res://assets/ui/unit_portraits/drumer.png"</x:v>
      </x:c>
    </x:row>
    <x:row r="3321" ht="22" customHeight="1">
      <x:c r="A3321" s="21" t="str">
        <x:v>data/avatars.json</x:v>
      </x:c>
      <x:c r="B3321" s="21" t="str">
        <x:v>$/avatars/38/group</x:v>
      </x:c>
      <x:c r="C3321" s="21" t="str">
        <x:v>string</x:v>
      </x:c>
      <x:c r="D3321" s="21" t="str">
        <x:v>"crimson"</x:v>
      </x:c>
    </x:row>
    <x:row r="3322" ht="22" customHeight="1">
      <x:c r="A3322" s="21" t="str">
        <x:v>data/avatars.json</x:v>
      </x:c>
      <x:c r="B3322" s="21" t="str">
        <x:v>$/avatars/39</x:v>
      </x:c>
      <x:c r="C3322" s="21" t="str">
        <x:v>object</x:v>
      </x:c>
      <x:c r="D3322" s="21" t="str"/>
    </x:row>
    <x:row r="3323" ht="22" customHeight="1">
      <x:c r="A3323" s="21" t="str">
        <x:v>data/avatars.json</x:v>
      </x:c>
      <x:c r="B3323" s="21" t="str">
        <x:v>$/avatars/39/id</x:v>
      </x:c>
      <x:c r="C3323" s="21" t="str">
        <x:v>string</x:v>
      </x:c>
      <x:c r="D3323" s="21" t="str">
        <x:v>"avatar_040"</x:v>
      </x:c>
    </x:row>
    <x:row r="3324" ht="22" customHeight="1">
      <x:c r="A3324" s="21" t="str">
        <x:v>data/avatars.json</x:v>
      </x:c>
      <x:c r="B3324" s="21" t="str">
        <x:v>$/avatars/39/name</x:v>
      </x:c>
      <x:c r="C3324" s="21" t="str">
        <x:v>string</x:v>
      </x:c>
      <x:c r="D3324" s="21" t="str">
        <x:v>"血猎者"</x:v>
      </x:c>
    </x:row>
    <x:row r="3325" ht="22" customHeight="1">
      <x:c r="A3325" s="21" t="str">
        <x:v>data/avatars.json</x:v>
      </x:c>
      <x:c r="B3325" s="21" t="str">
        <x:v>$/avatars/39/name_en</x:v>
      </x:c>
      <x:c r="C3325" s="21" t="str">
        <x:v>string</x:v>
      </x:c>
      <x:c r="D3325" s="21" t="str">
        <x:v>"Hunter"</x:v>
      </x:c>
    </x:row>
    <x:row r="3326" ht="22" customHeight="1">
      <x:c r="A3326" s="21" t="str">
        <x:v>data/avatars.json</x:v>
      </x:c>
      <x:c r="B3326" s="21" t="str">
        <x:v>$/avatars/39/source</x:v>
      </x:c>
      <x:c r="C3326" s="21" t="str">
        <x:v>string</x:v>
      </x:c>
      <x:c r="D3326" s="21" t="str">
        <x:v>"res://assets/ui/unit_portraits/hunter.png"</x:v>
      </x:c>
    </x:row>
    <x:row r="3327" ht="22" customHeight="1">
      <x:c r="A3327" s="21" t="str">
        <x:v>data/avatars.json</x:v>
      </x:c>
      <x:c r="B3327" s="21" t="str">
        <x:v>$/avatars/39/group</x:v>
      </x:c>
      <x:c r="C3327" s="21" t="str">
        <x:v>string</x:v>
      </x:c>
      <x:c r="D3327" s="21" t="str">
        <x:v>"crimson"</x:v>
      </x:c>
    </x:row>
    <x:row r="3328" ht="22" customHeight="1">
      <x:c r="A3328" s="21" t="str">
        <x:v>data/avatars.json</x:v>
      </x:c>
      <x:c r="B3328" s="21" t="str">
        <x:v>$/avatars/40</x:v>
      </x:c>
      <x:c r="C3328" s="21" t="str">
        <x:v>object</x:v>
      </x:c>
      <x:c r="D3328" s="21" t="str"/>
    </x:row>
    <x:row r="3329" ht="22" customHeight="1">
      <x:c r="A3329" s="21" t="str">
        <x:v>data/avatars.json</x:v>
      </x:c>
      <x:c r="B3329" s="21" t="str">
        <x:v>$/avatars/40/id</x:v>
      </x:c>
      <x:c r="C3329" s="21" t="str">
        <x:v>string</x:v>
      </x:c>
      <x:c r="D3329" s="21" t="str">
        <x:v>"avatar_041"</x:v>
      </x:c>
    </x:row>
    <x:row r="3330" ht="22" customHeight="1">
      <x:c r="A3330" s="21" t="str">
        <x:v>data/avatars.json</x:v>
      </x:c>
      <x:c r="B3330" s="21" t="str">
        <x:v>$/avatars/40/name</x:v>
      </x:c>
      <x:c r="C3330" s="21" t="str">
        <x:v>string</x:v>
      </x:c>
      <x:c r="D3330" s="21" t="str">
        <x:v>"破甲者"</x:v>
      </x:c>
    </x:row>
    <x:row r="3331" ht="22" customHeight="1">
      <x:c r="A3331" s="21" t="str">
        <x:v>data/avatars.json</x:v>
      </x:c>
      <x:c r="B3331" s="21" t="str">
        <x:v>$/avatars/40/name_en</x:v>
      </x:c>
      <x:c r="C3331" s="21" t="str">
        <x:v>string</x:v>
      </x:c>
      <x:c r="D3331" s="21" t="str">
        <x:v>"Armbreaker"</x:v>
      </x:c>
    </x:row>
    <x:row r="3332" ht="22" customHeight="1">
      <x:c r="A3332" s="21" t="str">
        <x:v>data/avatars.json</x:v>
      </x:c>
      <x:c r="B3332" s="21" t="str">
        <x:v>$/avatars/40/source</x:v>
      </x:c>
      <x:c r="C3332" s="21" t="str">
        <x:v>string</x:v>
      </x:c>
      <x:c r="D3332" s="21" t="str">
        <x:v>"res://assets/ui/unit_portraits/armbreaker.png"</x:v>
      </x:c>
    </x:row>
    <x:row r="3333" ht="22" customHeight="1">
      <x:c r="A3333" s="21" t="str">
        <x:v>data/avatars.json</x:v>
      </x:c>
      <x:c r="B3333" s="21" t="str">
        <x:v>$/avatars/40/group</x:v>
      </x:c>
      <x:c r="C3333" s="21" t="str">
        <x:v>string</x:v>
      </x:c>
      <x:c r="D3333" s="21" t="str">
        <x:v>"crimson"</x:v>
      </x:c>
    </x:row>
    <x:row r="3334" ht="22" customHeight="1">
      <x:c r="A3334" s="21" t="str">
        <x:v>data/avatars.json</x:v>
      </x:c>
      <x:c r="B3334" s="21" t="str">
        <x:v>$/avatars/41</x:v>
      </x:c>
      <x:c r="C3334" s="21" t="str">
        <x:v>object</x:v>
      </x:c>
      <x:c r="D3334" s="21" t="str"/>
    </x:row>
    <x:row r="3335" ht="22" customHeight="1">
      <x:c r="A3335" s="21" t="str">
        <x:v>data/avatars.json</x:v>
      </x:c>
      <x:c r="B3335" s="21" t="str">
        <x:v>$/avatars/41/id</x:v>
      </x:c>
      <x:c r="C3335" s="21" t="str">
        <x:v>string</x:v>
      </x:c>
      <x:c r="D3335" s="21" t="str">
        <x:v>"avatar_042"</x:v>
      </x:c>
    </x:row>
    <x:row r="3336" ht="22" customHeight="1">
      <x:c r="A3336" s="21" t="str">
        <x:v>data/avatars.json</x:v>
      </x:c>
      <x:c r="B3336" s="21" t="str">
        <x:v>$/avatars/41/name</x:v>
      </x:c>
      <x:c r="C3336" s="21" t="str">
        <x:v>string</x:v>
      </x:c>
      <x:c r="D3336" s="21" t="str">
        <x:v>"霜印使"</x:v>
      </x:c>
    </x:row>
    <x:row r="3337" ht="22" customHeight="1">
      <x:c r="A3337" s="21" t="str">
        <x:v>data/avatars.json</x:v>
      </x:c>
      <x:c r="B3337" s="21" t="str">
        <x:v>$/avatars/41/name_en</x:v>
      </x:c>
      <x:c r="C3337" s="21" t="str">
        <x:v>string</x:v>
      </x:c>
      <x:c r="D3337" s="21" t="str">
        <x:v>"Icey"</x:v>
      </x:c>
    </x:row>
    <x:row r="3338" ht="22" customHeight="1">
      <x:c r="A3338" s="21" t="str">
        <x:v>data/avatars.json</x:v>
      </x:c>
      <x:c r="B3338" s="21" t="str">
        <x:v>$/avatars/41/source</x:v>
      </x:c>
      <x:c r="C3338" s="21" t="str">
        <x:v>string</x:v>
      </x:c>
      <x:c r="D3338" s="21" t="str">
        <x:v>"res://assets/ui/unit_portraits/Icey.png"</x:v>
      </x:c>
    </x:row>
    <x:row r="3339" ht="22" customHeight="1">
      <x:c r="A3339" s="21" t="str">
        <x:v>data/avatars.json</x:v>
      </x:c>
      <x:c r="B3339" s="21" t="str">
        <x:v>$/avatars/41/group</x:v>
      </x:c>
      <x:c r="C3339" s="21" t="str">
        <x:v>string</x:v>
      </x:c>
      <x:c r="D3339" s="21" t="str">
        <x:v>"crimson"</x:v>
      </x:c>
    </x:row>
    <x:row r="3340" ht="22" customHeight="1">
      <x:c r="A3340" s="21" t="str">
        <x:v>data/avatars.json</x:v>
      </x:c>
      <x:c r="B3340" s="21" t="str">
        <x:v>$/avatars/42</x:v>
      </x:c>
      <x:c r="C3340" s="21" t="str">
        <x:v>object</x:v>
      </x:c>
      <x:c r="D3340" s="21" t="str"/>
    </x:row>
    <x:row r="3341" ht="22" customHeight="1">
      <x:c r="A3341" s="21" t="str">
        <x:v>data/avatars.json</x:v>
      </x:c>
      <x:c r="B3341" s="21" t="str">
        <x:v>$/avatars/42/id</x:v>
      </x:c>
      <x:c r="C3341" s="21" t="str">
        <x:v>string</x:v>
      </x:c>
      <x:c r="D3341" s="21" t="str">
        <x:v>"avatar_043"</x:v>
      </x:c>
    </x:row>
    <x:row r="3342" ht="22" customHeight="1">
      <x:c r="A3342" s="21" t="str">
        <x:v>data/avatars.json</x:v>
      </x:c>
      <x:c r="B3342" s="21" t="str">
        <x:v>$/avatars/42/name</x:v>
      </x:c>
      <x:c r="C3342" s="21" t="str">
        <x:v>string</x:v>
      </x:c>
      <x:c r="D3342" s="21" t="str">
        <x:v>"穿云弩手"</x:v>
      </x:c>
    </x:row>
    <x:row r="3343" ht="22" customHeight="1">
      <x:c r="A3343" s="21" t="str">
        <x:v>data/avatars.json</x:v>
      </x:c>
      <x:c r="B3343" s="21" t="str">
        <x:v>$/avatars/42/name_en</x:v>
      </x:c>
      <x:c r="C3343" s="21" t="str">
        <x:v>string</x:v>
      </x:c>
      <x:c r="D3343" s="21" t="str">
        <x:v>"Skypierce"</x:v>
      </x:c>
    </x:row>
    <x:row r="3344" ht="22" customHeight="1">
      <x:c r="A3344" s="21" t="str">
        <x:v>data/avatars.json</x:v>
      </x:c>
      <x:c r="B3344" s="21" t="str">
        <x:v>$/avatars/42/source</x:v>
      </x:c>
      <x:c r="C3344" s="21" t="str">
        <x:v>string</x:v>
      </x:c>
      <x:c r="D3344" s="21" t="str">
        <x:v>"res://assets/ui/unit_portraits/skypierce.png"</x:v>
      </x:c>
    </x:row>
    <x:row r="3345" ht="22" customHeight="1">
      <x:c r="A3345" s="21" t="str">
        <x:v>data/avatars.json</x:v>
      </x:c>
      <x:c r="B3345" s="21" t="str">
        <x:v>$/avatars/42/group</x:v>
      </x:c>
      <x:c r="C3345" s="21" t="str">
        <x:v>string</x:v>
      </x:c>
      <x:c r="D3345" s="21" t="str">
        <x:v>"crimson"</x:v>
      </x:c>
    </x:row>
    <x:row r="3346" ht="22" customHeight="1">
      <x:c r="A3346" s="21" t="str">
        <x:v>data/avatars.json</x:v>
      </x:c>
      <x:c r="B3346" s="21" t="str">
        <x:v>$/avatars/43</x:v>
      </x:c>
      <x:c r="C3346" s="21" t="str">
        <x:v>object</x:v>
      </x:c>
      <x:c r="D3346" s="21" t="str"/>
    </x:row>
    <x:row r="3347" ht="22" customHeight="1">
      <x:c r="A3347" s="21" t="str">
        <x:v>data/avatars.json</x:v>
      </x:c>
      <x:c r="B3347" s="21" t="str">
        <x:v>$/avatars/43/id</x:v>
      </x:c>
      <x:c r="C3347" s="21" t="str">
        <x:v>string</x:v>
      </x:c>
      <x:c r="D3347" s="21" t="str">
        <x:v>"avatar_044"</x:v>
      </x:c>
    </x:row>
    <x:row r="3348" ht="22" customHeight="1">
      <x:c r="A3348" s="21" t="str">
        <x:v>data/avatars.json</x:v>
      </x:c>
      <x:c r="B3348" s="21" t="str">
        <x:v>$/avatars/43/name</x:v>
      </x:c>
      <x:c r="C3348" s="21" t="str">
        <x:v>string</x:v>
      </x:c>
      <x:c r="D3348" s="21" t="str">
        <x:v>"赤灯使"</x:v>
      </x:c>
    </x:row>
    <x:row r="3349" ht="22" customHeight="1">
      <x:c r="A3349" s="21" t="str">
        <x:v>data/avatars.json</x:v>
      </x:c>
      <x:c r="B3349" s="21" t="str">
        <x:v>$/avatars/43/name_en</x:v>
      </x:c>
      <x:c r="C3349" s="21" t="str">
        <x:v>string</x:v>
      </x:c>
      <x:c r="D3349" s="21" t="str">
        <x:v>"Lantern"</x:v>
      </x:c>
    </x:row>
    <x:row r="3350" ht="22" customHeight="1">
      <x:c r="A3350" s="21" t="str">
        <x:v>data/avatars.json</x:v>
      </x:c>
      <x:c r="B3350" s="21" t="str">
        <x:v>$/avatars/43/source</x:v>
      </x:c>
      <x:c r="C3350" s="21" t="str">
        <x:v>string</x:v>
      </x:c>
      <x:c r="D3350" s="21" t="str">
        <x:v>"res://assets/ui/unit_portraits/lattern.png"</x:v>
      </x:c>
    </x:row>
    <x:row r="3351" ht="22" customHeight="1">
      <x:c r="A3351" s="21" t="str">
        <x:v>data/avatars.json</x:v>
      </x:c>
      <x:c r="B3351" s="21" t="str">
        <x:v>$/avatars/43/group</x:v>
      </x:c>
      <x:c r="C3351" s="21" t="str">
        <x:v>string</x:v>
      </x:c>
      <x:c r="D3351" s="21" t="str">
        <x:v>"crimson"</x:v>
      </x:c>
    </x:row>
    <x:row r="3352" ht="22" customHeight="1">
      <x:c r="A3352" s="21" t="str">
        <x:v>data/avatars.json</x:v>
      </x:c>
      <x:c r="B3352" s="21" t="str">
        <x:v>$/avatars/44</x:v>
      </x:c>
      <x:c r="C3352" s="21" t="str">
        <x:v>object</x:v>
      </x:c>
      <x:c r="D3352" s="21" t="str"/>
    </x:row>
    <x:row r="3353" ht="22" customHeight="1">
      <x:c r="A3353" s="21" t="str">
        <x:v>data/avatars.json</x:v>
      </x:c>
      <x:c r="B3353" s="21" t="str">
        <x:v>$/avatars/44/id</x:v>
      </x:c>
      <x:c r="C3353" s="21" t="str">
        <x:v>string</x:v>
      </x:c>
      <x:c r="D3353" s="21" t="str">
        <x:v>"avatar_045"</x:v>
      </x:c>
    </x:row>
    <x:row r="3354" ht="22" customHeight="1">
      <x:c r="A3354" s="21" t="str">
        <x:v>data/avatars.json</x:v>
      </x:c>
      <x:c r="B3354" s="21" t="str">
        <x:v>$/avatars/44/name</x:v>
      </x:c>
      <x:c r="C3354" s="21" t="str">
        <x:v>string</x:v>
      </x:c>
      <x:c r="D3354" s="21" t="str">
        <x:v>"泡沫术士"</x:v>
      </x:c>
    </x:row>
    <x:row r="3355" ht="22" customHeight="1">
      <x:c r="A3355" s="21" t="str">
        <x:v>data/avatars.json</x:v>
      </x:c>
      <x:c r="B3355" s="21" t="str">
        <x:v>$/avatars/44/name_en</x:v>
      </x:c>
      <x:c r="C3355" s="21" t="str">
        <x:v>string</x:v>
      </x:c>
      <x:c r="D3355" s="21" t="str">
        <x:v>"Bubble Mage"</x:v>
      </x:c>
    </x:row>
    <x:row r="3356" ht="22" customHeight="1">
      <x:c r="A3356" s="21" t="str">
        <x:v>data/avatars.json</x:v>
      </x:c>
      <x:c r="B3356" s="21" t="str">
        <x:v>$/avatars/44/source</x:v>
      </x:c>
      <x:c r="C3356" s="21" t="str">
        <x:v>string</x:v>
      </x:c>
      <x:c r="D3356" s="21" t="str">
        <x:v>"res://assets/ui/mercenary_portraits/merc_pisces_bubble.png"</x:v>
      </x:c>
    </x:row>
    <x:row r="3357" ht="22" customHeight="1">
      <x:c r="A3357" s="21" t="str">
        <x:v>data/avatars.json</x:v>
      </x:c>
      <x:c r="B3357" s="21" t="str">
        <x:v>$/avatars/44/group</x:v>
      </x:c>
      <x:c r="C3357" s="21" t="str">
        <x:v>string</x:v>
      </x:c>
      <x:c r="D3357" s="21" t="str">
        <x:v>"mercenary"</x:v>
      </x:c>
    </x:row>
    <x:row r="3358" ht="22" customHeight="1">
      <x:c r="A3358" s="21" t="str">
        <x:v>data/avatars.json</x:v>
      </x:c>
      <x:c r="B3358" s="21" t="str">
        <x:v>$/avatars/45</x:v>
      </x:c>
      <x:c r="C3358" s="21" t="str">
        <x:v>object</x:v>
      </x:c>
      <x:c r="D3358" s="21" t="str"/>
    </x:row>
    <x:row r="3359" ht="22" customHeight="1">
      <x:c r="A3359" s="21" t="str">
        <x:v>data/avatars.json</x:v>
      </x:c>
      <x:c r="B3359" s="21" t="str">
        <x:v>$/avatars/45/id</x:v>
      </x:c>
      <x:c r="C3359" s="21" t="str">
        <x:v>string</x:v>
      </x:c>
      <x:c r="D3359" s="21" t="str">
        <x:v>"avatar_046"</x:v>
      </x:c>
    </x:row>
    <x:row r="3360" ht="22" customHeight="1">
      <x:c r="A3360" s="21" t="str">
        <x:v>data/avatars.json</x:v>
      </x:c>
      <x:c r="B3360" s="21" t="str">
        <x:v>$/avatars/45/name</x:v>
      </x:c>
      <x:c r="C3360" s="21" t="str">
        <x:v>string</x:v>
      </x:c>
      <x:c r="D3360" s="21" t="str">
        <x:v>"甲壳守卫"</x:v>
      </x:c>
    </x:row>
    <x:row r="3361" ht="22" customHeight="1">
      <x:c r="A3361" s="21" t="str">
        <x:v>data/avatars.json</x:v>
      </x:c>
      <x:c r="B3361" s="21" t="str">
        <x:v>$/avatars/45/name_en</x:v>
      </x:c>
      <x:c r="C3361" s="21" t="str">
        <x:v>string</x:v>
      </x:c>
      <x:c r="D3361" s="21" t="str">
        <x:v>"Shell Guard"</x:v>
      </x:c>
    </x:row>
    <x:row r="3362" ht="22" customHeight="1">
      <x:c r="A3362" s="21" t="str">
        <x:v>data/avatars.json</x:v>
      </x:c>
      <x:c r="B3362" s="21" t="str">
        <x:v>$/avatars/45/source</x:v>
      </x:c>
      <x:c r="C3362" s="21" t="str">
        <x:v>string</x:v>
      </x:c>
      <x:c r="D3362" s="21" t="str">
        <x:v>"res://assets/ui/mercenary_portraits/merc_cancer_shell.png"</x:v>
      </x:c>
    </x:row>
    <x:row r="3363" ht="22" customHeight="1">
      <x:c r="A3363" s="21" t="str">
        <x:v>data/avatars.json</x:v>
      </x:c>
      <x:c r="B3363" s="21" t="str">
        <x:v>$/avatars/45/group</x:v>
      </x:c>
      <x:c r="C3363" s="21" t="str">
        <x:v>string</x:v>
      </x:c>
      <x:c r="D3363" s="21" t="str">
        <x:v>"mercenary"</x:v>
      </x:c>
    </x:row>
    <x:row r="3364" ht="22" customHeight="1">
      <x:c r="A3364" s="21" t="str">
        <x:v>data/avatars.json</x:v>
      </x:c>
      <x:c r="B3364" s="21" t="str">
        <x:v>$/avatars/46</x:v>
      </x:c>
      <x:c r="C3364" s="21" t="str">
        <x:v>object</x:v>
      </x:c>
      <x:c r="D3364" s="21" t="str"/>
    </x:row>
    <x:row r="3365" ht="22" customHeight="1">
      <x:c r="A3365" s="21" t="str">
        <x:v>data/avatars.json</x:v>
      </x:c>
      <x:c r="B3365" s="21" t="str">
        <x:v>$/avatars/46/id</x:v>
      </x:c>
      <x:c r="C3365" s="21" t="str">
        <x:v>string</x:v>
      </x:c>
      <x:c r="D3365" s="21" t="str">
        <x:v>"avatar_047"</x:v>
      </x:c>
    </x:row>
    <x:row r="3366" ht="22" customHeight="1">
      <x:c r="A3366" s="21" t="str">
        <x:v>data/avatars.json</x:v>
      </x:c>
      <x:c r="B3366" s="21" t="str">
        <x:v>$/avatars/46/name</x:v>
      </x:c>
      <x:c r="C3366" s="21" t="str">
        <x:v>string</x:v>
      </x:c>
      <x:c r="D3366" s="21" t="str">
        <x:v>"黄金重骑"</x:v>
      </x:c>
    </x:row>
    <x:row r="3367" ht="22" customHeight="1">
      <x:c r="A3367" s="21" t="str">
        <x:v>data/avatars.json</x:v>
      </x:c>
      <x:c r="B3367" s="21" t="str">
        <x:v>$/avatars/46/name_en</x:v>
      </x:c>
      <x:c r="C3367" s="21" t="str">
        <x:v>string</x:v>
      </x:c>
      <x:c r="D3367" s="21" t="str">
        <x:v>"Gold Charger"</x:v>
      </x:c>
    </x:row>
    <x:row r="3368" ht="22" customHeight="1">
      <x:c r="A3368" s="21" t="str">
        <x:v>data/avatars.json</x:v>
      </x:c>
      <x:c r="B3368" s="21" t="str">
        <x:v>$/avatars/46/source</x:v>
      </x:c>
      <x:c r="C3368" s="21" t="str">
        <x:v>string</x:v>
      </x:c>
      <x:c r="D3368" s="21" t="str">
        <x:v>"res://assets/ui/mercenary_portraits/merc_taurus_charge.png"</x:v>
      </x:c>
    </x:row>
    <x:row r="3369" ht="22" customHeight="1">
      <x:c r="A3369" s="21" t="str">
        <x:v>data/avatars.json</x:v>
      </x:c>
      <x:c r="B3369" s="21" t="str">
        <x:v>$/avatars/46/group</x:v>
      </x:c>
      <x:c r="C3369" s="21" t="str">
        <x:v>string</x:v>
      </x:c>
      <x:c r="D3369" s="21" t="str">
        <x:v>"mercenary"</x:v>
      </x:c>
    </x:row>
    <x:row r="3370" ht="22" customHeight="1">
      <x:c r="A3370" s="21" t="str">
        <x:v>data/avatars.json</x:v>
      </x:c>
      <x:c r="B3370" s="21" t="str">
        <x:v>$/avatars/47</x:v>
      </x:c>
      <x:c r="C3370" s="21" t="str">
        <x:v>object</x:v>
      </x:c>
      <x:c r="D3370" s="21" t="str"/>
    </x:row>
    <x:row r="3371" ht="22" customHeight="1">
      <x:c r="A3371" s="21" t="str">
        <x:v>data/avatars.json</x:v>
      </x:c>
      <x:c r="B3371" s="21" t="str">
        <x:v>$/avatars/47/id</x:v>
      </x:c>
      <x:c r="C3371" s="21" t="str">
        <x:v>string</x:v>
      </x:c>
      <x:c r="D3371" s="21" t="str">
        <x:v>"avatar_048"</x:v>
      </x:c>
    </x:row>
    <x:row r="3372" ht="22" customHeight="1">
      <x:c r="A3372" s="21" t="str">
        <x:v>data/avatars.json</x:v>
      </x:c>
      <x:c r="B3372" s="21" t="str">
        <x:v>$/avatars/47/name</x:v>
      </x:c>
      <x:c r="C3372" s="21" t="str">
        <x:v>string</x:v>
      </x:c>
      <x:c r="D3372" s="21" t="str">
        <x:v>"圣愈修女"</x:v>
      </x:c>
    </x:row>
    <x:row r="3373" ht="22" customHeight="1">
      <x:c r="A3373" s="21" t="str">
        <x:v>data/avatars.json</x:v>
      </x:c>
      <x:c r="B3373" s="21" t="str">
        <x:v>$/avatars/47/name_en</x:v>
      </x:c>
      <x:c r="C3373" s="21" t="str">
        <x:v>string</x:v>
      </x:c>
      <x:c r="D3373" s="21" t="str">
        <x:v>"Holy Sister"</x:v>
      </x:c>
    </x:row>
    <x:row r="3374" ht="22" customHeight="1">
      <x:c r="A3374" s="21" t="str">
        <x:v>data/avatars.json</x:v>
      </x:c>
      <x:c r="B3374" s="21" t="str">
        <x:v>$/avatars/47/source</x:v>
      </x:c>
      <x:c r="C3374" s="21" t="str">
        <x:v>string</x:v>
      </x:c>
      <x:c r="D3374" s="21" t="str">
        <x:v>"res://assets/ui/mercenary_portraits/merc_virgo_heal.png"</x:v>
      </x:c>
    </x:row>
    <x:row r="3375" ht="22" customHeight="1">
      <x:c r="A3375" s="21" t="str">
        <x:v>data/avatars.json</x:v>
      </x:c>
      <x:c r="B3375" s="21" t="str">
        <x:v>$/avatars/47/group</x:v>
      </x:c>
      <x:c r="C3375" s="21" t="str">
        <x:v>string</x:v>
      </x:c>
      <x:c r="D3375" s="21" t="str">
        <x:v>"mercenary"</x:v>
      </x:c>
    </x:row>
    <x:row r="3376" ht="22" customHeight="1">
      <x:c r="A3376" s="21" t="str">
        <x:v>data/avatars.json</x:v>
      </x:c>
      <x:c r="B3376" s="21" t="str">
        <x:v>$/avatars/48</x:v>
      </x:c>
      <x:c r="C3376" s="21" t="str">
        <x:v>object</x:v>
      </x:c>
      <x:c r="D3376" s="21" t="str"/>
    </x:row>
    <x:row r="3377" ht="22" customHeight="1">
      <x:c r="A3377" s="21" t="str">
        <x:v>data/avatars.json</x:v>
      </x:c>
      <x:c r="B3377" s="21" t="str">
        <x:v>$/avatars/48/id</x:v>
      </x:c>
      <x:c r="C3377" s="21" t="str">
        <x:v>string</x:v>
      </x:c>
      <x:c r="D3377" s="21" t="str">
        <x:v>"avatar_049"</x:v>
      </x:c>
    </x:row>
    <x:row r="3378" ht="22" customHeight="1">
      <x:c r="A3378" s="21" t="str">
        <x:v>data/avatars.json</x:v>
      </x:c>
      <x:c r="B3378" s="21" t="str">
        <x:v>$/avatars/48/name</x:v>
      </x:c>
      <x:c r="C3378" s="21" t="str">
        <x:v>string</x:v>
      </x:c>
      <x:c r="D3378" s="21" t="str">
        <x:v>"镜像刺客"</x:v>
      </x:c>
    </x:row>
    <x:row r="3379" ht="22" customHeight="1">
      <x:c r="A3379" s="21" t="str">
        <x:v>data/avatars.json</x:v>
      </x:c>
      <x:c r="B3379" s="21" t="str">
        <x:v>$/avatars/48/name_en</x:v>
      </x:c>
      <x:c r="C3379" s="21" t="str">
        <x:v>string</x:v>
      </x:c>
      <x:c r="D3379" s="21" t="str">
        <x:v>"Mirror Assassin"</x:v>
      </x:c>
    </x:row>
    <x:row r="3380" ht="22" customHeight="1">
      <x:c r="A3380" s="21" t="str">
        <x:v>data/avatars.json</x:v>
      </x:c>
      <x:c r="B3380" s="21" t="str">
        <x:v>$/avatars/48/source</x:v>
      </x:c>
      <x:c r="C3380" s="21" t="str">
        <x:v>string</x:v>
      </x:c>
      <x:c r="D3380" s="21" t="str">
        <x:v>"res://assets/ui/mercenary_portraits/merc_gemini_assassin.png"</x:v>
      </x:c>
    </x:row>
    <x:row r="3381" ht="22" customHeight="1">
      <x:c r="A3381" s="21" t="str">
        <x:v>data/avatars.json</x:v>
      </x:c>
      <x:c r="B3381" s="21" t="str">
        <x:v>$/avatars/48/group</x:v>
      </x:c>
      <x:c r="C3381" s="21" t="str">
        <x:v>string</x:v>
      </x:c>
      <x:c r="D3381" s="21" t="str">
        <x:v>"mercenary"</x:v>
      </x:c>
    </x:row>
    <x:row r="3382" ht="22" customHeight="1">
      <x:c r="A3382" s="21" t="str">
        <x:v>data/avatars.json</x:v>
      </x:c>
      <x:c r="B3382" s="21" t="str">
        <x:v>$/avatars/49</x:v>
      </x:c>
      <x:c r="C3382" s="21" t="str">
        <x:v>object</x:v>
      </x:c>
      <x:c r="D3382" s="21" t="str"/>
    </x:row>
    <x:row r="3383" ht="22" customHeight="1">
      <x:c r="A3383" s="21" t="str">
        <x:v>data/avatars.json</x:v>
      </x:c>
      <x:c r="B3383" s="21" t="str">
        <x:v>$/avatars/49/id</x:v>
      </x:c>
      <x:c r="C3383" s="21" t="str">
        <x:v>string</x:v>
      </x:c>
      <x:c r="D3383" s="21" t="str">
        <x:v>"avatar_050"</x:v>
      </x:c>
    </x:row>
    <x:row r="3384" ht="22" customHeight="1">
      <x:c r="A3384" s="21" t="str">
        <x:v>data/avatars.json</x:v>
      </x:c>
      <x:c r="B3384" s="21" t="str">
        <x:v>$/avatars/49/name</x:v>
      </x:c>
      <x:c r="C3384" s="21" t="str">
        <x:v>string</x:v>
      </x:c>
      <x:c r="D3384" s="21" t="str">
        <x:v>"星轨猎人"</x:v>
      </x:c>
    </x:row>
    <x:row r="3385" ht="22" customHeight="1">
      <x:c r="A3385" s="21" t="str">
        <x:v>data/avatars.json</x:v>
      </x:c>
      <x:c r="B3385" s="21" t="str">
        <x:v>$/avatars/49/name_en</x:v>
      </x:c>
      <x:c r="C3385" s="21" t="str">
        <x:v>string</x:v>
      </x:c>
      <x:c r="D3385" s="21" t="str">
        <x:v>"Star Hunter"</x:v>
      </x:c>
    </x:row>
    <x:row r="3386" ht="22" customHeight="1">
      <x:c r="A3386" s="21" t="str">
        <x:v>data/avatars.json</x:v>
      </x:c>
      <x:c r="B3386" s="21" t="str">
        <x:v>$/avatars/49/source</x:v>
      </x:c>
      <x:c r="C3386" s="21" t="str">
        <x:v>string</x:v>
      </x:c>
      <x:c r="D3386" s="21" t="str">
        <x:v>"res://assets/ui/mercenary_portraits/merc_sagittarius_rain.png"</x:v>
      </x:c>
    </x:row>
    <x:row r="3387" ht="22" customHeight="1">
      <x:c r="A3387" s="21" t="str">
        <x:v>data/avatars.json</x:v>
      </x:c>
      <x:c r="B3387" s="21" t="str">
        <x:v>$/avatars/49/group</x:v>
      </x:c>
      <x:c r="C3387" s="21" t="str">
        <x:v>string</x:v>
      </x:c>
      <x:c r="D3387" s="21" t="str">
        <x:v>"mercenary"</x:v>
      </x:c>
    </x:row>
    <x:row r="3388" ht="22" customHeight="1">
      <x:c r="A3388" s="21" t="str">
        <x:v>data/avatars.json</x:v>
      </x:c>
      <x:c r="B3388" s="21" t="str">
        <x:v>$/avatars/50</x:v>
      </x:c>
      <x:c r="C3388" s="21" t="str">
        <x:v>object</x:v>
      </x:c>
      <x:c r="D3388" s="21" t="str"/>
    </x:row>
    <x:row r="3389" ht="22" customHeight="1">
      <x:c r="A3389" s="21" t="str">
        <x:v>data/avatars.json</x:v>
      </x:c>
      <x:c r="B3389" s="21" t="str">
        <x:v>$/avatars/50/id</x:v>
      </x:c>
      <x:c r="C3389" s="21" t="str">
        <x:v>string</x:v>
      </x:c>
      <x:c r="D3389" s="21" t="str">
        <x:v>"avatar_051"</x:v>
      </x:c>
    </x:row>
    <x:row r="3390" ht="22" customHeight="1">
      <x:c r="A3390" s="21" t="str">
        <x:v>data/avatars.json</x:v>
      </x:c>
      <x:c r="B3390" s="21" t="str">
        <x:v>$/avatars/50/name</x:v>
      </x:c>
      <x:c r="C3390" s="21" t="str">
        <x:v>string</x:v>
      </x:c>
      <x:c r="D3390" s="21" t="str">
        <x:v>"黑钢统帅"</x:v>
      </x:c>
    </x:row>
    <x:row r="3391" ht="22" customHeight="1">
      <x:c r="A3391" s="21" t="str">
        <x:v>data/avatars.json</x:v>
      </x:c>
      <x:c r="B3391" s="21" t="str">
        <x:v>$/avatars/50/name_en</x:v>
      </x:c>
      <x:c r="C3391" s="21" t="str">
        <x:v>string</x:v>
      </x:c>
      <x:c r="D3391" s="21" t="str">
        <x:v>"Steel Marshal"</x:v>
      </x:c>
    </x:row>
    <x:row r="3392" ht="22" customHeight="1">
      <x:c r="A3392" s="21" t="str">
        <x:v>data/avatars.json</x:v>
      </x:c>
      <x:c r="B3392" s="21" t="str">
        <x:v>$/avatars/50/source</x:v>
      </x:c>
      <x:c r="C3392" s="21" t="str">
        <x:v>string</x:v>
      </x:c>
      <x:c r="D3392" s="21" t="str">
        <x:v>"res://assets/ui/mercenary_portraits/merc_capricorn_steel.png"</x:v>
      </x:c>
    </x:row>
    <x:row r="3393" ht="22" customHeight="1">
      <x:c r="A3393" s="21" t="str">
        <x:v>data/avatars.json</x:v>
      </x:c>
      <x:c r="B3393" s="21" t="str">
        <x:v>$/avatars/50/group</x:v>
      </x:c>
      <x:c r="C3393" s="21" t="str">
        <x:v>string</x:v>
      </x:c>
      <x:c r="D3393" s="21" t="str">
        <x:v>"mercenary"</x:v>
      </x:c>
    </x:row>
    <x:row r="3394" ht="22" customHeight="1">
      <x:c r="A3394" s="21" t="str">
        <x:v>data/avatars.json</x:v>
      </x:c>
      <x:c r="B3394" s="21" t="str">
        <x:v>$/avatars/51</x:v>
      </x:c>
      <x:c r="C3394" s="21" t="str">
        <x:v>object</x:v>
      </x:c>
      <x:c r="D3394" s="21" t="str"/>
    </x:row>
    <x:row r="3395" ht="22" customHeight="1">
      <x:c r="A3395" s="21" t="str">
        <x:v>data/avatars.json</x:v>
      </x:c>
      <x:c r="B3395" s="21" t="str">
        <x:v>$/avatars/51/id</x:v>
      </x:c>
      <x:c r="C3395" s="21" t="str">
        <x:v>string</x:v>
      </x:c>
      <x:c r="D3395" s="21" t="str">
        <x:v>"avatar_052"</x:v>
      </x:c>
    </x:row>
    <x:row r="3396" ht="22" customHeight="1">
      <x:c r="A3396" s="21" t="str">
        <x:v>data/avatars.json</x:v>
      </x:c>
      <x:c r="B3396" s="21" t="str">
        <x:v>$/avatars/51/name</x:v>
      </x:c>
      <x:c r="C3396" s="21" t="str">
        <x:v>string</x:v>
      </x:c>
      <x:c r="D3396" s="21" t="str">
        <x:v>"时空观测者"</x:v>
      </x:c>
    </x:row>
    <x:row r="3397" ht="22" customHeight="1">
      <x:c r="A3397" s="21" t="str">
        <x:v>data/avatars.json</x:v>
      </x:c>
      <x:c r="B3397" s="21" t="str">
        <x:v>$/avatars/51/name_en</x:v>
      </x:c>
      <x:c r="C3397" s="21" t="str">
        <x:v>string</x:v>
      </x:c>
      <x:c r="D3397" s="21" t="str">
        <x:v>"Time Observer"</x:v>
      </x:c>
    </x:row>
    <x:row r="3398" ht="22" customHeight="1">
      <x:c r="A3398" s="21" t="str">
        <x:v>data/avatars.json</x:v>
      </x:c>
      <x:c r="B3398" s="21" t="str">
        <x:v>$/avatars/51/source</x:v>
      </x:c>
      <x:c r="C3398" s="21" t="str">
        <x:v>string</x:v>
      </x:c>
      <x:c r="D3398" s="21" t="str">
        <x:v>"res://assets/ui/mercenary_portraits/merc_aquarius_time.png"</x:v>
      </x:c>
    </x:row>
    <x:row r="3399" ht="22" customHeight="1">
      <x:c r="A3399" s="21" t="str">
        <x:v>data/avatars.json</x:v>
      </x:c>
      <x:c r="B3399" s="21" t="str">
        <x:v>$/avatars/51/group</x:v>
      </x:c>
      <x:c r="C3399" s="21" t="str">
        <x:v>string</x:v>
      </x:c>
      <x:c r="D3399" s="21" t="str">
        <x:v>"mercenary"</x:v>
      </x:c>
    </x:row>
  </x:sheetData>
  <x:mergeCells>
    <x:mergeCell ref="A1:D1"/>
    <x:mergeCell ref="A2:D2"/>
  </x:mergeCells>
  <x:pageMargins left="0.7" right="0.7" top="0.75" bottom="0.75" header="0.3" footer="0.3"/>
</x:worksheet>
</file>

<file path=xl/worksheets/sheet18.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52" hidden="0" customWidth="1"/>
    <x:col min="2" max="2" width="18" hidden="0" customWidth="1"/>
    <x:col min="3" max="3" width="72" hidden="0" customWidth="1"/>
    <x:col min="4" max="4" width="28" hidden="0" customWidth="1"/>
    <x:col min="5" max="5" width="27" hidden="0" customWidth="1"/>
  </x:cols>
  <x:sheetData>
    <x:row r="1" ht="34" customHeight="1">
      <x:c r="A1" s="17" t="str">
        <x:v>91_来源清单</x:v>
      </x:c>
      <x:c r="B1" s="17"/>
      <x:c r="C1" s="17"/>
      <x:c r="D1" s="17"/>
      <x:c r="E1" s="17"/>
    </x:row>
    <x:row r="2" ht="42" customHeight="1">
      <x:c r="A2" s="4" t="str">
        <x:v>本机仓库 2026-10-08 静态配置快照。修改任何运行配置后，必须从 final 导出并运行一致性检查；线上实际部署版本另行核对。</x:v>
      </x:c>
      <x:c r="B2" s="4"/>
      <x:c r="C2" s="4"/>
      <x:c r="D2" s="4"/>
      <x:c r="E2" s="4"/>
    </x:row>
    <x:row r="3" ht="28" customHeight="1">
      <x:c r="A3" s="20" t="str">
        <x:v>运行文件</x:v>
      </x:c>
      <x:c r="B3" s="20" t="str">
        <x:v>字段节点数</x:v>
      </x:c>
      <x:c r="C3" s="20" t="str">
        <x:v>初始文件 SHA-256</x:v>
      </x:c>
      <x:c r="D3" s="20" t="str">
        <x:v>来源</x:v>
      </x:c>
      <x:c r="E3" s="20" t="str">
        <x:v>编辑位置</x:v>
      </x:c>
    </x:row>
    <x:row r="4" ht="22" customHeight="1">
      <x:c r="A4" s="21" t="str">
        <x:v>data/rounds/round_schedule.json</x:v>
      </x:c>
      <x:c r="B4" s="21" t="n">
        <x:v>19</x:v>
      </x:c>
      <x:c r="C4" s="21" t="str">
        <x:v>736af1c276dc504c542bc28a94ef922aa29b4789ce94fe7c0b553766b03095fe</x:v>
      </x:c>
      <x:c r="D4" s="21" t="str">
        <x:v>本机仓库运行文件</x:v>
      </x:c>
      <x:c r="E4" s="21" t="str">
        <x:v>Excel 90_运行配置</x:v>
      </x:c>
    </x:row>
    <x:row r="5" ht="22" customHeight="1">
      <x:c r="A5" s="21" t="str">
        <x:v>data/units/race_units.json</x:v>
      </x:c>
      <x:c r="B5" s="21" t="n">
        <x:v>1129</x:v>
      </x:c>
      <x:c r="C5" s="21" t="str">
        <x:v>a5060ff848ab343c39107882d394a38162dd22b6108ba41b9beaad89ec742f92</x:v>
      </x:c>
      <x:c r="D5" s="21" t="str">
        <x:v>本机仓库运行文件</x:v>
      </x:c>
      <x:c r="E5" s="21" t="str">
        <x:v>Excel 90_运行配置</x:v>
      </x:c>
    </x:row>
    <x:row r="6" ht="22" customHeight="1">
      <x:c r="A6" s="21" t="str">
        <x:v>data/pve/pve_monsters.json</x:v>
      </x:c>
      <x:c r="B6" s="21" t="n">
        <x:v>371</x:v>
      </x:c>
      <x:c r="C6" s="21" t="str">
        <x:v>d4c66a504f8a97f28fc391119ef1ea31fffd76991b58841e61c4089899284846</x:v>
      </x:c>
      <x:c r="D6" s="21" t="str">
        <x:v>本机仓库运行文件</x:v>
      </x:c>
      <x:c r="E6" s="21" t="str">
        <x:v>Excel 90_运行配置</x:v>
      </x:c>
    </x:row>
    <x:row r="7" ht="22" customHeight="1">
      <x:c r="A7" s="21" t="str">
        <x:v>data/boss/bosses.json</x:v>
      </x:c>
      <x:c r="B7" s="21" t="n">
        <x:v>258</x:v>
      </x:c>
      <x:c r="C7" s="21" t="str">
        <x:v>bf9e9a72979fbf9d7c14182f3ee6985cfe2fe452c7faacb3daf6f4352337a0bd</x:v>
      </x:c>
      <x:c r="D7" s="21" t="str">
        <x:v>本机仓库运行文件</x:v>
      </x:c>
      <x:c r="E7" s="21" t="str">
        <x:v>Excel 90_运行配置</x:v>
      </x:c>
    </x:row>
    <x:row r="8" ht="22" customHeight="1">
      <x:c r="A8" s="21" t="str">
        <x:v>data/mercenary/mercenaries.json</x:v>
      </x:c>
      <x:c r="B8" s="21" t="n">
        <x:v>335</x:v>
      </x:c>
      <x:c r="C8" s="21" t="str">
        <x:v>6e089d0d395f7a9e0d77add3bf8bc2b8895722b44b5cdbc69e94164f86c23d30</x:v>
      </x:c>
      <x:c r="D8" s="21" t="str">
        <x:v>本机仓库运行文件</x:v>
      </x:c>
      <x:c r="E8" s="21" t="str">
        <x:v>Excel 90_运行配置</x:v>
      </x:c>
    </x:row>
    <x:row r="9" ht="22" customHeight="1">
      <x:c r="A9" s="21" t="str">
        <x:v>data/treasure/treasures.json</x:v>
      </x:c>
      <x:c r="B9" s="21" t="n">
        <x:v>239</x:v>
      </x:c>
      <x:c r="C9" s="21" t="str">
        <x:v>7fc6d5e9d4c47c92385bb2619a5a8583bd8c94a6447695a66c313e9fbb9ba554</x:v>
      </x:c>
      <x:c r="D9" s="21" t="str">
        <x:v>本机仓库运行文件</x:v>
      </x:c>
      <x:c r="E9" s="21" t="str">
        <x:v>Excel 90_运行配置</x:v>
      </x:c>
    </x:row>
    <x:row r="10" ht="22" customHeight="1">
      <x:c r="A10" s="21" t="str">
        <x:v>data/formation/formation_allies.json</x:v>
      </x:c>
      <x:c r="B10" s="21" t="n">
        <x:v>147</x:v>
      </x:c>
      <x:c r="C10" s="21" t="str">
        <x:v>b6a19e1cfb53e587a283eb90581dcb8b55eedb4471811f2969f1782bc458b281</x:v>
      </x:c>
      <x:c r="D10" s="21" t="str">
        <x:v>本机仓库运行文件</x:v>
      </x:c>
      <x:c r="E10" s="21" t="str">
        <x:v>Excel 90_运行配置</x:v>
      </x:c>
    </x:row>
    <x:row r="11" ht="22" customHeight="1">
      <x:c r="A11" s="21" t="str">
        <x:v>data/pets/pets.json</x:v>
      </x:c>
      <x:c r="B11" s="21" t="n">
        <x:v>56</x:v>
      </x:c>
      <x:c r="C11" s="21" t="str">
        <x:v>322cf7cd78c872760467c1069b6ea819a1e86afecb9861e7d31cd1be9f86c152</x:v>
      </x:c>
      <x:c r="D11" s="21" t="str">
        <x:v>本机仓库运行文件</x:v>
      </x:c>
      <x:c r="E11" s="21" t="str">
        <x:v>Excel 90_运行配置</x:v>
      </x:c>
    </x:row>
    <x:row r="12" ht="22" customHeight="1">
      <x:c r="A12" s="21" t="str">
        <x:v>data/shop.json</x:v>
      </x:c>
      <x:c r="B12" s="21" t="n">
        <x:v>107</x:v>
      </x:c>
      <x:c r="C12" s="21" t="str">
        <x:v>0e47e6bfaec6522c832052a676dc4a5e2d05ce487d322e54af49ee989e9aa0e9</x:v>
      </x:c>
      <x:c r="D12" s="21" t="str">
        <x:v>本机仓库运行文件</x:v>
      </x:c>
      <x:c r="E12" s="21" t="str">
        <x:v>Excel 90_运行配置</x:v>
      </x:c>
    </x:row>
    <x:row r="13" ht="22" customHeight="1">
      <x:c r="A13" s="21" t="str">
        <x:v>data/codex/treasure_text.json</x:v>
      </x:c>
      <x:c r="B13" s="21" t="n">
        <x:v>292</x:v>
      </x:c>
      <x:c r="C13" s="21" t="str">
        <x:v>a859a60f384c303feb7017a509907e914c390a8ef845051c2b123f804645e7d2</x:v>
      </x:c>
      <x:c r="D13" s="21" t="str">
        <x:v>本机仓库运行文件</x:v>
      </x:c>
      <x:c r="E13" s="21" t="str">
        <x:v>Excel 90_运行配置</x:v>
      </x:c>
    </x:row>
    <x:row r="14" ht="22" customHeight="1">
      <x:c r="A14" s="21" t="str">
        <x:v>data/diamond_products.json</x:v>
      </x:c>
      <x:c r="B14" s="21" t="n">
        <x:v>19</x:v>
      </x:c>
      <x:c r="C14" s="21" t="str">
        <x:v>c873dc89ac996ac30af0e0cd43f4e41a8c9a92038b249c883c52b08ac9e68930</x:v>
      </x:c>
      <x:c r="D14" s="21" t="str">
        <x:v>本机仓库运行文件</x:v>
      </x:c>
      <x:c r="E14" s="21" t="str">
        <x:v>Excel 90_运行配置</x:v>
      </x:c>
    </x:row>
    <x:row r="15" ht="22" customHeight="1">
      <x:c r="A15" s="21" t="str">
        <x:v>data/seven_day_login.json</x:v>
      </x:c>
      <x:c r="B15" s="21" t="n">
        <x:v>34</x:v>
      </x:c>
      <x:c r="C15" s="21" t="str">
        <x:v>a0879aedbb9c191c0c2e09998a13c8e88399b927720afe44ea52dd6e391929a9</x:v>
      </x:c>
      <x:c r="D15" s="21" t="str">
        <x:v>本机仓库运行文件</x:v>
      </x:c>
      <x:c r="E15" s="21" t="str">
        <x:v>Excel 90_运行配置</x:v>
      </x:c>
    </x:row>
    <x:row r="16" ht="22" customHeight="1">
      <x:c r="A16" s="21" t="str">
        <x:v>data/prep_skins.json</x:v>
      </x:c>
      <x:c r="B16" s="21" t="n">
        <x:v>20</x:v>
      </x:c>
      <x:c r="C16" s="21" t="str">
        <x:v>8c831e73043f7a595471721e34a2fe36ba00bf3d2d1c829bd94e58f48980ec2c</x:v>
      </x:c>
      <x:c r="D16" s="21" t="str">
        <x:v>本机仓库运行文件</x:v>
      </x:c>
      <x:c r="E16" s="21" t="str">
        <x:v>Excel 90_运行配置</x:v>
      </x:c>
    </x:row>
    <x:row r="17" ht="22" customHeight="1">
      <x:c r="A17" s="21" t="str">
        <x:v>data/avatars.json</x:v>
      </x:c>
      <x:c r="B17" s="21" t="n">
        <x:v>362</x:v>
      </x:c>
      <x:c r="C17" s="21" t="str">
        <x:v>cd7439747c8ccc5d0da723a52b17fb24373abb8b6c6aa2b5e7155d667a7e2019</x:v>
      </x:c>
      <x:c r="D17" s="21" t="str">
        <x:v>本机仓库当前配置</x:v>
      </x:c>
      <x:c r="E17" s="21" t="str">
        <x:v>90_运行配置</x:v>
      </x:c>
    </x:row>
  </x:sheetData>
  <x:mergeCells>
    <x:mergeCell ref="A1:E1"/>
    <x:mergeCell ref="A2:E2"/>
  </x:mergeCells>
  <x:pageMargins left="0.7" right="0.7" top="0.75" bottom="0.75" header="0.3" footer="0.3"/>
</x:worksheet>
</file>

<file path=xl/worksheets/sheet19.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36" hidden="0" customWidth="1"/>
    <x:col min="2" max="2" width="16" hidden="0" customWidth="1"/>
    <x:col min="3" max="3" width="14" hidden="0" customWidth="1"/>
    <x:col min="4" max="4" width="63" hidden="0" customWidth="1"/>
    <x:col min="5" max="5" width="46" hidden="0" customWidth="1"/>
  </x:cols>
  <x:sheetData>
    <x:row r="1" ht="34" customHeight="1">
      <x:c r="A1" s="23" t="str">
        <x:v>代码内固定参数对照</x:v>
      </x:c>
      <x:c r="B1" s="23"/>
      <x:c r="C1" s="23"/>
      <x:c r="D1" s="23"/>
      <x:c r="E1" s="23"/>
    </x:row>
    <x:row r="2" ht="36" customHeight="1">
      <x:c r="A2" s="4" t="str">
        <x:v>发布检查核对这些尚未由 JSON 加载的固定参数；修改玩法时先修改此页，再修改代码并运行校验。</x:v>
      </x:c>
      <x:c r="B2" s="4"/>
      <x:c r="C2" s="4"/>
      <x:c r="D2" s="4"/>
      <x:c r="E2" s="4"/>
    </x:row>
    <x:row r="3" ht="28" customHeight="1">
      <x:c r="A3" s="25" t="str">
        <x:v>参数 ID</x:v>
      </x:c>
      <x:c r="B3" s="25" t="str">
        <x:v>数值</x:v>
      </x:c>
      <x:c r="C3" s="25" t="str">
        <x:v>类型</x:v>
      </x:c>
      <x:c r="D3" s="25" t="str">
        <x:v>代码位置</x:v>
      </x:c>
      <x:c r="E3" s="25" t="str">
        <x:v>代码表达式</x:v>
      </x:c>
    </x:row>
    <x:row r="4" ht="24" customHeight="1">
      <x:c r="A4" s="26" t="str">
        <x:v>economy.base_interest_rate</x:v>
      </x:c>
      <x:c r="B4" s="26" t="n">
        <x:v>0.05</x:v>
      </x:c>
      <x:c r="C4" s="26" t="str">
        <x:v>float</x:v>
      </x:c>
      <x:c r="D4" s="26" t="str">
        <x:v>scripts/economy/EconomyService.gd</x:v>
      </x:c>
      <x:c r="E4" s="26" t="str">
        <x:v>BASE_INTEREST_RATE</x:v>
      </x:c>
    </x:row>
    <x:row r="5" ht="24" customHeight="1">
      <x:c r="A5" s="26" t="str">
        <x:v>economy.sell_refund_rate</x:v>
      </x:c>
      <x:c r="B5" s="26" t="n">
        <x:v>0.5</x:v>
      </x:c>
      <x:c r="C5" s="26" t="str">
        <x:v>float</x:v>
      </x:c>
      <x:c r="D5" s="26" t="str">
        <x:v>scripts/multiplayer/EconomyLedger.gd</x:v>
      </x:c>
      <x:c r="E5" s="26" t="str">
        <x:v>SELL_REFUND_RATE</x:v>
      </x:c>
    </x:row>
    <x:row r="6" ht="24" customHeight="1">
      <x:c r="A6" s="26" t="str">
        <x:v>treasure.phoenix_revive_hp_rate</x:v>
      </x:c>
      <x:c r="B6" s="26" t="n">
        <x:v>0.4</x:v>
      </x:c>
      <x:c r="C6" s="26" t="str">
        <x:v>float</x:v>
      </x:c>
      <x:c r="D6" s="26" t="str">
        <x:v>scripts/battle/BattleSimTreasures.gd</x:v>
      </x:c>
      <x:c r="E6" s="26" t="str">
        <x:v>victim.max_hp * 0.40</x:v>
      </x:c>
    </x:row>
    <x:row r="7" ht="24" customHeight="1">
      <x:c r="A7" s="26" t="str">
        <x:v>synergy.undead_poison_antiheal</x:v>
      </x:c>
      <x:c r="B7" s="26" t="n">
        <x:v>0.3</x:v>
      </x:c>
      <x:c r="C7" s="26" t="str">
        <x:v>float</x:v>
      </x:c>
      <x:c r="D7" s="26" t="str">
        <x:v>scripts/units/SynergyService.gd</x:v>
      </x:c>
      <x:c r="E7" s="26" t="str">
        <x:v>undead_poison_antiheal: 0.30</x:v>
      </x:c>
    </x:row>
    <x:row r="8" ht="24" customHeight="1">
      <x:c r="A8" s="26" t="str">
        <x:v>pet_draw.price</x:v>
      </x:c>
      <x:c r="B8" s="26" t="n">
        <x:v>75</x:v>
      </x:c>
      <x:c r="C8" s="26" t="str">
        <x:v>int</x:v>
      </x:c>
      <x:c r="D8" s="26" t="str">
        <x:v>backend/app/pet_draw.py</x:v>
      </x:c>
      <x:c r="E8" s="26" t="str">
        <x:v>PRICE</x:v>
      </x:c>
    </x:row>
    <x:row r="9" ht="24" customHeight="1">
      <x:c r="A9" s="26" t="str">
        <x:v>pet_draw.miss_coin</x:v>
      </x:c>
      <x:c r="B9" s="26" t="n">
        <x:v>100</x:v>
      </x:c>
      <x:c r="C9" s="26" t="str">
        <x:v>int</x:v>
      </x:c>
      <x:c r="D9" s="26" t="str">
        <x:v>backend/app/pet_draw.py</x:v>
      </x:c>
      <x:c r="E9" s="26" t="str">
        <x:v>MISS_COIN</x:v>
      </x:c>
    </x:row>
    <x:row r="10" ht="24" customHeight="1">
      <x:c r="A10" s="26" t="str">
        <x:v>pet_draw.pity_limit</x:v>
      </x:c>
      <x:c r="B10" s="26" t="n">
        <x:v>10</x:v>
      </x:c>
      <x:c r="C10" s="26" t="str">
        <x:v>int</x:v>
      </x:c>
      <x:c r="D10" s="26" t="str">
        <x:v>backend/app/pet_draw.py</x:v>
      </x:c>
      <x:c r="E10" s="26" t="str">
        <x:v>PITY_LIMIT</x:v>
      </x:c>
    </x:row>
    <x:row r="11" ht="24" customHeight="1">
      <x:c r="A11" s="26" t="str">
        <x:v>pet_draw.base_chance_percent</x:v>
      </x:c>
      <x:c r="B11" s="26" t="n">
        <x:v>10</x:v>
      </x:c>
      <x:c r="C11" s="26" t="str">
        <x:v>int</x:v>
      </x:c>
      <x:c r="D11" s="26" t="str">
        <x:v>backend/app/pet_draw.py</x:v>
      </x:c>
      <x:c r="E11" s="26" t="str">
        <x:v>secrets.randbelow(10)</x:v>
      </x:c>
    </x:row>
  </x:sheetData>
  <x:mergeCells>
    <x:mergeCell ref="A1:E1"/>
    <x:mergeCell ref="A2:E2"/>
  </x:mergeCells>
  <x:pageMargins left="0.7" right="0.7" top="0.75" bottom="0.75" header="0.3" footer="0.3"/>
</x:worksheet>
</file>

<file path=xl/worksheets/sheet20.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38" hidden="0" customWidth="1"/>
    <x:col min="2" max="2" width="19" hidden="0" customWidth="1"/>
    <x:col min="3" max="3" width="47" hidden="0" customWidth="1"/>
    <x:col min="4" max="4" width="16" hidden="0" customWidth="1"/>
    <x:col min="5" max="5" width="14" hidden="0" customWidth="1"/>
    <x:col min="6" max="6" width="28" hidden="0" customWidth="1"/>
    <x:col min="7" max="7" width="30" hidden="0" customWidth="1"/>
    <x:col min="8" max="8" width="15" hidden="0" customWidth="1"/>
  </x:cols>
  <x:sheetData>
    <x:row r="1" ht="34" customHeight="1">
      <x:c r="A1" s="28" t="str">
        <x:v>商城商品与售价</x:v>
      </x:c>
      <x:c r="B1" s="28"/>
      <x:c r="C1" s="28"/>
      <x:c r="D1" s="28"/>
      <x:c r="E1" s="28"/>
      <x:c r="F1" s="28"/>
      <x:c r="G1" s="28"/>
      <x:c r="H1" s="28"/>
    </x:row>
    <x:row r="2" ht="36" customHeight="1">
      <x:c r="A2" s="4" t="str">
        <x:v>商城商品由 data/shop.json 管理；此页与 JSON 保持一致，发布检查会核对名称、货币、价格及上架状态。</x:v>
      </x:c>
      <x:c r="B2" s="4"/>
      <x:c r="C2" s="4"/>
      <x:c r="D2" s="4"/>
      <x:c r="E2" s="4"/>
      <x:c r="F2" s="4"/>
      <x:c r="G2" s="4"/>
      <x:c r="H2" s="4"/>
    </x:row>
    <x:row r="3" ht="28" customHeight="1">
      <x:c r="A3" s="30" t="str">
        <x:v>商品 ID</x:v>
      </x:c>
      <x:c r="B3" s="30" t="str">
        <x:v>类型</x:v>
      </x:c>
      <x:c r="C3" s="30" t="str">
        <x:v>授予内容</x:v>
      </x:c>
      <x:c r="D3" s="30" t="str">
        <x:v>货币</x:v>
      </x:c>
      <x:c r="E3" s="30" t="str">
        <x:v>价格</x:v>
      </x:c>
      <x:c r="F3" s="30" t="str">
        <x:v>中文名</x:v>
      </x:c>
      <x:c r="G3" s="30" t="str">
        <x:v>英文名</x:v>
      </x:c>
      <x:c r="H3" s="30" t="str">
        <x:v>可购买</x:v>
      </x:c>
    </x:row>
    <x:row r="4" ht="24" customHeight="1">
      <x:c r="A4" s="26" t="str">
        <x:v>shop_pet_mushroom</x:v>
      </x:c>
      <x:c r="B4" s="26" t="str">
        <x:v>pet</x:v>
      </x:c>
      <x:c r="C4" s="26" t="str">
        <x:v>pet_mushroom</x:v>
      </x:c>
      <x:c r="D4" s="26" t="str">
        <x:v>coin</x:v>
      </x:c>
      <x:c r="E4" s="26" t="n">
        <x:v>500</x:v>
      </x:c>
      <x:c r="F4" s="26" t="str">
        <x:v>蘑菇</x:v>
      </x:c>
      <x:c r="G4" s="26" t="str">
        <x:v>Mushroom</x:v>
      </x:c>
      <x:c r="H4" s="26" t="str">
        <x:v>是</x:v>
      </x:c>
    </x:row>
    <x:row r="5" ht="24" customHeight="1">
      <x:c r="A5" s="26" t="str">
        <x:v>shop_pet_cat</x:v>
      </x:c>
      <x:c r="B5" s="26" t="str">
        <x:v>pet</x:v>
      </x:c>
      <x:c r="C5" s="26" t="str">
        <x:v>pet_cat</x:v>
      </x:c>
      <x:c r="D5" s="26" t="str">
        <x:v>coin</x:v>
      </x:c>
      <x:c r="E5" s="26" t="n">
        <x:v>500</x:v>
      </x:c>
      <x:c r="F5" s="26" t="str">
        <x:v>猫</x:v>
      </x:c>
      <x:c r="G5" s="26" t="str">
        <x:v>Cat</x:v>
      </x:c>
      <x:c r="H5" s="26" t="str">
        <x:v>是</x:v>
      </x:c>
    </x:row>
    <x:row r="6" ht="24" customHeight="1">
      <x:c r="A6" s="26" t="str">
        <x:v>shop_pet_rabbit</x:v>
      </x:c>
      <x:c r="B6" s="26" t="str">
        <x:v>pet</x:v>
      </x:c>
      <x:c r="C6" s="26" t="str">
        <x:v>pet_rabbit</x:v>
      </x:c>
      <x:c r="D6" s="26" t="str">
        <x:v>coin</x:v>
      </x:c>
      <x:c r="E6" s="26" t="n">
        <x:v>500</x:v>
      </x:c>
      <x:c r="F6" s="26" t="str">
        <x:v>兔子</x:v>
      </x:c>
      <x:c r="G6" s="26" t="str">
        <x:v>Rabbit</x:v>
      </x:c>
      <x:c r="H6" s="26" t="str">
        <x:v>是</x:v>
      </x:c>
    </x:row>
    <x:row r="7" ht="24" customHeight="1">
      <x:c r="A7" s="26" t="str">
        <x:v>shop_prep_skin_ice</x:v>
      </x:c>
      <x:c r="B7" s="26" t="str">
        <x:v>prep_skin</x:v>
      </x:c>
      <x:c r="C7" s="26" t="str">
        <x:v>prep_skin_ice</x:v>
      </x:c>
      <x:c r="D7" s="26" t="str">
        <x:v>diamond</x:v>
      </x:c>
      <x:c r="E7" s="26" t="n">
        <x:v>0</x:v>
      </x:c>
      <x:c r="F7" s="26" t="str">
        <x:v>冰雪棋盘</x:v>
      </x:c>
      <x:c r="G7" s="26" t="str">
        <x:v>Frost Board</x:v>
      </x:c>
      <x:c r="H7" s="26" t="str">
        <x:v>否</x:v>
      </x:c>
    </x:row>
    <x:row r="8" ht="24" customHeight="1">
      <x:c r="A8" s="26" t="str">
        <x:v>event_frame_7day_ice</x:v>
      </x:c>
      <x:c r="B8" s="26" t="str">
        <x:v>avatar_frame</x:v>
      </x:c>
      <x:c r="C8" s="26" t="str">
        <x:v>preset:avatar_frame_7day_01</x:v>
      </x:c>
      <x:c r="D8" s="26" t="str">
        <x:v>diamond</x:v>
      </x:c>
      <x:c r="E8" s="26" t="n">
        <x:v>0</x:v>
      </x:c>
      <x:c r="F8" s="26" t="str">
        <x:v>冰雪七日头像框</x:v>
      </x:c>
      <x:c r="G8" s="26" t="str">
        <x:v>Frost Seven-Day Frame</x:v>
      </x:c>
      <x:c r="H8" s="26" t="str">
        <x:v>否</x:v>
      </x:c>
    </x:row>
    <x:row r="9" ht="24" customHeight="1">
      <x:c r="A9" s="26" t="str">
        <x:v>shop_frame_emerald</x:v>
      </x:c>
      <x:c r="B9" s="26" t="str">
        <x:v>avatar_frame</x:v>
      </x:c>
      <x:c r="C9" s="26" t="str">
        <x:v>preset:avatar_frame_shop_01</x:v>
      </x:c>
      <x:c r="D9" s="26" t="str">
        <x:v>coin</x:v>
      </x:c>
      <x:c r="E9" s="26" t="n">
        <x:v>600</x:v>
      </x:c>
      <x:c r="F9" s="26" t="str">
        <x:v>翡翠森境</x:v>
      </x:c>
      <x:c r="G9" s="26" t="str">
        <x:v>Emerald Grove</x:v>
      </x:c>
      <x:c r="H9" s="26" t="str">
        <x:v>是</x:v>
      </x:c>
    </x:row>
    <x:row r="10" ht="24" customHeight="1">
      <x:c r="A10" s="26" t="str">
        <x:v>shop_frame_frost</x:v>
      </x:c>
      <x:c r="B10" s="26" t="str">
        <x:v>avatar_frame</x:v>
      </x:c>
      <x:c r="C10" s="26" t="str">
        <x:v>preset:avatar_frame_shop_02</x:v>
      </x:c>
      <x:c r="D10" s="26" t="str">
        <x:v>coin</x:v>
      </x:c>
      <x:c r="E10" s="26" t="n">
        <x:v>600</x:v>
      </x:c>
      <x:c r="F10" s="26" t="str">
        <x:v>霜晶王冠</x:v>
      </x:c>
      <x:c r="G10" s="26" t="str">
        <x:v>Frost Crown</x:v>
      </x:c>
      <x:c r="H10" s="26" t="str">
        <x:v>是</x:v>
      </x:c>
    </x:row>
    <x:row r="11" ht="24" customHeight="1">
      <x:c r="A11" s="26" t="str">
        <x:v>shop_frame_dragon</x:v>
      </x:c>
      <x:c r="B11" s="26" t="str">
        <x:v>avatar_frame</x:v>
      </x:c>
      <x:c r="C11" s="26" t="str">
        <x:v>preset:avatar_frame_shop_03</x:v>
      </x:c>
      <x:c r="D11" s="26" t="str">
        <x:v>coin</x:v>
      </x:c>
      <x:c r="E11" s="26" t="n">
        <x:v>600</x:v>
      </x:c>
      <x:c r="F11" s="26" t="str">
        <x:v>鎏金龙鳞</x:v>
      </x:c>
      <x:c r="G11" s="26" t="str">
        <x:v>Gilded Dragon</x:v>
      </x:c>
      <x:c r="H11" s="26" t="str">
        <x:v>是</x:v>
      </x:c>
    </x:row>
    <x:row r="12" ht="24" customHeight="1">
      <x:c r="A12" s="26" t="str">
        <x:v>shop_frame_astral</x:v>
      </x:c>
      <x:c r="B12" s="26" t="str">
        <x:v>avatar_frame</x:v>
      </x:c>
      <x:c r="C12" s="26" t="str">
        <x:v>preset:avatar_frame_shop_04</x:v>
      </x:c>
      <x:c r="D12" s="26" t="str">
        <x:v>coin</x:v>
      </x:c>
      <x:c r="E12" s="26" t="n">
        <x:v>600</x:v>
      </x:c>
      <x:c r="F12" s="26" t="str">
        <x:v>星穹秘环</x:v>
      </x:c>
      <x:c r="G12" s="26" t="str">
        <x:v>Astral Halo</x:v>
      </x:c>
      <x:c r="H12" s="26" t="str">
        <x:v>是</x:v>
      </x:c>
    </x:row>
    <x:row r="13" ht="24" customHeight="1">
      <x:c r="A13" s="26" t="str">
        <x:v>shop_frame_inferno</x:v>
      </x:c>
      <x:c r="B13" s="26" t="str">
        <x:v>avatar_frame</x:v>
      </x:c>
      <x:c r="C13" s="26" t="str">
        <x:v>preset:avatar_frame_shop_05</x:v>
      </x:c>
      <x:c r="D13" s="26" t="str">
        <x:v>coin</x:v>
      </x:c>
      <x:c r="E13" s="26" t="n">
        <x:v>600</x:v>
      </x:c>
      <x:c r="F13" s="26" t="str">
        <x:v>炽焰之心</x:v>
      </x:c>
      <x:c r="G13" s="26" t="str">
        <x:v>Inferno Heart</x:v>
      </x:c>
      <x:c r="H13" s="26" t="str">
        <x:v>是</x:v>
      </x:c>
    </x:row>
    <x:row r="14" ht="24" customHeight="1">
      <x:c r="A14" s="26" t="str">
        <x:v>draw_pet_squirrel</x:v>
      </x:c>
      <x:c r="B14" s="26" t="str">
        <x:v>pet</x:v>
      </x:c>
      <x:c r="C14" s="26" t="str">
        <x:v>pet_squirrel</x:v>
      </x:c>
      <x:c r="D14" s="26" t="str">
        <x:v>diamond</x:v>
      </x:c>
      <x:c r="E14" s="26" t="n">
        <x:v>75</x:v>
      </x:c>
      <x:c r="F14" s="26" t="str">
        <x:v>松鼠</x:v>
      </x:c>
      <x:c r="G14" s="26" t="str">
        <x:v>Squirrel</x:v>
      </x:c>
      <x:c r="H14" s="26" t="str">
        <x:v>否</x:v>
      </x:c>
    </x:row>
    <x:row r="15" ht="24" customHeight="1">
      <x:c r="A15" s="26" t="str">
        <x:v>draw_pet_tiger</x:v>
      </x:c>
      <x:c r="B15" s="26" t="str">
        <x:v>pet</x:v>
      </x:c>
      <x:c r="C15" s="26" t="str">
        <x:v>pet_tiger</x:v>
      </x:c>
      <x:c r="D15" s="26" t="str">
        <x:v>diamond</x:v>
      </x:c>
      <x:c r="E15" s="26" t="n">
        <x:v>75</x:v>
      </x:c>
      <x:c r="F15" s="26" t="str">
        <x:v>老虎</x:v>
      </x:c>
      <x:c r="G15" s="26" t="str">
        <x:v>Tiger</x:v>
      </x:c>
      <x:c r="H15" s="26" t="str">
        <x:v>否</x:v>
      </x:c>
    </x:row>
    <x:row r="16" ht="24" customHeight="1">
      <x:c r="A16" s="26" t="str">
        <x:v>shop_frame_pink_sakura</x:v>
      </x:c>
      <x:c r="B16" s="26" t="str">
        <x:v>avatar_frame</x:v>
      </x:c>
      <x:c r="C16" s="26" t="str">
        <x:v>preset:avatar_frame_shop_06</x:v>
      </x:c>
      <x:c r="D16" s="26" t="str">
        <x:v>coin</x:v>
      </x:c>
      <x:c r="E16" s="26" t="n">
        <x:v>600</x:v>
      </x:c>
      <x:c r="F16" s="26" t="str">
        <x:v>樱晶蝶语</x:v>
      </x:c>
      <x:c r="G16" s="26" t="str">
        <x:v>Sakura Crystal</x:v>
      </x:c>
      <x:c r="H16" s="26" t="str">
        <x:v>是</x:v>
      </x:c>
    </x:row>
  </x:sheetData>
  <x:mergeCells>
    <x:mergeCell ref="A1:H1"/>
    <x:mergeCell ref="A2:H2"/>
  </x:mergeCells>
  <x:pageMargins left="0.7" right="0.7" top="0.75" bottom="0.75" header="0.3" footer="0.3"/>
</x:worksheet>
</file>