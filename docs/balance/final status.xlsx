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26"/>
  <workbookPr/>
  <mc:AlternateContent xmlns:mc="http://schemas.openxmlformats.org/markup-compatibility/2006">
    <mc:Choice Requires="x15">
      <x15ac:absPath xmlns:x15ac="http://schemas.microsoft.com/office/spreadsheetml/2010/11/ac" url="C:\Users\User\OneDrive\Documents\GitHub\Glory-v1.0\docs\balance\"/>
    </mc:Choice>
  </mc:AlternateContent>
  <xr:revisionPtr revIDLastSave="0" documentId="13_ncr:1_{076BA5D5-283F-4C4E-B14C-C2C94A18EE55}" xr6:coauthVersionLast="47" xr6:coauthVersionMax="47" xr10:uidLastSave="{00000000-0000-0000-0000-000000000000}"/>
  <bookViews>
    <workbookView xWindow="-108" yWindow="-108" windowWidth="23256" windowHeight="12456" tabRatio="858" firstSheet="1" activeTab="2" xr2:uid="{00000000-000D-0000-FFFF-FFFF00000000}"/>
  </bookViews>
  <sheets>
    <sheet name="00_版本与口径" sheetId="1" r:id="rId1"/>
    <sheet name="01_棋子基础" sheetId="2" r:id="rId2"/>
    <sheet name="02_棋子技能" sheetId="3" r:id="rId3"/>
    <sheet name="03_宠物技能" sheetId="4" r:id="rId4"/>
    <sheet name="04_羁绊" sheetId="5" r:id="rId5"/>
    <sheet name="05_野怪" sheetId="6" r:id="rId6"/>
    <sheet name="06_Boss" sheetId="7" r:id="rId7"/>
    <sheet name="07_佣兵" sheetId="8" r:id="rId8"/>
    <sheet name="09_宝藏与套装" sheetId="10" r:id="rId9"/>
    <sheet name="10_宝藏联动" sheetId="11" r:id="rId10"/>
    <sheet name="13_怪物Boss回合" sheetId="14" r:id="rId11"/>
    <sheet name="92_战斗参数" sheetId="19"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30" i="3" l="1"/>
  <c r="I30" i="3"/>
  <c r="H30" i="3"/>
  <c r="G30" i="3"/>
  <c r="P15" i="8"/>
  <c r="N15" i="8"/>
  <c r="P14" i="8"/>
  <c r="N14" i="8"/>
  <c r="P13" i="8"/>
  <c r="N13" i="8"/>
  <c r="P12" i="8"/>
  <c r="N12" i="8"/>
  <c r="P11" i="8"/>
  <c r="N11" i="8"/>
  <c r="P10" i="8"/>
  <c r="N10" i="8"/>
  <c r="P9" i="8"/>
  <c r="N9" i="8"/>
  <c r="P8" i="8"/>
  <c r="N8" i="8"/>
  <c r="P7" i="8"/>
  <c r="N7" i="8"/>
  <c r="P6" i="8"/>
  <c r="N6" i="8"/>
  <c r="P5" i="8"/>
  <c r="N5" i="8"/>
  <c r="P4" i="8"/>
  <c r="N4" i="8"/>
  <c r="R12" i="7"/>
  <c r="Q12" i="7"/>
  <c r="P12" i="7"/>
  <c r="N12" i="7"/>
  <c r="M12" i="7"/>
  <c r="L12" i="7"/>
  <c r="K12" i="7"/>
  <c r="J12" i="7"/>
  <c r="I12" i="7"/>
  <c r="H12" i="7"/>
  <c r="G12" i="7"/>
  <c r="F12" i="7"/>
  <c r="R11" i="7"/>
  <c r="Q11" i="7"/>
  <c r="P11" i="7"/>
  <c r="N11" i="7"/>
  <c r="M11" i="7"/>
  <c r="L11" i="7"/>
  <c r="K11" i="7"/>
  <c r="J11" i="7"/>
  <c r="I11" i="7"/>
  <c r="H11" i="7"/>
  <c r="G11" i="7"/>
  <c r="F11" i="7"/>
  <c r="R10" i="7"/>
  <c r="Q10" i="7"/>
  <c r="P10" i="7"/>
  <c r="N10" i="7"/>
  <c r="M10" i="7"/>
  <c r="L10" i="7"/>
  <c r="K10" i="7"/>
  <c r="J10" i="7"/>
  <c r="I10" i="7"/>
  <c r="H10" i="7"/>
  <c r="G10" i="7"/>
  <c r="F10" i="7"/>
  <c r="R9" i="7"/>
  <c r="Q9" i="7"/>
  <c r="P9" i="7"/>
  <c r="N9" i="7"/>
  <c r="M9" i="7"/>
  <c r="L9" i="7"/>
  <c r="K9" i="7"/>
  <c r="J9" i="7"/>
  <c r="I9" i="7"/>
  <c r="H9" i="7"/>
  <c r="G9" i="7"/>
  <c r="F9" i="7"/>
  <c r="R8" i="7"/>
  <c r="Q8" i="7"/>
  <c r="P8" i="7"/>
  <c r="N8" i="7"/>
  <c r="M8" i="7"/>
  <c r="L8" i="7"/>
  <c r="K8" i="7"/>
  <c r="J8" i="7"/>
  <c r="I8" i="7"/>
  <c r="H8" i="7"/>
  <c r="G8" i="7"/>
  <c r="F8" i="7"/>
  <c r="R7" i="7"/>
  <c r="Q7" i="7"/>
  <c r="P7" i="7"/>
  <c r="N7" i="7"/>
  <c r="M7" i="7"/>
  <c r="L7" i="7"/>
  <c r="K7" i="7"/>
  <c r="J7" i="7"/>
  <c r="I7" i="7"/>
  <c r="H7" i="7"/>
  <c r="G7" i="7"/>
  <c r="F7" i="7"/>
  <c r="R6" i="7"/>
  <c r="Q6" i="7"/>
  <c r="P6" i="7"/>
  <c r="N6" i="7"/>
  <c r="M6" i="7"/>
  <c r="L6" i="7"/>
  <c r="K6" i="7"/>
  <c r="J6" i="7"/>
  <c r="I6" i="7"/>
  <c r="H6" i="7"/>
  <c r="G6" i="7"/>
  <c r="F6" i="7"/>
  <c r="R5" i="7"/>
  <c r="Q5" i="7"/>
  <c r="P5" i="7"/>
  <c r="N5" i="7"/>
  <c r="M5" i="7"/>
  <c r="L5" i="7"/>
  <c r="K5" i="7"/>
  <c r="J5" i="7"/>
  <c r="I5" i="7"/>
  <c r="H5" i="7"/>
  <c r="G5" i="7"/>
  <c r="F5" i="7"/>
  <c r="R4" i="7"/>
  <c r="Q4" i="7"/>
  <c r="P4" i="7"/>
  <c r="N4" i="7"/>
  <c r="M4" i="7"/>
  <c r="L4" i="7"/>
  <c r="K4" i="7"/>
  <c r="J4" i="7"/>
  <c r="I4" i="7"/>
  <c r="H4" i="7"/>
  <c r="G4" i="7"/>
  <c r="F4" i="7"/>
  <c r="M30" i="3"/>
  <c r="M23" i="3"/>
  <c r="L23" i="3"/>
  <c r="I23" i="3"/>
  <c r="H23" i="3"/>
  <c r="G23" i="3"/>
  <c r="M11" i="3"/>
  <c r="L11" i="3"/>
  <c r="I11" i="3"/>
  <c r="H11" i="3"/>
  <c r="G11" i="3"/>
  <c r="R43" i="2"/>
  <c r="Q43" i="2"/>
  <c r="P43" i="2"/>
  <c r="N43" i="2"/>
  <c r="M43" i="2"/>
  <c r="L43" i="2"/>
  <c r="J43" i="2"/>
  <c r="I43" i="2"/>
  <c r="H43" i="2"/>
  <c r="R42" i="2"/>
  <c r="Q42" i="2"/>
  <c r="P42" i="2"/>
  <c r="N42" i="2"/>
  <c r="M42" i="2"/>
  <c r="L42" i="2"/>
  <c r="J42" i="2"/>
  <c r="I42" i="2"/>
  <c r="H42" i="2"/>
  <c r="R41" i="2"/>
  <c r="Q41" i="2"/>
  <c r="P41" i="2"/>
  <c r="N41" i="2"/>
  <c r="M41" i="2"/>
  <c r="L41" i="2"/>
  <c r="J41" i="2"/>
  <c r="I41" i="2"/>
  <c r="H41" i="2"/>
  <c r="R40" i="2"/>
  <c r="Q40" i="2"/>
  <c r="P40" i="2"/>
  <c r="N40" i="2"/>
  <c r="M40" i="2"/>
  <c r="L40" i="2"/>
  <c r="J40" i="2"/>
  <c r="I40" i="2"/>
  <c r="H40" i="2"/>
  <c r="R39" i="2"/>
  <c r="Q39" i="2"/>
  <c r="P39" i="2"/>
  <c r="N39" i="2"/>
  <c r="M39" i="2"/>
  <c r="L39" i="2"/>
  <c r="J39" i="2"/>
  <c r="I39" i="2"/>
  <c r="H39" i="2"/>
  <c r="R38" i="2"/>
  <c r="Q38" i="2"/>
  <c r="P38" i="2"/>
  <c r="N38" i="2"/>
  <c r="M38" i="2"/>
  <c r="L38" i="2"/>
  <c r="J38" i="2"/>
  <c r="I38" i="2"/>
  <c r="H38" i="2"/>
  <c r="R37" i="2"/>
  <c r="Q37" i="2"/>
  <c r="P37" i="2"/>
  <c r="N37" i="2"/>
  <c r="M37" i="2"/>
  <c r="L37" i="2"/>
  <c r="J37" i="2"/>
  <c r="I37" i="2"/>
  <c r="H37" i="2"/>
  <c r="R36" i="2"/>
  <c r="Q36" i="2"/>
  <c r="P36" i="2"/>
  <c r="N36" i="2"/>
  <c r="M36" i="2"/>
  <c r="L36" i="2"/>
  <c r="J36" i="2"/>
  <c r="I36" i="2"/>
  <c r="H36" i="2"/>
  <c r="R35" i="2"/>
  <c r="Q35" i="2"/>
  <c r="P35" i="2"/>
  <c r="N35" i="2"/>
  <c r="M35" i="2"/>
  <c r="L35" i="2"/>
  <c r="J35" i="2"/>
  <c r="I35" i="2"/>
  <c r="H35" i="2"/>
  <c r="R34" i="2"/>
  <c r="Q34" i="2"/>
  <c r="P34" i="2"/>
  <c r="N34" i="2"/>
  <c r="M34" i="2"/>
  <c r="L34" i="2"/>
  <c r="J34" i="2"/>
  <c r="I34" i="2"/>
  <c r="H34" i="2"/>
  <c r="R33" i="2"/>
  <c r="Q33" i="2"/>
  <c r="P33" i="2"/>
  <c r="N33" i="2"/>
  <c r="M33" i="2"/>
  <c r="L33" i="2"/>
  <c r="J33" i="2"/>
  <c r="I33" i="2"/>
  <c r="H33" i="2"/>
  <c r="R32" i="2"/>
  <c r="Q32" i="2"/>
  <c r="P32" i="2"/>
  <c r="N32" i="2"/>
  <c r="M32" i="2"/>
  <c r="L32" i="2"/>
  <c r="J32" i="2"/>
  <c r="I32" i="2"/>
  <c r="H32" i="2"/>
  <c r="R31" i="2"/>
  <c r="Q31" i="2"/>
  <c r="P31" i="2"/>
  <c r="N31" i="2"/>
  <c r="M31" i="2"/>
  <c r="L31" i="2"/>
  <c r="J31" i="2"/>
  <c r="I31" i="2"/>
  <c r="H31" i="2"/>
  <c r="R30" i="2"/>
  <c r="Q30" i="2"/>
  <c r="P30" i="2"/>
  <c r="N30" i="2"/>
  <c r="M30" i="2"/>
  <c r="L30" i="2"/>
  <c r="J30" i="2"/>
  <c r="I30" i="2"/>
  <c r="H30" i="2"/>
  <c r="R29" i="2"/>
  <c r="Q29" i="2"/>
  <c r="P29" i="2"/>
  <c r="N29" i="2"/>
  <c r="M29" i="2"/>
  <c r="L29" i="2"/>
  <c r="J29" i="2"/>
  <c r="I29" i="2"/>
  <c r="H29" i="2"/>
  <c r="R28" i="2"/>
  <c r="Q28" i="2"/>
  <c r="P28" i="2"/>
  <c r="N28" i="2"/>
  <c r="M28" i="2"/>
  <c r="L28" i="2"/>
  <c r="J28" i="2"/>
  <c r="I28" i="2"/>
  <c r="H28" i="2"/>
  <c r="R27" i="2"/>
  <c r="Q27" i="2"/>
  <c r="P27" i="2"/>
  <c r="N27" i="2"/>
  <c r="M27" i="2"/>
  <c r="L27" i="2"/>
  <c r="J27" i="2"/>
  <c r="I27" i="2"/>
  <c r="H27" i="2"/>
  <c r="R26" i="2"/>
  <c r="Q26" i="2"/>
  <c r="P26" i="2"/>
  <c r="N26" i="2"/>
  <c r="M26" i="2"/>
  <c r="L26" i="2"/>
  <c r="J26" i="2"/>
  <c r="I26" i="2"/>
  <c r="H26" i="2"/>
  <c r="R25" i="2"/>
  <c r="Q25" i="2"/>
  <c r="P25" i="2"/>
  <c r="N25" i="2"/>
  <c r="M25" i="2"/>
  <c r="L25" i="2"/>
  <c r="J25" i="2"/>
  <c r="I25" i="2"/>
  <c r="H25" i="2"/>
  <c r="R24" i="2"/>
  <c r="Q24" i="2"/>
  <c r="P24" i="2"/>
  <c r="N24" i="2"/>
  <c r="M24" i="2"/>
  <c r="L24" i="2"/>
  <c r="J24" i="2"/>
  <c r="I24" i="2"/>
  <c r="H24" i="2"/>
  <c r="R23" i="2"/>
  <c r="Q23" i="2"/>
  <c r="P23" i="2"/>
  <c r="N23" i="2"/>
  <c r="M23" i="2"/>
  <c r="L23" i="2"/>
  <c r="J23" i="2"/>
  <c r="I23" i="2"/>
  <c r="H23" i="2"/>
  <c r="R22" i="2"/>
  <c r="Q22" i="2"/>
  <c r="P22" i="2"/>
  <c r="N22" i="2"/>
  <c r="M22" i="2"/>
  <c r="L22" i="2"/>
  <c r="J22" i="2"/>
  <c r="I22" i="2"/>
  <c r="H22" i="2"/>
  <c r="R21" i="2"/>
  <c r="Q21" i="2"/>
  <c r="P21" i="2"/>
  <c r="N21" i="2"/>
  <c r="M21" i="2"/>
  <c r="L21" i="2"/>
  <c r="J21" i="2"/>
  <c r="I21" i="2"/>
  <c r="H21" i="2"/>
  <c r="R20" i="2"/>
  <c r="Q20" i="2"/>
  <c r="P20" i="2"/>
  <c r="N20" i="2"/>
  <c r="M20" i="2"/>
  <c r="L20" i="2"/>
  <c r="J20" i="2"/>
  <c r="I20" i="2"/>
  <c r="H20" i="2"/>
  <c r="R19" i="2"/>
  <c r="Q19" i="2"/>
  <c r="P19" i="2"/>
  <c r="N19" i="2"/>
  <c r="M19" i="2"/>
  <c r="L19" i="2"/>
  <c r="J19" i="2"/>
  <c r="I19" i="2"/>
  <c r="H19" i="2"/>
  <c r="R18" i="2"/>
  <c r="Q18" i="2"/>
  <c r="P18" i="2"/>
  <c r="N18" i="2"/>
  <c r="M18" i="2"/>
  <c r="L18" i="2"/>
  <c r="J18" i="2"/>
  <c r="I18" i="2"/>
  <c r="H18" i="2"/>
  <c r="R17" i="2"/>
  <c r="Q17" i="2"/>
  <c r="P17" i="2"/>
  <c r="N17" i="2"/>
  <c r="M17" i="2"/>
  <c r="L17" i="2"/>
  <c r="J17" i="2"/>
  <c r="I17" i="2"/>
  <c r="H17" i="2"/>
  <c r="R16" i="2"/>
  <c r="Q16" i="2"/>
  <c r="P16" i="2"/>
  <c r="N16" i="2"/>
  <c r="M16" i="2"/>
  <c r="L16" i="2"/>
  <c r="J16" i="2"/>
  <c r="I16" i="2"/>
  <c r="H16" i="2"/>
  <c r="R15" i="2"/>
  <c r="Q15" i="2"/>
  <c r="P15" i="2"/>
  <c r="N15" i="2"/>
  <c r="M15" i="2"/>
  <c r="L15" i="2"/>
  <c r="J15" i="2"/>
  <c r="I15" i="2"/>
  <c r="H15" i="2"/>
  <c r="R14" i="2"/>
  <c r="Q14" i="2"/>
  <c r="P14" i="2"/>
  <c r="N14" i="2"/>
  <c r="M14" i="2"/>
  <c r="L14" i="2"/>
  <c r="J14" i="2"/>
  <c r="I14" i="2"/>
  <c r="H14" i="2"/>
  <c r="R13" i="2"/>
  <c r="Q13" i="2"/>
  <c r="P13" i="2"/>
  <c r="N13" i="2"/>
  <c r="M13" i="2"/>
  <c r="L13" i="2"/>
  <c r="J13" i="2"/>
  <c r="I13" i="2"/>
  <c r="H13" i="2"/>
  <c r="R12" i="2"/>
  <c r="Q12" i="2"/>
  <c r="P12" i="2"/>
  <c r="N12" i="2"/>
  <c r="M12" i="2"/>
  <c r="L12" i="2"/>
  <c r="J12" i="2"/>
  <c r="I12" i="2"/>
  <c r="H12" i="2"/>
  <c r="R11" i="2"/>
  <c r="Q11" i="2"/>
  <c r="P11" i="2"/>
  <c r="N11" i="2"/>
  <c r="M11" i="2"/>
  <c r="L11" i="2"/>
  <c r="J11" i="2"/>
  <c r="I11" i="2"/>
  <c r="H11" i="2"/>
  <c r="R10" i="2"/>
  <c r="Q10" i="2"/>
  <c r="P10" i="2"/>
  <c r="N10" i="2"/>
  <c r="M10" i="2"/>
  <c r="L10" i="2"/>
  <c r="J10" i="2"/>
  <c r="I10" i="2"/>
  <c r="H10" i="2"/>
  <c r="R9" i="2"/>
  <c r="Q9" i="2"/>
  <c r="P9" i="2"/>
  <c r="N9" i="2"/>
  <c r="M9" i="2"/>
  <c r="L9" i="2"/>
  <c r="J9" i="2"/>
  <c r="I9" i="2"/>
  <c r="H9" i="2"/>
  <c r="R8" i="2"/>
  <c r="Q8" i="2"/>
  <c r="P8" i="2"/>
  <c r="N8" i="2"/>
  <c r="M8" i="2"/>
  <c r="L8" i="2"/>
  <c r="J8" i="2"/>
  <c r="I8" i="2"/>
  <c r="H8" i="2"/>
  <c r="R7" i="2"/>
  <c r="Q7" i="2"/>
  <c r="P7" i="2"/>
  <c r="N7" i="2"/>
  <c r="M7" i="2"/>
  <c r="L7" i="2"/>
  <c r="J7" i="2"/>
  <c r="I7" i="2"/>
  <c r="H7" i="2"/>
  <c r="R6" i="2"/>
  <c r="Q6" i="2"/>
  <c r="P6" i="2"/>
  <c r="N6" i="2"/>
  <c r="M6" i="2"/>
  <c r="L6" i="2"/>
  <c r="J6" i="2"/>
  <c r="I6" i="2"/>
  <c r="H6" i="2"/>
  <c r="R5" i="2"/>
  <c r="Q5" i="2"/>
  <c r="P5" i="2"/>
  <c r="N5" i="2"/>
  <c r="M5" i="2"/>
  <c r="L5" i="2"/>
  <c r="J5" i="2"/>
  <c r="I5" i="2"/>
  <c r="H5" i="2"/>
  <c r="R4" i="2"/>
  <c r="Q4" i="2"/>
  <c r="P4" i="2"/>
  <c r="N4" i="2"/>
  <c r="M4" i="2"/>
  <c r="L4" i="2"/>
  <c r="J4" i="2"/>
  <c r="I4" i="2"/>
  <c r="H4" i="2"/>
</calcChain>
</file>

<file path=xl/sharedStrings.xml><?xml version="1.0" encoding="utf-8"?>
<sst xmlns="http://schemas.openxmlformats.org/spreadsheetml/2006/main" count="2180" uniqueCount="1209">
  <si>
    <t>00_版本与口径</t>
  </si>
  <si>
    <t>项目</t>
  </si>
  <si>
    <t>内容</t>
  </si>
  <si>
    <t>来源 / 约束</t>
  </si>
  <si>
    <t>版本</t>
  </si>
  <si>
    <t>2026-10-08 新表 + 2026-10-10 运行 JSON 变更；技能探针旧样本见各页说明</t>
  </si>
  <si>
    <t>来源文件</t>
  </si>
  <si>
    <t>数值总表_Beta0.04_运行实值_20261008.xlsx</t>
  </si>
  <si>
    <t>SHA-256 0a574a561aff378d369eda13b92239bded1bc418d8f4dd7726c22621edadd5f6</t>
  </si>
  <si>
    <t>详细数值</t>
  </si>
  <si>
    <t>Godot 本机运行导出 2026-10-07T13:54:53 UTC</t>
  </si>
  <si>
    <t>线上 21/21 回放有效，但没有逐击系数</t>
  </si>
  <si>
    <t>显示口径</t>
  </si>
  <si>
    <t>中文文案以本表各业务页为准；4★ 完整技能句由 Godot 根据 4★ 覆盖值补足</t>
  </si>
  <si>
    <t>UnitDetailFormat / UnitFactory</t>
  </si>
  <si>
    <t>运行口径</t>
  </si>
  <si>
    <t>客户端以稳定 ID 查 data/balance/final_status.json 显示；战斗仍使用原 JSON 与服务端权威计算</t>
  </si>
  <si>
    <t>避免手机运行时解析 xlsx</t>
  </si>
  <si>
    <t>待核项</t>
  </si>
  <si>
    <t>灵族、凤凰涅槃、赌博倍率已按用户确认订正</t>
  </si>
  <si>
    <t>01_棋子基础</t>
  </si>
  <si>
    <t>编辑 1★ HP / 攻击 / 防御（G、K、O 列）；2–4★由公式按游戏星级倍率计算。运行前执行 tools/run_with_final.py，同步 JSON 和游戏显示。</t>
  </si>
  <si>
    <t>ID</t>
  </si>
  <si>
    <t>名称</t>
  </si>
  <si>
    <t>种族</t>
  </si>
  <si>
    <t>属性</t>
  </si>
  <si>
    <t>阶</t>
  </si>
  <si>
    <t>售价</t>
  </si>
  <si>
    <t>1★HP</t>
  </si>
  <si>
    <t>2★HP</t>
  </si>
  <si>
    <t>3★HP</t>
  </si>
  <si>
    <t>4★HP</t>
  </si>
  <si>
    <t>1★攻</t>
  </si>
  <si>
    <t>2★攻</t>
  </si>
  <si>
    <t>3★攻</t>
  </si>
  <si>
    <t>4★攻</t>
  </si>
  <si>
    <t>1★防</t>
  </si>
  <si>
    <t>2★防</t>
  </si>
  <si>
    <t>3★防</t>
  </si>
  <si>
    <t>4★防</t>
  </si>
  <si>
    <t>攻速</t>
  </si>
  <si>
    <t>射程</t>
  </si>
  <si>
    <t>射程px</t>
  </si>
  <si>
    <t>移速</t>
  </si>
  <si>
    <t>移速px/s</t>
  </si>
  <si>
    <t>暴击</t>
  </si>
  <si>
    <t>暴伤</t>
  </si>
  <si>
    <t>1★闪避</t>
  </si>
  <si>
    <t>4★闪避</t>
  </si>
  <si>
    <t>全场唯一</t>
  </si>
  <si>
    <t>技能ID</t>
  </si>
  <si>
    <t>dark_imp</t>
  </si>
  <si>
    <t>魔童</t>
  </si>
  <si>
    <t>暗族</t>
  </si>
  <si>
    <t>人</t>
  </si>
  <si>
    <t>5%</t>
  </si>
  <si>
    <t>—</t>
  </si>
  <si>
    <t>curse_attack</t>
  </si>
  <si>
    <t>dark_mage</t>
  </si>
  <si>
    <t>暗影法师</t>
  </si>
  <si>
    <t>天</t>
  </si>
  <si>
    <t>silence_bolt</t>
  </si>
  <si>
    <t>dark_fear</t>
  </si>
  <si>
    <t>恐惧魔</t>
  </si>
  <si>
    <t>地</t>
  </si>
  <si>
    <t>8%</t>
  </si>
  <si>
    <t>fear</t>
  </si>
  <si>
    <t>dark_queen</t>
  </si>
  <si>
    <t>痛苦女王</t>
  </si>
  <si>
    <t>same_target_damage_stack</t>
  </si>
  <si>
    <t>dark_scythe</t>
  </si>
  <si>
    <t>偷袭者</t>
  </si>
  <si>
    <t>12%</t>
  </si>
  <si>
    <t>blink_low_def_backline</t>
  </si>
  <si>
    <t>dark_suc</t>
  </si>
  <si>
    <t>魅魔</t>
  </si>
  <si>
    <t>stun</t>
  </si>
  <si>
    <t>dark_doom</t>
  </si>
  <si>
    <t>末日守卫</t>
  </si>
  <si>
    <t>10%</t>
  </si>
  <si>
    <t>是</t>
  </si>
  <si>
    <t>shared_hp_link</t>
  </si>
  <si>
    <t>dark_dragon</t>
  </si>
  <si>
    <t>黑龙</t>
  </si>
  <si>
    <t>black_hole</t>
  </si>
  <si>
    <t>god_priest</t>
  </si>
  <si>
    <t>神侍</t>
  </si>
  <si>
    <t>神族</t>
  </si>
  <si>
    <t>lowest_ally_heal</t>
  </si>
  <si>
    <t>god_priestess</t>
  </si>
  <si>
    <t>大祭司</t>
  </si>
  <si>
    <t>nearest_ally_bless</t>
  </si>
  <si>
    <t>god_angel</t>
  </si>
  <si>
    <t>天使</t>
  </si>
  <si>
    <t>nearby_ally_heal_buff</t>
  </si>
  <si>
    <t>god_arbiter</t>
  </si>
  <si>
    <t>裁决者</t>
  </si>
  <si>
    <t>judgement_strike</t>
  </si>
  <si>
    <t>god_aurora</t>
  </si>
  <si>
    <t>极光射手</t>
  </si>
  <si>
    <t>true_damage_attack</t>
  </si>
  <si>
    <t>god_guard</t>
  </si>
  <si>
    <t>光之卫士</t>
  </si>
  <si>
    <t>guardian_shield_taunt</t>
  </si>
  <si>
    <t>god_archangel</t>
  </si>
  <si>
    <t>大天使</t>
  </si>
  <si>
    <t>random_ally_damage_reduction</t>
  </si>
  <si>
    <t>god_king</t>
  </si>
  <si>
    <t>神王</t>
  </si>
  <si>
    <t>global_divine_blast</t>
  </si>
  <si>
    <t>human_merchant</t>
  </si>
  <si>
    <t>商人</t>
  </si>
  <si>
    <t>人族</t>
  </si>
  <si>
    <t>post_battle_gold_by_star</t>
  </si>
  <si>
    <t>human_militia</t>
  </si>
  <si>
    <t>民兵</t>
  </si>
  <si>
    <t>attack_interrupt</t>
  </si>
  <si>
    <t>human_archer</t>
  </si>
  <si>
    <t>弓箭手</t>
  </si>
  <si>
    <t>every_fourth_combo</t>
  </si>
  <si>
    <t>human_cleric</t>
  </si>
  <si>
    <t>牧师</t>
  </si>
  <si>
    <t>every_fifth_group_heal</t>
  </si>
  <si>
    <t>human_death_servant</t>
  </si>
  <si>
    <t>死侍</t>
  </si>
  <si>
    <t>0%</t>
  </si>
  <si>
    <t>left_neighbor_sacrifice</t>
  </si>
  <si>
    <t>human_mage</t>
  </si>
  <si>
    <t>法师</t>
  </si>
  <si>
    <t>random_attribute_bolt</t>
  </si>
  <si>
    <t>human_swordsman</t>
  </si>
  <si>
    <t>剑士</t>
  </si>
  <si>
    <t>front_cone_stun</t>
  </si>
  <si>
    <t>human_king</t>
  </si>
  <si>
    <t>人王</t>
  </si>
  <si>
    <t>7%</t>
  </si>
  <si>
    <t>unique_king_growth</t>
  </si>
  <si>
    <t>undead_poison</t>
  </si>
  <si>
    <t>毒灵</t>
  </si>
  <si>
    <t>亡灵</t>
  </si>
  <si>
    <t>poison_attack</t>
  </si>
  <si>
    <t>undead_small</t>
  </si>
  <si>
    <t>小灵</t>
  </si>
  <si>
    <t>none</t>
  </si>
  <si>
    <t>undead_bomb</t>
  </si>
  <si>
    <t>自爆灵</t>
  </si>
  <si>
    <t>death_poison_explosion</t>
  </si>
  <si>
    <t>undead_fly</t>
  </si>
  <si>
    <t>飞灵</t>
  </si>
  <si>
    <t>undead_parasite</t>
  </si>
  <si>
    <t>寄生灵</t>
  </si>
  <si>
    <t>parasite_on_kill</t>
  </si>
  <si>
    <t>undead_spike</t>
  </si>
  <si>
    <t>刺灵</t>
  </si>
  <si>
    <t>15%</t>
  </si>
  <si>
    <t>defense_down_attack</t>
  </si>
  <si>
    <t>undead_titan</t>
  </si>
  <si>
    <t>巨甲灵</t>
  </si>
  <si>
    <t>poison_reflect_armor_stack</t>
  </si>
  <si>
    <t>undead_mother</t>
  </si>
  <si>
    <t>母灵</t>
  </si>
  <si>
    <t>unique_death_execute</t>
  </si>
  <si>
    <t>crimson</t>
  </si>
  <si>
    <t>赤卫</t>
  </si>
  <si>
    <t>赤族</t>
  </si>
  <si>
    <t>block_guard</t>
  </si>
  <si>
    <t>dancer</t>
  </si>
  <si>
    <t>赤舞者</t>
  </si>
  <si>
    <t>random_ally_buff</t>
  </si>
  <si>
    <t>drumer</t>
  </si>
  <si>
    <t>战鼓使</t>
  </si>
  <si>
    <t>team_random_stack</t>
  </si>
  <si>
    <t>hunter</t>
  </si>
  <si>
    <t>血猎者</t>
  </si>
  <si>
    <t>current_hp_strike</t>
  </si>
  <si>
    <t>armbreaker</t>
  </si>
  <si>
    <t>破甲者</t>
  </si>
  <si>
    <t>stacking_def_break</t>
  </si>
  <si>
    <t>Icey</t>
  </si>
  <si>
    <t>霜印使</t>
  </si>
  <si>
    <t>frost_status</t>
  </si>
  <si>
    <t>skypierce</t>
  </si>
  <si>
    <t>穿云弩手</t>
  </si>
  <si>
    <t>line_pierce</t>
  </si>
  <si>
    <t>lattern</t>
  </si>
  <si>
    <t>赤灯使</t>
  </si>
  <si>
    <t>aoe_silence</t>
  </si>
  <si>
    <t>02_棋子技能</t>
  </si>
  <si>
    <t>技能文案以本页和当前 JSON 为准；10 秒探针等记录来自旧次运行，未按 2026-10-10 数值变更重测。</t>
  </si>
  <si>
    <t>技能名</t>
  </si>
  <si>
    <t>触发方式</t>
  </si>
  <si>
    <t>冷却(实测秒)</t>
  </si>
  <si>
    <t>效果说明</t>
  </si>
  <si>
    <t>1~3★ 技能数值</t>
  </si>
  <si>
    <t>4★ 变化（运行时逐字段比对）</t>
  </si>
  <si>
    <t>60秒真实释放次数 1★→4★</t>
  </si>
  <si>
    <t>10秒原始输出 1★/2★/3★/4★</t>
  </si>
  <si>
    <t>游戏内图鉴文案(1★)</t>
  </si>
  <si>
    <t>4★ 完整中文说明</t>
  </si>
  <si>
    <t>状态</t>
  </si>
  <si>
    <t>诅咒攻击</t>
  </si>
  <si>
    <t>普攻附带（被动）</t>
  </si>
  <si>
    <t>诅咒攻击：普通攻击附带减攻8%与攻速降低8%，持续4.0秒；暗2会增强效果。</t>
  </si>
  <si>
    <t>aspd_down = 0.08
attack_down = 0.08
duration = 4
max_stacks = 2
model_idle_animation = res://assets/models/units/dark_imp_motong/dark_imp_motong_idle_zombie.fbx</t>
  </si>
  <si>
    <t>aspd_down: 0.08 → 0.32
attack_down: 0.08 → 0.32</t>
  </si>
  <si>
    <t>0 → 0</t>
  </si>
  <si>
    <t>370/560/1110/1280</t>
  </si>
  <si>
    <t>Curse Strike: Normal attacks reduce target ATK by 8% and AS by 8% for 4.0s.</t>
  </si>
  <si>
    <t>诅咒攻击：普通攻击附带减攻32%与攻速降低32%，持续4.0秒。</t>
  </si>
  <si>
    <t>已按指定新表提取</t>
  </si>
  <si>
    <t>沉默箭</t>
  </si>
  <si>
    <t>主动·冷却</t>
  </si>
  <si>
    <t>6 → 4★ 4</t>
  </si>
  <si>
    <t>沉默箭（冷却6.0秒）：沉默最近敌人3.0秒，并造成自身攻击170%伤害。</t>
  </si>
  <si>
    <t>damage_atk_pct = 1.7
silence_sec = 3
skill_cd = 6</t>
  </si>
  <si>
    <t>damage_atk_pct: 1.7 → 3.4
skill_cd: 6 → 4</t>
  </si>
  <si>
    <t>10 → 15</t>
  </si>
  <si>
    <t>618/928/1856/3186</t>
  </si>
  <si>
    <t>Silence Bolt (CD 6.0s): Silence the nearest enemy for 3.0s and deal 170% ATK damage.</t>
  </si>
  <si>
    <t>沉默箭（冷却4.0秒）：沉默最近敌人3.0秒，并造成自身攻击340%伤害。</t>
  </si>
  <si>
    <t>恐惧</t>
  </si>
  <si>
    <t>恐惧效果：1–3★ 为 2 秒，4★ 为 3 秒；实际状态为 fear。</t>
  </si>
  <si>
    <t>fear_sec = 2
skill_cd = 6</t>
  </si>
  <si>
    <t>fear_sec: 2 → 3
skill_cd: 6 → 4</t>
  </si>
  <si>
    <t>583/880/1749/1900</t>
  </si>
  <si>
    <t>Fear (CD 6.0s): Make the nearest enemy retreat for 2.0s, then resume approaching its target.</t>
  </si>
  <si>
    <t>恐惧（冷却4.0秒）：使最近敌人向后逃跑3.0秒，结束后重新接近目标。</t>
  </si>
  <si>
    <t>痛苦凝视</t>
  </si>
  <si>
    <t>痛苦凝视：持续攻击同一目标时，每层伤害+20%，最多4层；换目标重置。</t>
  </si>
  <si>
    <t>max_stacks = 4
stack_damage = 0.2</t>
  </si>
  <si>
    <t>max_stacks: 4 → 6
stack_damage: 0.2 → 0.35</t>
  </si>
  <si>
    <t>1143/1719/3434/5795</t>
  </si>
  <si>
    <t>Agonizing Gaze: Consecutive attacks on the same target deal +20% damage per stack (max 4 stacks). Resets on target switch.</t>
  </si>
  <si>
    <t>痛苦凝视：持续攻击同一目标时，每层伤害+35%，最多6层；换目标重置。</t>
  </si>
  <si>
    <t>暗影突袭</t>
  </si>
  <si>
    <t>暗影突袭（冷却时间5.0秒）：瞬移到低防后排敌人身边，造成自身攻击250%伤害；击杀后刷新冷却。</t>
  </si>
  <si>
    <t>damage_atk_pct = 2.5
refresh_on_kill = true</t>
  </si>
  <si>
    <t>damage_atk_pct: 2.5 → 5
def_down_pct: — → 0.25</t>
  </si>
  <si>
    <t>12 → 12</t>
  </si>
  <si>
    <t>1637/2455/4910/7174</t>
  </si>
  <si>
    <t>Shadow Ambush: Blink to the lowest-DEF backline enemy and deal 250% ATK damage. Cooldown resets on kill.</t>
  </si>
  <si>
    <t>暗影突袭（冷却时间5.0秒）：瞬移到低防后排敌人身边，造成自身攻击500%伤害；击杀后刷新冷却。</t>
  </si>
  <si>
    <t>暗影击晕</t>
  </si>
  <si>
    <t>5 → 4★ 3.5</t>
  </si>
  <si>
    <t>眩晕目标，并造成自身攻击 ×1.5 的技能伤害。</t>
  </si>
  <si>
    <t>damage_atk_pct = 1.5
skill_cd = 5
stun_sec = 1.5</t>
  </si>
  <si>
    <t>skill_cd: 5 → 3.5
stun_sec: 1.5 → 2</t>
  </si>
  <si>
    <t>12 → 18</t>
  </si>
  <si>
    <t>832/1248/2496/3206</t>
  </si>
  <si>
    <t>Shadow Stun (CD 5.0s): Stun the nearest enemy for 1.5s and deal 150% ATK damage.</t>
  </si>
  <si>
    <t>暗影击晕（冷却3.5秒）：眩晕最近敌人2.0秒，并造成自身攻击150%伤害。</t>
  </si>
  <si>
    <t>血链</t>
  </si>
  <si>
    <t>主动·每1秒判定（整场只成功1次）</t>
  </si>
  <si>
    <t>血链：连接最近非Boss，非唯一棋子且星级不高于自身的敌人并使其变为我方棋子；双方共享受到的生命损失。任一方死亡后清除连接，本回合不再释放。</t>
  </si>
  <si>
    <t>unique_on_board = true
until_target_death = true</t>
  </si>
  <si>
    <t>link_regen_pct: — → 0.04</t>
  </si>
  <si>
    <t>1 → 1</t>
  </si>
  <si>
    <t>0/0/0/0</t>
  </si>
  <si>
    <t>Blood Chain: Link to the nearest non-Boss, non-unique enemy whose star is no higher than your own, and convert them to your side. Both share HP loss. Link breaks on either death and will not reactivate this round.</t>
  </si>
  <si>
    <t>血链：连接最近非Boss，非唯一棋子且星级不高于自身的敌人并使其变为我方棋子；双方共享受到的生命损失；连接期间每秒回4%最大生命。任一方死亡后清除连接，本回合不再释放。</t>
  </si>
  <si>
    <t>黑洞</t>
  </si>
  <si>
    <t>8 → 8</t>
  </si>
  <si>
    <t>星辉祈愿</t>
  </si>
  <si>
    <t>4</t>
  </si>
  <si>
    <t>星辉祈愿（冷却4.0秒）：治疗生命比例最低的友军，回复其最大生命6%；有25%概率清除负面状态。</t>
  </si>
  <si>
    <t>cleanse_chance = 0.25
heal_pct = 0.06
skill_cd = 4</t>
  </si>
  <si>
    <t>cleanse_chance: 0.25 → 0.5
heal_pct: 0.06 → 0.24</t>
  </si>
  <si>
    <t>15 → 15</t>
  </si>
  <si>
    <t>310/470/930/1070</t>
  </si>
  <si>
    <t>Starlight Prayer (CD 4.0s): Heal the ally with the lowest HP ratio by 6% of their max HP; 25% chance to cleanse debuffs.</t>
  </si>
  <si>
    <t>星辉祈愿（冷却4.0秒）：治疗生命比例最低的友军，回复其最大生命24%；有50%概率清除负面状态。</t>
  </si>
  <si>
    <t>神赐祝福</t>
  </si>
  <si>
    <t>6 → 4★ 4.5</t>
  </si>
  <si>
    <t>神赐祝福（冷却6.0秒）：强化最近友军，攻击+8%、攻速+0.15，并清除负面状态。</t>
  </si>
  <si>
    <t>aspd_bonus = 0.15
atk_bonus = 0.08
skill_cd = 6</t>
  </si>
  <si>
    <t>aspd_bonus: 0.15 → 0.45
atk_bonus: 0.08 → 0.32
skill_cd: 6 → 4.5</t>
  </si>
  <si>
    <t>10 → 14</t>
  </si>
  <si>
    <t>234/351/702/810</t>
  </si>
  <si>
    <t>Divine Blessing (CD 6.0s): Buff the nearest ally — ATK +8%, AS +0.15 — and cleanse their debuffs.</t>
  </si>
  <si>
    <t>神赐祝福（冷却4.5秒）：强化最近友军，攻击+32%、攻速+0.45，并清除负面状态。</t>
  </si>
  <si>
    <t>光环治疗</t>
  </si>
  <si>
    <t>7 → 4★ 5</t>
  </si>
  <si>
    <t>光环治疗（冷却7.0秒）：治疗自身周围友军最大生命15%，并给攻击+10%、攻速+0.15，同时清除负面状态；开场冷却2.0秒。</t>
  </si>
  <si>
    <t>aspd_bonus = 0.15
atk_bonus = 0.1
heal_pct = 0.15
opening_cd = 2
skill_cd = 7</t>
  </si>
  <si>
    <t>aspd_bonus: 0.15 → 0.45
atk_bonus: 0.1 → 0.4
control_immune_sec: — → 2
heal_pct: 0.15 → 0.4
skill_cd: 7 → 5</t>
  </si>
  <si>
    <t>9 → 12</t>
  </si>
  <si>
    <t>557/831/1663/3395</t>
  </si>
  <si>
    <t>Halo Heal (CD 7.0s): Heal nearby allies for 15% max HP; grant ATK +10% and AS +0.15 and cleanse debuffs; initial cooldown 2.0s.</t>
  </si>
  <si>
    <t>光环治疗（冷却5.0秒）：治疗自身周围友军最大生命40%，并给攻击+40%、攻速+0.45，同时清除负面状态；开场冷却2.0秒。</t>
  </si>
  <si>
    <t>审判打击</t>
  </si>
  <si>
    <t>3 → 4★ 2</t>
  </si>
  <si>
    <t>审判打击（冷却3.0秒）：对最近敌人造成自身攻击220%伤害；每次释放自身防御叠加+6%，最多5层。</t>
  </si>
  <si>
    <t>damage_atk_pct = 2.2
def_stack_pct = 0.06
max_stacks = 5
skill_cd = 3</t>
  </si>
  <si>
    <t>damage_atk_pct: 2.2 → 4.4
def_stack_pct: 0.06 → 0.2
skill_cd: 3 → 2</t>
  </si>
  <si>
    <t>20 → 30</t>
  </si>
  <si>
    <t>1324/1996/3980/8353</t>
  </si>
  <si>
    <t>Judgement Strike (CD 3.0s): Deal 220% ATK damage to the nearest enemy; each cast permanently stacks own DEF +6% (max 5 stacks).</t>
  </si>
  <si>
    <t>审判打击（冷却2.0秒）：对最近敌人造成自身攻击440%伤害；每次释放自身防御叠加+20%，最多5层。</t>
  </si>
  <si>
    <t>圣枪裁决</t>
  </si>
  <si>
    <t>圣枪裁决：普通攻击额外造成自身攻击18%真实伤害。</t>
  </si>
  <si>
    <t>true_damage_pct = 0.18</t>
  </si>
  <si>
    <t>third_hit_double: — → true
true_damage_pct: 0.18 → 0.45</t>
  </si>
  <si>
    <t>1092/1644/3276/5108</t>
  </si>
  <si>
    <t>Holy Lance: Normal attacks deal bonus true damage equal to 18% ATK.</t>
  </si>
  <si>
    <t>圣枪裁决：普通攻击额外造成自身攻击45%真实伤害。</t>
  </si>
  <si>
    <t>守护嘲讽</t>
  </si>
  <si>
    <t>开场一次（被动）</t>
  </si>
  <si>
    <t>守护嘲讽：战斗开始获得最大生命20%护盾，并让周围敌人优先攻击自己。</t>
  </si>
  <si>
    <t>start_shield_pct = 0.2
taunt_radius = 180</t>
  </si>
  <si>
    <t>shield_control_immune: — → true
start_shield_pct: 0.2 → 0.4
taunt_radius: 180 → 240</t>
  </si>
  <si>
    <t>368/552/1104/1272</t>
  </si>
  <si>
    <t>Guardian Taunt: Gain a shield equal to 20% max HP at battle start; force nearby enemies to target this unit.</t>
  </si>
  <si>
    <t>守护嘲讽：战斗开始获得最大生命40%护盾，并让周围敌人优先攻击自己。</t>
  </si>
  <si>
    <t>天使庇护</t>
  </si>
  <si>
    <t>天使庇护（冷却6.0秒）：随机友军获得50%减伤，持续6.0秒。</t>
  </si>
  <si>
    <t>damage_reduction = 0.5
duration = 6
skill_cd = 6
unique_on_board = true</t>
  </si>
  <si>
    <t>damage_reduction: 0.5 → 0.65
duration: 6 → 8
skill_cd: 6 → 4</t>
  </si>
  <si>
    <t>712/1073/2135/2646</t>
  </si>
  <si>
    <t>Angel's Guard (CD 6.0s): Grant a random ally 50% damage reduction for 6.0s.</t>
  </si>
  <si>
    <t>天使庇护（冷却4.0秒）：随机友军获得65%减伤，持续8.0秒。</t>
  </si>
  <si>
    <t>神王裁决</t>
  </si>
  <si>
    <t>8 → 4★ 6</t>
  </si>
  <si>
    <t>神王裁决（冷却8.0秒）：攻击神王所在战线内所有可攻击敌人，在2.0秒内分5次造成自身攻击160%加目标最大生命8%的伤害。</t>
  </si>
  <si>
    <t>damage_atk_pct = 1.6
damage_tick_count = 5
damage_tick_interval = 0.5
max_hp_bonus_pct = 0.08
skill_cd = 8
unique_on_board = true</t>
  </si>
  <si>
    <t>damage_atk_pct: 1.6 → 3.2
max_hp_bonus_pct: 0.08 → 0.16
skill_cd: 8 → 6</t>
  </si>
  <si>
    <t>8 → 7</t>
  </si>
  <si>
    <t>4204/4873/6855/12246</t>
  </si>
  <si>
    <t>Divine Judgement (CD 8.0s): Strike all attackable enemies in God King's lane, dealing 160% ATK + 8% of each target's max HP over 5 hits in 2.0s.</t>
  </si>
  <si>
    <t>神王裁决（冷却6.0秒）：攻击神王所在战线内所有可攻击敌人，在2.0秒内分5次造成自身攻击320%加目标最大生命16%的伤害。</t>
  </si>
  <si>
    <t>战后经商</t>
  </si>
  <si>
    <t>战后结算</t>
  </si>
  <si>
    <t>战后经商：参与战斗后，按星级获得金币。1星+10，2星+20，3星+30，4星+40。</t>
  </si>
  <si>
    <t>无</t>
  </si>
  <si>
    <t>306/462/915/1050</t>
  </si>
  <si>
    <t>Trade: After each battle, gain gold by star level (★1 → +10G, ★2 → +20G, ★3 → +30G, ★4 → +40G).</t>
  </si>
  <si>
    <t>缴械攻击</t>
  </si>
  <si>
    <t>普攻附带（概率）</t>
  </si>
  <si>
    <t>缴械攻击：普通攻击有12%概率缴械目标（1 秒内无法普攻）。</t>
  </si>
  <si>
    <t>interrupt_chance = 0.12</t>
  </si>
  <si>
    <t>interrupt_chance: 0.12 → 0.2
stun_sec: — → 0.5</t>
  </si>
  <si>
    <t>422/638/1262/1454</t>
  </si>
  <si>
    <t>Disarm Strike: Normal attacks have a 12% chance to disarm the target (cannot use normal attacks for 1s).</t>
  </si>
  <si>
    <t>缴械攻击：普通攻击有20%概率眩晕目标0.5秒。</t>
  </si>
  <si>
    <t>连射</t>
  </si>
  <si>
    <t>第N次普攻（被动）</t>
  </si>
  <si>
    <t>连射：每第4次普通攻击额外造成自身攻击150%伤害。</t>
  </si>
  <si>
    <t>combo_atk_pct = 1.5
every = 4</t>
  </si>
  <si>
    <t>combo_atk_pct: 1.5 → 3
every: 4 → 3</t>
  </si>
  <si>
    <t>1365/2049/4095/6364</t>
  </si>
  <si>
    <t>Rapid Fire: Every 4 attacks, deal bonus 150% ATK damage.</t>
  </si>
  <si>
    <t>连射：每第3次普通攻击额外造成自身攻击300%伤害。</t>
  </si>
  <si>
    <t>战歌</t>
  </si>
  <si>
    <t>567/849/1698/1960</t>
  </si>
  <si>
    <t>死侍契约</t>
  </si>
  <si>
    <t>开场一次 + 被绑棋子首次死亡</t>
  </si>
  <si>
    <t>死侍契约：周围一圈友军防御+3持续5.0秒；战斗开始绑定左侧棋子，该棋子首次死亡时死侍代替其死亡并使其满血复活。</t>
  </si>
  <si>
    <t>ally_def_bonus = 3
ally_def_duration = 5</t>
  </si>
  <si>
    <t>ally_def_duration: 5 → 8
ally_def_pct: — → 0.4</t>
  </si>
  <si>
    <t>3/3/3/3</t>
  </si>
  <si>
    <t>Death Pact: Grant surrounding allies DEF +3 for 5.0s. At battle start, bind to the left neighbour — when that unit first dies, this unit sacrifices itself in their place, reviving them at full HP.</t>
  </si>
  <si>
    <t>死侍契约：周围一圈友军防御+40%持续8.0秒；战斗开始绑定左右两侧棋子，其中先死亡的棋子首次阵亡时由死侍代替其死亡并使其满血复活（死侍仅能牺牲一次）。</t>
  </si>
  <si>
    <t>随机法术</t>
  </si>
  <si>
    <t>2.5 → 4★ 2</t>
  </si>
  <si>
    <t>随机法术：无普攻，每2.5秒对随机敌人造成攻击300%的随机属性伤害。</t>
  </si>
  <si>
    <t>damage_atk_pct = 3
no_basic_attack = true
skill_cd = 2.5</t>
  </si>
  <si>
    <t>damage_atk_pct: 3 → 6
double_element_chance: — → 0.2
skill_cd: 2.5 → 2</t>
  </si>
  <si>
    <t>24 → 30</t>
  </si>
  <si>
    <t>3322/3782/5164/11238</t>
  </si>
  <si>
    <t>Random Spell: No basic attack. Every 2.5s, deal 300% ATK random-element damage to a random enemy.</t>
  </si>
  <si>
    <t>随机法术：无普攻，每2.0秒对随机敌人造成攻击600%的随机属性伤害，并有20%概率触发双重施法。</t>
  </si>
  <si>
    <t>盾击</t>
  </si>
  <si>
    <t>盾击（冷却5.0秒）：攻击最近敌人，造成自身攻击150%伤害并眩晕1.0秒。</t>
  </si>
  <si>
    <t>damage_atk_pct = 1.5
stun_sec = 1</t>
  </si>
  <si>
    <t>damage_atk_pct: 1.5 → 3
stun_sec: 1 → 2</t>
  </si>
  <si>
    <t>882/1326/2649/3714</t>
  </si>
  <si>
    <t>Shield Bash (CD 5.0s): Strike the nearest enemy for 150% ATK damage and stun for 1.0s.</t>
  </si>
  <si>
    <t>盾击（冷却5.0秒）：攻击最近敌人，造成自身攻击300%伤害并眩晕2.0秒。</t>
  </si>
  <si>
    <t>人王唯一技</t>
  </si>
  <si>
    <t>战后结算（需存活）</t>
  </si>
  <si>
    <t>max_stacks = 5
post_battle_all_stat_growth = 0.2
remove_on_death = true
unique_on_board = true</t>
  </si>
  <si>
    <t>max_stacks: 5 → 8
post_battle_all_stat_growth: 0.2 → 0.3</t>
  </si>
  <si>
    <t>418/630/1254/1444</t>
  </si>
  <si>
    <t>毒击</t>
  </si>
  <si>
    <t>毒击：普通攻击附带中毒，每秒造成目标最大生命3%伤害，持续4.0秒；灵4毒伤x2。</t>
  </si>
  <si>
    <t>poison_duration = 4
poison_pct_max_hp = 0.03</t>
  </si>
  <si>
    <t>poison_duration: 4 → 6
poison_pct_max_hp: 0.03 → 0.06</t>
  </si>
  <si>
    <t>11730/11900/12390/20000</t>
  </si>
  <si>
    <t>Poison Strike: Normal attacks apply poison — 3% max HP per second for 4.0s. Up to 2 stacks tick separately.</t>
  </si>
  <si>
    <t>毒击：普通攻击附带中毒，每秒造成目标最大生命6%伤害，持续6.0秒；最多2层，分别扣血。</t>
  </si>
  <si>
    <t>无主动技能。</t>
  </si>
  <si>
    <t>star4_multiplier = 1.5</t>
  </si>
  <si>
    <t>240/360/720/1080</t>
  </si>
  <si>
    <t>No active skill.</t>
  </si>
  <si>
    <t>死亡毒爆</t>
  </si>
  <si>
    <t>自身死亡时</t>
  </si>
  <si>
    <t>1102/1657/3306/3800</t>
  </si>
  <si>
    <t>dodge: 0.25 → 0.4
poison_duration: 4 → 6
poison_pct_max_hp: 0.03 → 0.06</t>
  </si>
  <si>
    <t>13392/13788/14976/20000</t>
  </si>
  <si>
    <t>寄生</t>
  </si>
  <si>
    <t>普攻标记 + 目标死亡时</t>
  </si>
  <si>
    <t>寄生：普攻标记非 Boss 敌人，被标记敌人死亡时，召唤该敌人的分身，生命为原目标20%，攻防为原目标50%。</t>
  </si>
  <si>
    <t>clone_atk_def_pct = 0.5
clone_hp_pct = 0.2</t>
  </si>
  <si>
    <t>clone_atk_def_pct: 0.5 → 0.75
clone_hp_pct: 0.2 → 0.5</t>
  </si>
  <si>
    <t>547/826/1642/1891</t>
  </si>
  <si>
    <t>Parasite: When a basic attack kills a non-Boss enemy, summon its clone at 20% HP and 50% ATK/DEF.</t>
  </si>
  <si>
    <t>寄生：普攻标记非 Boss 敌人，被标记敌人死亡时，召唤该敌人的分身，生命为原目标50%，攻防为原目标75%。</t>
  </si>
  <si>
    <t>腐蚀攻击</t>
  </si>
  <si>
    <t>腐蚀攻击：普通攻击降低目标防御30%，持续5.0秒；暗2会增强效果。</t>
  </si>
  <si>
    <t>def_down_pct = 0.3
duration = 5</t>
  </si>
  <si>
    <t>def_down_pct: 0.3 → 0.6
duration: 5 → 8</t>
  </si>
  <si>
    <t>694/1042/2084/2396</t>
  </si>
  <si>
    <t>Corrosive Strike: Normal attacks reduce target DEF by 30% for 5.0s.</t>
  </si>
  <si>
    <t>腐蚀攻击：普通攻击降低目标防御60%，持续8.0秒。</t>
  </si>
  <si>
    <t>毒甲</t>
  </si>
  <si>
    <t>被命中时（被动）</t>
  </si>
  <si>
    <t>毒甲：受伤后反弹本次伤害15%真实伤害并使攻击者中毒；自身防御每次+14%，最多10层。</t>
  </si>
  <si>
    <t>armor_per_hit_pct = 0.14
max_stacks = 10
reflect_taken_damage_pct = 0.15</t>
  </si>
  <si>
    <t>armor_per_hit_pct: 0.14 → 0.28
reflect_taken_damage_pct: 0.15 → 0.3</t>
  </si>
  <si>
    <t>6453/6678/7353/7560</t>
  </si>
  <si>
    <t>Toxic Armor: On taking damage, reflect 15% as true damage and poison the attacker (up to 2 separate damage stacks). Own DEF stacks +14% per hit (max 10 stacks).</t>
  </si>
  <si>
    <t>毒甲：受伤后反弹本次伤害30%真实伤害并使攻击者中毒（最多2层，分别扣血）；自身防御每次+28%，最多10层。</t>
  </si>
  <si>
    <t>母灵处决</t>
  </si>
  <si>
    <t>己方每击杀N个敌人</t>
  </si>
  <si>
    <t>母灵：每名玩家最多1只；3v3中多个玩家的母灵可同时生效且各自独立计数。每5个非母灵处决造成的敌军死亡触发一次；1阶/佣兵50%、2阶35%、3阶10%即死，Boss改为20%最大生命伤害。</t>
  </si>
  <si>
    <t>boss_max_hp_damage = 0.2
death_threshold = 5
tier1_or_merc_chance = 0.5
tier2_chance = 0.35
tier3_chance = 0.1
unique_on_board = true</t>
  </si>
  <si>
    <t>boss_max_hp_damage: 0.2 → 0.3
death_threshold: 5 → 4
tier1_or_merc_chance: 0.5 → 0.55
tier2_chance: 0.35 → 0.35</t>
  </si>
  <si>
    <t>963/1444/2888/3316</t>
  </si>
  <si>
    <t>Matron: each player can field 1; in 3v3, each player's Matron works at the same time and counts independently. Every 5 enemy deaths not caused by Matron execute: Tier 1/Merc 50%, Tier 2 35%, Tier 3 10%; vs Boss deal 20% max HP instead.</t>
  </si>
  <si>
    <t>母灵：每名玩家最多1只；3v3中多个玩家的母灵可同时生效且各自独立计数。每4个非母灵处决造成的敌军死亡触发一次；1阶/佣兵55%、2阶35%、3阶10%即死，Boss改为30%最大生命伤害。</t>
  </si>
  <si>
    <t>赤卫格挡</t>
  </si>
  <si>
    <t>受击被动</t>
  </si>
  <si>
    <t>直接普攻或技能命中时有 20% 概率完全格挡，4★ 为 30%；持续伤害跳数不触发。</t>
  </si>
  <si>
    <t>block_chance = 0.2</t>
  </si>
  <si>
    <t>block_chance: 0.2 → 0.3</t>
  </si>
  <si>
    <t>279/423/837/963</t>
  </si>
  <si>
    <t>Crimson Guard: 20% chance to fully block each direct basic or skill hit; damage-over-time ticks do not trigger it.</t>
  </si>
  <si>
    <t>赤卫格挡：每次受到普攻或技能直击时，有30%概率完全格挡；持续伤害不触发。</t>
  </si>
  <si>
    <t>赤舞</t>
  </si>
  <si>
    <t>5</t>
  </si>
  <si>
    <t>每 5 秒选 1 名友军，随机令技能剩余冷却 -2 秒，或攻击 / 攻速 +20% 持续 3 秒；4★ 选 2 名。</t>
  </si>
  <si>
    <t>ally_count = 1
buff_duration = 3
buff_pct = 0.2
skill_cd = 5</t>
  </si>
  <si>
    <t>ally_count: 1 → 2</t>
  </si>
  <si>
    <t>294/441/882/1019</t>
  </si>
  <si>
    <t>Crimson Dance (CD 5.0s): Choose 1 distinct random allies. Each gets one random effect: 2s off remaining skill cooldown, +20% ATK, or +20% attack speed for 3.0s. Same-type buffs refresh.</t>
  </si>
  <si>
    <t>赤舞祝福（冷却5.0秒）：随机选择2名不同友军（优先其他存活队友，人数不足时可选自身），各随机获得一种效果：技能剩余冷却-2秒、攻击+20%或攻速+20%，增益持续3.0秒，同类刷新不叠加。</t>
  </si>
  <si>
    <t>战鼓</t>
  </si>
  <si>
    <t>普攻被动</t>
  </si>
  <si>
    <t>普攻命中使符合条件的友军攻击和攻速各 +5%，最多 15 层，持续 3 秒且每次刷新；每击有 1/3 概率治疗友军最大生命 5%；4★ 每层 +8%。</t>
  </si>
  <si>
    <t>heal_pct = 0.05
max_stacks = 15
stack_duration = 3
stack_pct = 0.05</t>
  </si>
  <si>
    <t>stack_pct: 0.05 → 0.08</t>
  </si>
  <si>
    <t>879/1319/2637/4189</t>
  </si>
  <si>
    <t>War Drum: Each landed basic hit gives eligible living allies +5% ATK and +5% attack speed, up to 15 layers each. Every hit refreshes all War Drum layers on each recipient for 3.0s. In team battles it affects the same lane first, then connected lanes once opened; separately has a 1-in-3 chance to heal eligible allies for 5% max HP.</t>
  </si>
  <si>
    <t>战鼓共振：每次普攻命中使可作用的存活友军同时叠加攻击+8%和攻速+8%，各最多15层；每次叠加刷新该棋子全部战鼓层的3.0秒持续时间。分路战斗先作用本路，开放并连通后可跨路；另有1/3概率立刻回复可作用友军最大生命5%。</t>
  </si>
  <si>
    <t>血猎</t>
  </si>
  <si>
    <t>普攻附加目标受击前当前生命 10% 伤害，Boss 为 5%，不暴击；4★ 增加低血处决。</t>
  </si>
  <si>
    <t>boss_hp_pct = 0.05
current_hp_pct = 0.1</t>
  </si>
  <si>
    <t>execute_atk_pct: — → 0.5
execute_threshold: — → 0.3</t>
  </si>
  <si>
    <t>11709/11870/12347/12490</t>
  </si>
  <si>
    <t>Blood Hunt: Basics deal extra damage equal to 10% of the target's pre-hit current HP (5% against bosses); the extra damage cannot crit.</t>
  </si>
  <si>
    <t>血猎：普攻额外造成目标受击前当前生命10%的伤害，Boss为5%；额外伤害不暴击。目标受击前生命低于30%时，再造成自身攻击50%伤害。</t>
  </si>
  <si>
    <t>破甲</t>
  </si>
  <si>
    <t>每次普攻命中永久降低目标防御 2 点，可叠至零；4★ 每次降低 4 点。</t>
  </si>
  <si>
    <t>break_amount = 2
break_chance = 1</t>
  </si>
  <si>
    <t>break_amount: 2 → 4</t>
  </si>
  <si>
    <t>486/729/1458/1674</t>
  </si>
  <si>
    <t>Armor Break: Each landed basic has a 100% chance to permanently reduce target DEF by 2, stacking down to zero.</t>
  </si>
  <si>
    <t>破甲：每次普攻命中有100%概率使目标防御永久降低4点，可叠加，最低为0。</t>
  </si>
  <si>
    <t>霜印</t>
  </si>
  <si>
    <t>6</t>
  </si>
  <si>
    <t>每 6 秒对目标周围两格敌人造成攻击 110% 伤害并附加 3 秒冰弱：受伤 +25%，Boss +13%；4★ 伤害 150%、持续 5 秒。</t>
  </si>
  <si>
    <t>aoe_radius = 144
damage_atk_pct = 1.1
ice_duration = 3
ice_vulnerable_pct = 0.25
skill_cd = 6</t>
  </si>
  <si>
    <t>damage_atk_pct: 1.1 → 1.5
ice_duration: 3 → 5</t>
  </si>
  <si>
    <t>10 → 10</t>
  </si>
  <si>
    <t>888/1333/2661/3434</t>
  </si>
  <si>
    <t>Frost Mark (CD 6.0s): Deal 110% ATK skill damage to each enemy within two cells of the target and apply Ice Vulnerable for 3.0s. Damage taken +25% (+13% for bosses).</t>
  </si>
  <si>
    <t>霜印（冷却6.0秒）：以当前目标为中心，对2格范围内每名敌人造成自身攻击150%技能伤害，并附加冰易伤5.0秒，使其受到的伤害+25%（Boss为+13%）。</t>
  </si>
  <si>
    <t>穿云连射</t>
  </si>
  <si>
    <t>普攻最多穿透一线 4 个目标，依次造成攻击 100% / 80% / 60% / 40% 伤害；4★ 衰减改为每目标 10%。分别结算防御和属性。</t>
  </si>
  <si>
    <t>pierce_falloff = 0.2
pierce_targets = 4</t>
  </si>
  <si>
    <t>pierce_falloff: 0.2 → 0.1</t>
  </si>
  <si>
    <t>1014/1521/3042/3500</t>
  </si>
  <si>
    <t>Skypierce: Basics strike up to 4 enemies in a line for 100%, 80%, 60%, and 40% ATK damage. DEF and element are calculated separately.</t>
  </si>
  <si>
    <t>穿云：普攻沿直线最多命中4名敌人，第1至第4名分别受到自身攻击的100%、90%、80%、70%伤害，各自计算防御与元素克制。</t>
  </si>
  <si>
    <t>赤灯沉默</t>
  </si>
  <si>
    <t>10 → 4★ 9</t>
  </si>
  <si>
    <t>开场沉默可选中路线的所有敌人 3 秒，期间攻速 -30%；4★ 沉默 4 秒、冷却 9 秒。</t>
  </si>
  <si>
    <t>silence_duration = 3
skill_cd = 10
skill_global = true
unique_on_board = true</t>
  </si>
  <si>
    <t>silence_duration: 3 → 4
skill_cd: 10 → 9</t>
  </si>
  <si>
    <t>6 → 7</t>
  </si>
  <si>
    <t>718/1076/2153/2476</t>
  </si>
  <si>
    <t>Crimson Lantern (CD 10.0s): Cast at battle start and silence all enemies in currently targetable lanes for 3.0s. While silenced, active skills are blocked and attack speed is reduced by 30%; basic attacks and passives work normally. Later casts can affect other lanes after the caster's lane is cleared (boss control duration is halved).</t>
  </si>
  <si>
    <t>赤灯禁言（冷却9.0秒）：开战立即释放，使当前可攻击路线的所有敌人沉默4.0秒；沉默期间无法释放主动技能，攻速降低30%，普攻与被动正常。本路清空后，后续施法可按分路规则影响其他路（Boss控制时长减半）。</t>
  </si>
  <si>
    <t>宠物 ID</t>
  </si>
  <si>
    <t>英文名</t>
  </si>
  <si>
    <t>技能类型</t>
  </si>
  <si>
    <t>加成</t>
  </si>
  <si>
    <t>完整中文技能说明</t>
  </si>
  <si>
    <t>作用对象 / 时机</t>
  </si>
  <si>
    <t>初始可选</t>
  </si>
  <si>
    <t>来源</t>
  </si>
  <si>
    <t>短说明</t>
  </si>
  <si>
    <t>pet_mushroom</t>
  </si>
  <si>
    <t>蘑菇</t>
  </si>
  <si>
    <t>Mushroom</t>
  </si>
  <si>
    <t>生命加成</t>
  </si>
  <si>
    <t>己方棋子最大生命 +10%。</t>
  </si>
  <si>
    <t>己方普通棋子；战斗开场</t>
  </si>
  <si>
    <t>pets.json / PetService / LocaleManager</t>
  </si>
  <si>
    <t>己方棋子生命 +10%</t>
  </si>
  <si>
    <t>pet_cat</t>
  </si>
  <si>
    <t>猫</t>
  </si>
  <si>
    <t>Cat</t>
  </si>
  <si>
    <t>利息</t>
  </si>
  <si>
    <t>金币利息率额外 +5%，与基础及复利宝藏分别计算。</t>
  </si>
  <si>
    <t>持有者；战后利息</t>
  </si>
  <si>
    <t>金币利息 +5%</t>
  </si>
  <si>
    <t>pet_rabbit</t>
  </si>
  <si>
    <t>兔子</t>
  </si>
  <si>
    <t>Rabbit</t>
  </si>
  <si>
    <t>攻击加成</t>
  </si>
  <si>
    <t>己方棋子攻击 +10%。</t>
  </si>
  <si>
    <t>己方棋子攻击 +10%</t>
  </si>
  <si>
    <t>pet_squirrel</t>
  </si>
  <si>
    <t>松鼠</t>
  </si>
  <si>
    <t>Squirrel</t>
  </si>
  <si>
    <t>萝卜采集 / 容量</t>
  </si>
  <si>
    <t>20%</t>
  </si>
  <si>
    <t>每次萝卜收获额外 +20%，增量向下取整且至少 +1；己方营地萝卜容量 +20%，增量向下取整。</t>
  </si>
  <si>
    <t>己方采集和营地容量</t>
  </si>
  <si>
    <t>否</t>
  </si>
  <si>
    <t>萝卜采集与营地容量 +20%（采集至少多 1）</t>
  </si>
  <si>
    <t>pet_tiger</t>
  </si>
  <si>
    <t>老虎</t>
  </si>
  <si>
    <t>Tiger</t>
  </si>
  <si>
    <t>升星成长</t>
  </si>
  <si>
    <t>每次自己的棋子升星永久 +1 层，棋盘和备战区、1–3 阶升星均计；每层使自己所有 1 阶棋子的生命、攻击、防御 +5%，无限累计。后来上场也继承；卖掉棋子不清层数。2–3 阶、队友和敌方不加成。</t>
  </si>
  <si>
    <t>自己的一阶棋子；升星永久叠层</t>
  </si>
  <si>
    <t>每次升星：一阶棋子生命、攻击、防御 +5%（无限累计）</t>
  </si>
  <si>
    <t>04_羁绊</t>
  </si>
  <si>
    <t>按稳定种族 ID 与人数档提取。灵族按用户确认的双毒、减疗和毒伤玩法订正。</t>
  </si>
  <si>
    <t>种族 ID</t>
  </si>
  <si>
    <t>门槛</t>
  </si>
  <si>
    <t>中文效果</t>
  </si>
  <si>
    <t>原表位置</t>
  </si>
  <si>
    <t>god</t>
  </si>
  <si>
    <t>神族·死亡净化</t>
  </si>
  <si>
    <t>己方任一棋子死亡 → 随机一名己方存活棋子清除全部负面状态</t>
  </si>
  <si>
    <t>已审定</t>
  </si>
  <si>
    <t>10_种族羁绊!C4</t>
  </si>
  <si>
    <t>神族·吸血</t>
  </si>
  <si>
    <t>仅神族棋子普攻吸血 20%，按实际造成的伤害结算。</t>
  </si>
  <si>
    <t>10_种族羁绊!C5</t>
  </si>
  <si>
    <t>神族·神圣脉冲</t>
  </si>
  <si>
    <t>神族 ≥7：从开战第 1 秒起每 5 秒，全队普通棋子无敌 1 秒；免普攻与技能伤害，中毒/流血/灼烧仍生效。</t>
  </si>
  <si>
    <t>10_种族羁绊!C6</t>
  </si>
  <si>
    <t>dark</t>
  </si>
  <si>
    <t>暗族·死亡叠伤</t>
  </si>
  <si>
    <t>敌方每死 3 个 → 暗族单位普攻伤害 +6%（线性叠加，代码里没有上限）</t>
  </si>
  <si>
    <t>10_种族羁绊!C7</t>
  </si>
  <si>
    <t>暗族·负面增强</t>
  </si>
  <si>
    <t>暗族施加的减攻 / 减速 / 减防效果 +30%。</t>
  </si>
  <si>
    <t>10_种族羁绊!C9</t>
  </si>
  <si>
    <t>暗族·增伤</t>
  </si>
  <si>
    <t>暗族单位普攻伤害 +25%</t>
  </si>
  <si>
    <t>10_种族羁绊!C8</t>
  </si>
  <si>
    <t>暗族·汲取</t>
  </si>
  <si>
    <t>暗族普攻命中即可叠层：目标攻击 / 防御 / 攻速各 -3%/层；自身各 +3%/层，最多 15 层。</t>
  </si>
  <si>
    <t>10_种族羁绊!C10</t>
  </si>
  <si>
    <t>undead</t>
  </si>
  <si>
    <t>灵族特性·双毒</t>
  </si>
  <si>
    <t>灵族施加的中毒最多叠加 2 层，分别计时和造成伤害。</t>
  </si>
  <si>
    <t>10_种族羁绊!C12</t>
  </si>
  <si>
    <t>灵2·剧毒抑疗</t>
  </si>
  <si>
    <t>目标中毒期间，其治疗与吸血获得的生命减少 30%。</t>
  </si>
  <si>
    <t>10_种族羁绊!C11</t>
  </si>
  <si>
    <t>灵4·剧毒</t>
  </si>
  <si>
    <t>灵族中毒伤害翻倍。</t>
  </si>
  <si>
    <t>灵7·噬毒</t>
  </si>
  <si>
    <t>灵族单位攻击已中毒的敌人时，每次回复自身 15% 最大生命。</t>
  </si>
  <si>
    <t>10_种族羁绊!C13</t>
  </si>
  <si>
    <t>human</t>
  </si>
  <si>
    <t>人族·三连暴</t>
  </si>
  <si>
    <t>人族单位每第 3 次普攻必定暴击（写在普攻里，不是羁绊，任何人族棋子都吃）</t>
  </si>
  <si>
    <t>10_种族羁绊!C16</t>
  </si>
  <si>
    <t>人族·开场护盾</t>
  </si>
  <si>
    <t>开场获得 最大生命×8% 的护盾</t>
  </si>
  <si>
    <t>10_种族羁绊!C14</t>
  </si>
  <si>
    <t>人族·死亡集结</t>
  </si>
  <si>
    <t>人族 ≥7：己方普通棋子死亡时，同一持有人的存活普通棋子获得一层集结：按开战基础值最大生命/攻击/防御/攻速各 +20%，回复新增生命，暴击率 +20%，暴伤 +10%；可叠层。</t>
  </si>
  <si>
    <t>10_种族羁绊!C15</t>
  </si>
  <si>
    <t>赤族·符文</t>
  </si>
  <si>
    <t>自身效果触发累积符文，最多 9 层；3 层暴击率 +30%，6 层攻速 ×1.6，9 层暴伤 +0.9。</t>
  </si>
  <si>
    <t>10_种族羁绊!C72</t>
  </si>
  <si>
    <t>赤族·延时</t>
  </si>
  <si>
    <t>施加的状态时长 +20%；沉默、眩晕、打断、冰冻类额外延时最多 0.5 秒。</t>
  </si>
  <si>
    <t>10_种族羁绊!C73</t>
  </si>
  <si>
    <t>赤族·共鸣</t>
  </si>
  <si>
    <t>赤族施加状态时自身获得 1 层共鸣，最多 10 层；每层攻击和攻速 +5%，4 秒未刷新即结束。</t>
  </si>
  <si>
    <t>10_种族羁绊!C74</t>
  </si>
  <si>
    <t>赤族·脉冲</t>
  </si>
  <si>
    <t>开战第 2 秒起每 5 秒：赤族单位技能剩余冷却 -1 秒、清除负面、治疗最大生命 6%、获得 1 层脉冲。每层攻击、攻速、暴击率 +10%，最多 5 层。</t>
  </si>
  <si>
    <t>10_种族羁绊!C75</t>
  </si>
  <si>
    <t>05_野怪</t>
  </si>
  <si>
    <t>编辑 E–G 列基础 HP / 攻击 / 防御；回合成长和技能机制由 data/pve/pve_monsters.json 管理。运行前执行同步工具。</t>
  </si>
  <si>
    <t>系列</t>
  </si>
  <si>
    <t>HP</t>
  </si>
  <si>
    <t>攻击</t>
  </si>
  <si>
    <t>防御</t>
  </si>
  <si>
    <t>理论DPS</t>
  </si>
  <si>
    <t>10秒原始输出</t>
  </si>
  <si>
    <t>有效血量</t>
  </si>
  <si>
    <t>表里写的 skill_id</t>
  </si>
  <si>
    <t>主动技实跑60秒</t>
  </si>
  <si>
    <t>普攻挂钩实跑</t>
  </si>
  <si>
    <t>被击/死亡/击杀挂钩</t>
  </si>
  <si>
    <t>结论</t>
  </si>
  <si>
    <t>被击杀赏金</t>
  </si>
  <si>
    <t>游戏内图鉴文案</t>
  </si>
  <si>
    <t>pve_sky_cloud_eagle</t>
  </si>
  <si>
    <t>云羽鹰</t>
  </si>
  <si>
    <t>sky</t>
  </si>
  <si>
    <t>dive_backline</t>
  </si>
  <si>
    <t>0 次</t>
  </si>
  <si>
    <t>❌ 只掉血，无任何状态</t>
  </si>
  <si>
    <t>❌ 无</t>
  </si>
  <si>
    <t>只会普攻</t>
  </si>
  <si>
    <t>15 金</t>
  </si>
  <si>
    <t>pve_sky_thunder_spirit</t>
  </si>
  <si>
    <t>雷鸣灵</t>
  </si>
  <si>
    <t>chain_lightning</t>
  </si>
  <si>
    <t>pve_sky_star_butterfly</t>
  </si>
  <si>
    <t>星辉蝶</t>
  </si>
  <si>
    <t>heal_allies</t>
  </si>
  <si>
    <t>pve_sky_dome_guard</t>
  </si>
  <si>
    <t>天穹守卫</t>
  </si>
  <si>
    <t>holy_shield_burst</t>
  </si>
  <si>
    <t>pve_sky_wind_falcon</t>
  </si>
  <si>
    <t>风刃隼</t>
  </si>
  <si>
    <t>wind_bleed</t>
  </si>
  <si>
    <t>pve_sky_hymn_spirit</t>
  </si>
  <si>
    <t>圣歌灵</t>
  </si>
  <si>
    <t>slow_aura</t>
  </si>
  <si>
    <t>pve_land_rock_beast</t>
  </si>
  <si>
    <t>岩甲兽</t>
  </si>
  <si>
    <t>land</t>
  </si>
  <si>
    <t>stun_impact</t>
  </si>
  <si>
    <t>pve_land_vine_guard</t>
  </si>
  <si>
    <t>藤蔓守卫</t>
  </si>
  <si>
    <t>entangle</t>
  </si>
  <si>
    <t>pve_land_vein_worm</t>
  </si>
  <si>
    <t>地脉虫</t>
  </si>
  <si>
    <t>burrow_ambush</t>
  </si>
  <si>
    <t>pve_land_lava_golem</t>
  </si>
  <si>
    <t>熔岩傀儡</t>
  </si>
  <si>
    <t>lava_burst</t>
  </si>
  <si>
    <t>pve_land_ancient_tree</t>
  </si>
  <si>
    <t>古树长者</t>
  </si>
  <si>
    <t>nature_heal</t>
  </si>
  <si>
    <t>pve_land_mountain_giant</t>
  </si>
  <si>
    <t>山岳巨人</t>
  </si>
  <si>
    <t>earth_slam</t>
  </si>
  <si>
    <t>pve_ren_shadow_thief</t>
  </si>
  <si>
    <t>影行盗徒</t>
  </si>
  <si>
    <t>ren</t>
  </si>
  <si>
    <t>backstab</t>
  </si>
  <si>
    <t>pve_ren_voodoo_witch</t>
  </si>
  <si>
    <t>巫毒术士</t>
  </si>
  <si>
    <t>curse</t>
  </si>
  <si>
    <t>pve_ren_wandering_swordsman</t>
  </si>
  <si>
    <t>流浪剑客</t>
  </si>
  <si>
    <t>counter_slash</t>
  </si>
  <si>
    <t>pve_ren_poison_doctor</t>
  </si>
  <si>
    <t>药毒医师</t>
  </si>
  <si>
    <t>06_Boss</t>
  </si>
  <si>
    <t>首次出场HP</t>
  </si>
  <si>
    <t>首次出场攻击</t>
  </si>
  <si>
    <t>首次出场防御</t>
  </si>
  <si>
    <t>R5 HP</t>
  </si>
  <si>
    <t>R10 HP</t>
  </si>
  <si>
    <t>R15 HP</t>
  </si>
  <si>
    <t>R20 HP</t>
  </si>
  <si>
    <t>R5 攻</t>
  </si>
  <si>
    <t>R10 攻</t>
  </si>
  <si>
    <t>R15 攻</t>
  </si>
  <si>
    <t>R20 攻</t>
  </si>
  <si>
    <t>R5 防</t>
  </si>
  <si>
    <t>R10 防</t>
  </si>
  <si>
    <t>R15 防</t>
  </si>
  <si>
    <t>R20 防</t>
  </si>
  <si>
    <t>体型格</t>
  </si>
  <si>
    <t>实跑</t>
  </si>
  <si>
    <t>60秒释放</t>
  </si>
  <si>
    <t>技能数值(实测)</t>
  </si>
  <si>
    <t>boss_meteor_caster</t>
  </si>
  <si>
    <t>天罚投星者</t>
  </si>
  <si>
    <t>陨星轰击</t>
  </si>
  <si>
    <t>element_meteor</t>
  </si>
  <si>
    <t>✔</t>
  </si>
  <si>
    <t>boss_thunder_core</t>
  </si>
  <si>
    <t>雷怒核心</t>
  </si>
  <si>
    <t>过载反击</t>
  </si>
  <si>
    <t>overload_counter</t>
  </si>
  <si>
    <t>被命中N次时</t>
  </si>
  <si>
    <t>boss_mirror_lord</t>
  </si>
  <si>
    <t>镜像魔君</t>
  </si>
  <si>
    <t>镜像分裂</t>
  </si>
  <si>
    <t>mirror_clone</t>
  </si>
  <si>
    <t>主动·每1秒判定</t>
  </si>
  <si>
    <t>boss_holy_priest</t>
  </si>
  <si>
    <t>圣愈祭司</t>
  </si>
  <si>
    <t>圣愈净化</t>
  </si>
  <si>
    <t>holy_purify</t>
  </si>
  <si>
    <t>boss_rage_beast</t>
  </si>
  <si>
    <t>狂战灾兽</t>
  </si>
  <si>
    <t>狂怒叠加</t>
  </si>
  <si>
    <t>rage_stack</t>
  </si>
  <si>
    <t>每次普攻命中后（被动）</t>
  </si>
  <si>
    <t>boss_blood_demon</t>
  </si>
  <si>
    <t>血怒魔王</t>
  </si>
  <si>
    <t>血怒暴走</t>
  </si>
  <si>
    <t>blood_rage</t>
  </si>
  <si>
    <t>生命低于阈值时一次性</t>
  </si>
  <si>
    <t>boss_soul_devourer</t>
  </si>
  <si>
    <t>噬魂领主</t>
  </si>
  <si>
    <t>噬魂</t>
  </si>
  <si>
    <t>soul_devour</t>
  </si>
  <si>
    <t>击杀时（被动）</t>
  </si>
  <si>
    <t>boss_twin_gate</t>
  </si>
  <si>
    <t>双生守门人</t>
  </si>
  <si>
    <t>双生复活</t>
  </si>
  <si>
    <t>twin_revive</t>
  </si>
  <si>
    <t>死亡时（被动）</t>
  </si>
  <si>
    <t>boss_apocalypse</t>
  </si>
  <si>
    <t>灭世裁决者</t>
  </si>
  <si>
    <t>灭世蓄力</t>
  </si>
  <si>
    <t>apocalypse_charge</t>
  </si>
  <si>
    <t>07_佣兵</t>
  </si>
  <si>
    <t>佣兵基础属性与技能文案已对齐 2026-10-10 的运行 JSON；理论 DPS、有效血量为公式。10 秒输出和实跑探针仍是旧次战斗样本，未重新实测。</t>
  </si>
  <si>
    <t>萝卜价</t>
  </si>
  <si>
    <t>cost字段</t>
  </si>
  <si>
    <t>被杀赏金</t>
  </si>
  <si>
    <t>实跑到的效果</t>
  </si>
  <si>
    <t>merc_pisces_bubble</t>
  </si>
  <si>
    <t>泡沫术士</t>
  </si>
  <si>
    <t>泡沫梦境</t>
  </si>
  <si>
    <t>bubble_dream</t>
  </si>
  <si>
    <t>hp: 50000000 -&gt; 49998404；statuses_added: slow</t>
  </si>
  <si>
    <t>burst_damage = 140
carrot_cost = 3
heal = 150
skill_cd = 7
slow_pct = 0.3</t>
  </si>
  <si>
    <t>泡沫梦境（冷却7.0秒）：治疗最低血友军150点，并使最近敌人减速30%、受到140点真实伤害。</t>
  </si>
  <si>
    <t>merc_cancer_shell</t>
  </si>
  <si>
    <t>甲壳守卫</t>
  </si>
  <si>
    <t>甲壳守护</t>
  </si>
  <si>
    <t>shell_guard</t>
  </si>
  <si>
    <t>主动·固定冷却6秒</t>
  </si>
  <si>
    <t>carrot_cost = 6
duration = 5
reduction = 0.5</t>
  </si>
  <si>
    <t>甲壳守护（冷却6.0秒）：获得50%减伤，持续5.0秒。</t>
  </si>
  <si>
    <t>merc_libra_judge</t>
  </si>
  <si>
    <t>审判剑士</t>
  </si>
  <si>
    <t>均衡裁决</t>
  </si>
  <si>
    <t>balance_judge</t>
  </si>
  <si>
    <t>bonus_vs_higher_hp = 1
carrot_cost = 9</t>
  </si>
  <si>
    <t>均衡裁决：攻击当前生命高于自己的目标时，伤害+100%。</t>
  </si>
  <si>
    <t>merc_taurus_charge</t>
  </si>
  <si>
    <t>黄金重骑</t>
  </si>
  <si>
    <t>黄金冲锋</t>
  </si>
  <si>
    <t>gold_charge</t>
  </si>
  <si>
    <t>主动·固定冷却7秒</t>
  </si>
  <si>
    <t>hp: 50000000 -&gt; 49997384；statuses_added: stun</t>
  </si>
  <si>
    <t>merc_virgo_heal</t>
  </si>
  <si>
    <t>圣愈修女</t>
  </si>
  <si>
    <t>圣歌</t>
  </si>
  <si>
    <t>holy_song</t>
  </si>
  <si>
    <t>carrot_cost = 15
cleanse_control = true
heal_pct = 0.15
skill_cd = 10</t>
  </si>
  <si>
    <t>圣歌（冷却10.0秒）：治疗全体友军最大生命15%，并从带控制类负面状态的存活友军中随机净化1名。</t>
  </si>
  <si>
    <t>merc_gemini_assassin</t>
  </si>
  <si>
    <t>镜像刺客</t>
  </si>
  <si>
    <t>镜像突袭</t>
  </si>
  <si>
    <t>twin_strike</t>
  </si>
  <si>
    <t>镜像突袭（冷却10.0秒）：召唤自身镜像，镜像生命30%、攻击40%。</t>
  </si>
  <si>
    <t>merc_leo_sun</t>
  </si>
  <si>
    <t>炎阳王者</t>
  </si>
  <si>
    <t>王者光环</t>
  </si>
  <si>
    <t>king_aura</t>
  </si>
  <si>
    <t>主动·固定冷却2秒</t>
  </si>
  <si>
    <t>王者光环：每2秒强化周围友军，攻速+25%、暴击+25%。</t>
  </si>
  <si>
    <t>merc_sagittarius_rain</t>
  </si>
  <si>
    <t>星轨猎人</t>
  </si>
  <si>
    <t>箭雨</t>
  </si>
  <si>
    <t>arrow_rain</t>
  </si>
  <si>
    <t>hp: 50000000 -&gt; 49999144</t>
  </si>
  <si>
    <t>merc_aries_blood</t>
  </si>
  <si>
    <t>狂战先锋</t>
  </si>
  <si>
    <t>血怒</t>
  </si>
  <si>
    <t>blood_rampage</t>
  </si>
  <si>
    <t>持续被动</t>
  </si>
  <si>
    <t>血怒：每损失10%最大生命，攻速+10%、吸血+5%，并获得少量伤害提升。</t>
  </si>
  <si>
    <t>merc_capricorn_steel</t>
  </si>
  <si>
    <t>黑钢统帅</t>
  </si>
  <si>
    <t>钢铁号令</t>
  </si>
  <si>
    <t>steel_order</t>
  </si>
  <si>
    <t>aspd_bonus = 0.3
buff_targets = 3
carrot_cost = 30
control_time_reduction = 0.3
damage_reduction = 0.2
duration = 8
skill_cd = 8</t>
  </si>
  <si>
    <t>钢铁号令（冷却8.0秒）：强化最近3名友军，减伤20%、攻速+30%、控制时间降低30%，持续8.0秒。</t>
  </si>
  <si>
    <t>merc_aquarius_time</t>
  </si>
  <si>
    <t>时空观测者</t>
  </si>
  <si>
    <t>时空迟缓</t>
  </si>
  <si>
    <t>time_slow</t>
  </si>
  <si>
    <t>statuses_added: slow</t>
  </si>
  <si>
    <t>carrot_cost = 33
duration = 5
skill_cd = 8
skill_dodge_interval = 8
slow_pct = 0.6</t>
  </si>
  <si>
    <t>时空迟缓（冷却8.0秒）：自身短暂闪避提高，并使全体敌人减速60%，持续5.0秒。</t>
  </si>
  <si>
    <t>merc_scorpio_death</t>
  </si>
  <si>
    <t>冥界执行者</t>
  </si>
  <si>
    <t>冥界处决</t>
  </si>
  <si>
    <t>death_hunt</t>
  </si>
  <si>
    <t>目标选择+普攻附带+击杀时</t>
  </si>
  <si>
    <t>09_宝藏与套装</t>
  </si>
  <si>
    <t>25 件宝藏及原表套装段。赌博胜利倍率已按实际结算订正为 2.5 倍。</t>
  </si>
  <si>
    <t>类别</t>
  </si>
  <si>
    <t>生效时机</t>
  </si>
  <si>
    <t>中文效果与数值</t>
  </si>
  <si>
    <t>胡牌手联动后</t>
  </si>
  <si>
    <t>固定探针</t>
  </si>
  <si>
    <t>def_iron_wall</t>
  </si>
  <si>
    <t>铁壁之护</t>
  </si>
  <si>
    <t>开场一次</t>
  </si>
  <si>
    <t>开战时防御 +10（绝对值，不随星级缩放 → 对本来就高防的棋子收益递减）</t>
  </si>
  <si>
    <t>—（不在胡牌手 5 件内）</t>
  </si>
  <si>
    <t>defense: 12 -&gt; 22</t>
  </si>
  <si>
    <t>def_life_monument</t>
  </si>
  <si>
    <t>生命丰碑</t>
  </si>
  <si>
    <t>最大生命 ×1.20 并回满</t>
  </si>
  <si>
    <t>×1.40</t>
  </si>
  <si>
    <t>hp: 1920 -&gt; 2304；max_hp: 1920 -&gt; 2304</t>
  </si>
  <si>
    <t>def_formation_heal</t>
  </si>
  <si>
    <t>法阵回春</t>
  </si>
  <si>
    <t>胜利或平局：法阵 HP +1；失败：法阵 HP +2；不超过初始上限 50</t>
  </si>
  <si>
    <t>—（胡牌手现需黄金祭坛）</t>
  </si>
  <si>
    <t>（非开场类，见生效时机列）</t>
  </si>
  <si>
    <t>def_soul_counter</t>
  </si>
  <si>
    <t>亡魂反击</t>
  </si>
  <si>
    <t>自身被击杀时</t>
  </si>
  <si>
    <t>击杀你这枚棋子的单位立刻受到 其自身最大生命×35% 真实伤害</t>
  </si>
  <si>
    <t>def_lifesteal_emblem</t>
  </si>
  <si>
    <t>吸血纹章</t>
  </si>
  <si>
    <t>每次造成伤害后</t>
  </si>
  <si>
    <t>回复 本次实际伤害×20% 生命</t>
  </si>
  <si>
    <t>def_phantom_step</t>
  </si>
  <si>
    <t>幻影步伐</t>
  </si>
  <si>
    <t>闪避 +20%（闪避是完全免伤，不是减伤）</t>
  </si>
  <si>
    <t>dodge: 0.0 -&gt; 0.2</t>
  </si>
  <si>
    <t>ctrl_shockwave</t>
  </si>
  <si>
    <t>震荡余波</t>
  </si>
  <si>
    <t>控制</t>
  </si>
  <si>
    <t>普攻附带·冷却5秒</t>
  </si>
  <si>
    <t>眩晕目标 1.0 秒</t>
  </si>
  <si>
    <t>眩晕 2.0 秒</t>
  </si>
  <si>
    <t>ctrl_corrosive_needle</t>
  </si>
  <si>
    <t>腐蚀毒针</t>
  </si>
  <si>
    <t>每第4次普攻·冷却5秒</t>
  </si>
  <si>
    <t>ctrl_interrupt_chain</t>
  </si>
  <si>
    <t>打断锁链</t>
  </si>
  <si>
    <t>普攻附带·冷却3秒</t>
  </si>
  <si>
    <t>25% 概率缴械目标 1.5 秒</t>
  </si>
  <si>
    <t>ctrl_time_compress</t>
  </si>
  <si>
    <t>时空压缩</t>
  </si>
  <si>
    <t>开场一次（持续生效）</t>
  </si>
  <si>
    <t>本方棋子全部技能冷却 ×0.75，开场冷却也 ×0.75</t>
  </si>
  <si>
    <t>skill_cd_multiplier = 0.75（单件开场实测）</t>
  </si>
  <si>
    <t>ctrl_binding_weight</t>
  </si>
  <si>
    <t>束缚重压</t>
  </si>
  <si>
    <t>目标移速 -25% / 攻速 -20% / 造成伤害 -20%，持续 2 秒</t>
  </si>
  <si>
    <t>atk_blood_pact</t>
  </si>
  <si>
    <t>血契之刃</t>
  </si>
  <si>
    <t>攻击 ×1.25；代价：自身永久流血（每秒 当前生命×6%，999 秒）</t>
  </si>
  <si>
    <t>攻击 ×1.50（流血代价不变）</t>
  </si>
  <si>
    <t>atk: 93 -&gt; 116；statuses_added: bleed</t>
  </si>
  <si>
    <t>atk_fury_roster</t>
  </si>
  <si>
    <t>狂怒阵容</t>
  </si>
  <si>
    <t>备战期（持续）</t>
  </si>
  <si>
    <t>上场棋子上限 7 → 8</t>
  </si>
  <si>
    <t>7 → 9</t>
  </si>
  <si>
    <t>atk_burst_core</t>
  </si>
  <si>
    <t>爆裂核心</t>
  </si>
  <si>
    <t>暴击率 +25%</t>
  </si>
  <si>
    <t>crit_bonus: 0.0 -&gt; 0.25</t>
  </si>
  <si>
    <t>atk_wail_resonance</t>
  </si>
  <si>
    <t>哀鸣共鸣</t>
  </si>
  <si>
    <t>击杀时</t>
  </si>
  <si>
    <t>死者周围 180 像素内敌人各受 自身最大生命×15% 真实伤害</t>
  </si>
  <si>
    <t>atk_frenzy_assault</t>
  </si>
  <si>
    <t>狂暴进攻</t>
  </si>
  <si>
    <t>普攻附带（无冷却）</t>
  </si>
  <si>
    <t>每次普攻自身攻速 ×1.15（封顶 2.5）；换目标层数清零但攻速不回退</t>
  </si>
  <si>
    <t>money_compound</t>
  </si>
  <si>
    <t>复利之道</t>
  </si>
  <si>
    <t>金钱</t>
  </si>
  <si>
    <t>战后利息</t>
  </si>
  <si>
    <t>基础利息 5% 之外再加 5%；本回合未花金币再加 3%（实际结算与利息预览一致；免费刷新不算消费）</t>
  </si>
  <si>
    <t>money_generous_fate</t>
  </si>
  <si>
    <t>慷慨命运</t>
  </si>
  <si>
    <t>备战期每回合1次手动</t>
  </si>
  <si>
    <t>赌博：50% 金币变为 2.5 倍 / 50% 只剩 20%</t>
  </si>
  <si>
    <t>money_discount</t>
  </si>
  <si>
    <t>折扣令牌</t>
  </si>
  <si>
    <t>商店（持续）</t>
  </si>
  <si>
    <t>棋子价格 ×0.7（向上取整，最低 1 金）；与清仓特卖互斥，最多降价 60%</t>
  </si>
  <si>
    <t>money_golden_altar</t>
  </si>
  <si>
    <t>黄金祭坛</t>
  </si>
  <si>
    <t>备战期每回合最多3次；战后未使用回复</t>
  </si>
  <si>
    <t>每次 -1 法阵 HP → +100 金；法阵 HP ≤10 时不可用。持有人本回合未使用：法阵 HP +1；3v3 每位持有人独立判断，最多 +3</t>
  </si>
  <si>
    <t>胡牌手激活：使用不扣法阵 HP；选到胡牌手立即 +2 法阵 HP（选到当回合也生效）</t>
  </si>
  <si>
    <t>money_lucky_envelope</t>
  </si>
  <si>
    <t>幸运信封</t>
  </si>
  <si>
    <t>战后随机 +30 / +40 / +50 金</t>
  </si>
  <si>
    <t>elem_flame_shatter</t>
  </si>
  <si>
    <t>炎焰碎裂</t>
  </si>
  <si>
    <t>普攻附带·25%概率</t>
  </si>
  <si>
    <t>触发火属性：额外 自身攻击×40% 真实伤害</t>
  </si>
  <si>
    <t>elem_frost_blade</t>
  </si>
  <si>
    <t>冰封霜刃</t>
  </si>
  <si>
    <t>25% 概率：目标移速 -35% / 攻速 -50%，持续 2 秒</t>
  </si>
  <si>
    <t>elem_thunder_haste</t>
  </si>
  <si>
    <t>雷霆加速</t>
  </si>
  <si>
    <t>自身攻速 +60%，持续 3 秒</t>
  </si>
  <si>
    <t>elem_toxic_spread</t>
  </si>
  <si>
    <t>剧毒蔓延</t>
  </si>
  <si>
    <t>触发毒属性：中毒（每秒 目标最大生命×3%，4 秒）</t>
  </si>
  <si>
    <t>套装/标题</t>
  </si>
  <si>
    <t>── 套装（引擎逐件累加实测激活门槛）──</t>
  </si>
  <si>
    <t>防御 套装</t>
  </si>
  <si>
    <t>共 6 件</t>
  </si>
  <si>
    <t>defense</t>
  </si>
  <si>
    <t>持有 4 件即激活</t>
  </si>
  <si>
    <t>开战时全部普通棋子：最大生命 ×1.30 并回满、防御 ×1.30、闪避 +15%</t>
  </si>
  <si>
    <t>def_iron_wall、def_life_monument、def_formation_heal、def_soul_counter、def_lifesteal_emblem、def_phantom_step</t>
  </si>
  <si>
    <t>控制 套装</t>
  </si>
  <si>
    <t>共 5 件</t>
  </si>
  <si>
    <t>control</t>
  </si>
  <si>
    <t>每次普攻若成功给目标新增了状态，再随机追加一个负面：减速20%/2s、减攻12%/2s、沉默1s、眩晕0.5s、中毒、缴械、流血6%/3s</t>
  </si>
  <si>
    <t>ctrl_shockwave、ctrl_corrosive_needle、ctrl_interrupt_chain、ctrl_time_compress、ctrl_binding_weight</t>
  </si>
  <si>
    <t>攻击 套装</t>
  </si>
  <si>
    <t>attack</t>
  </si>
  <si>
    <t>持有人普通棋子：优先攻击生命比例最低的敌人；普攻后若非 Boss 目标生命 ≤10%，直接斩杀。实际斩杀的棋子攻速 +25%，持续 5 秒；再触发刷新时间，不叠加数值。3v3 同样生效。</t>
  </si>
  <si>
    <t>atk_blood_pact、atk_fury_roster、atk_burst_core、atk_wail_resonance、atk_frenzy_assault</t>
  </si>
  <si>
    <t>金钱 套装</t>
  </si>
  <si>
    <t>money</t>
  </si>
  <si>
    <t>商店刷新 与 宝藏刷新 全部免费</t>
  </si>
  <si>
    <t>money_compound、money_generous_fate、money_discount、money_golden_altar、money_lucky_envelope</t>
  </si>
  <si>
    <t>属性 套装</t>
  </si>
  <si>
    <t>共 4 件</t>
  </si>
  <si>
    <t>element</t>
  </si>
  <si>
    <t>每枚普通棋子各自计算：普攻 20% 概率触发，目标周围 180 像素内敌人各受自身最大生命×10% 真实伤害；触发后该棋子内置冷却 2 秒。</t>
  </si>
  <si>
    <t>elem_flame_shatter、elem_frost_blade、elem_thunder_haste、elem_toxic_spread</t>
  </si>
  <si>
    <t>10_宝藏联动</t>
  </si>
  <si>
    <t>11 个联动按原表提取；凤凰涅槃按用户确认的 40% 最大生命复活定稿。</t>
  </si>
  <si>
    <t>联动 ID</t>
  </si>
  <si>
    <t>需要宝藏</t>
  </si>
  <si>
    <t>件数</t>
  </si>
  <si>
    <t>全齐实测</t>
  </si>
  <si>
    <t>缺一件实测</t>
  </si>
  <si>
    <t>代码位置</t>
  </si>
  <si>
    <t>link_phoenix</t>
  </si>
  <si>
    <t>凤凰涅槃</t>
  </si>
  <si>
    <t>哀鸣共鸣 + 亡魂反击</t>
  </si>
  <si>
    <t>该棋子死亡 0.1 秒后以最大生命的 40% 复活并获得 3 秒无敌，3.1 秒后强制真死；每枚棋子每场 1 次。</t>
  </si>
  <si>
    <t>✔ 激活</t>
  </si>
  <si>
    <t>❌ 不激活（正确）</t>
  </si>
  <si>
    <t>_queue_phoenix_revive</t>
  </si>
  <si>
    <t>link_money_magic</t>
  </si>
  <si>
    <t>金钱魔法</t>
  </si>
  <si>
    <t>幸运信封 + 时空压缩</t>
  </si>
  <si>
    <t>战后额外随机 +60/70/80 金，另有 10% 概率再 +200 金。</t>
  </si>
  <si>
    <t>EconomyService.settle_post_battle_gold</t>
  </si>
  <si>
    <t>link_blood_covenant</t>
  </si>
  <si>
    <t>血之契约</t>
  </si>
  <si>
    <t>炎焰碎裂 + 吸血纹章</t>
  </si>
  <si>
    <t>火属性伤害从 攻击×40% 提升到 攻击×100%。
表内字段：true_damage_atk_pct = 1</t>
  </si>
  <si>
    <t>BattleSimShared._fire_bonus_multiplier</t>
  </si>
  <si>
    <t>link_paralysis_shackles</t>
  </si>
  <si>
    <t>麻痹枷锁</t>
  </si>
  <si>
    <t>打断锁链 + 冰封霜刃</t>
  </si>
  <si>
    <t>缴械触发时再附加冰效果、冰易伤 +25% 与治疗降低 75%，持续 4 秒。
表内字段：ice_damage_taken_bonus = 0.25；heal_reduction = 0.75</t>
  </si>
  <si>
    <t>_apply_attack_treasure_effects</t>
  </si>
  <si>
    <t>link_oppression_counter</t>
  </si>
  <si>
    <t>压迫反击</t>
  </si>
  <si>
    <t>束缚重压 + 狂暴进攻</t>
  </si>
  <si>
    <t>被攻击时使攻击者获得狂暴进攻的一层攻速，并使攻击者攻击 -25%，持续 2 秒。</t>
  </si>
  <si>
    <t>_apply_defender_treasure_reaction</t>
  </si>
  <si>
    <t>link_fraud_fate</t>
  </si>
  <si>
    <t>诡诈命运</t>
  </si>
  <si>
    <t>幻影步伐 + 慷慨命运</t>
  </si>
  <si>
    <t>赌博改为 60% 变为 2.5 倍 / 40% 只剩 50%。</t>
  </si>
  <si>
    <t>PrepFlowController._on_generous_fate_gamble</t>
  </si>
  <si>
    <t>link_iron_maiden</t>
  </si>
  <si>
    <t>铁处女</t>
  </si>
  <si>
    <t>铁壁之护 + 腐蚀毒针</t>
  </si>
  <si>
    <t>被攻击时（冷却 8 秒）给攻击者流血 6%/秒持续 5 秒、防御 -50% 持续 5 秒。</t>
  </si>
  <si>
    <t>link_toxic_burst</t>
  </si>
  <si>
    <t>剧毒爆发</t>
  </si>
  <si>
    <t>爆裂核心 + 剧毒蔓延</t>
  </si>
  <si>
    <t>造成伤害后，若目标中毒则 50% 概率立刻引爆剩余全部毒伤（按剩余跳数一次性结算）并移除中毒。
表内字段：proc_chance = 0.5</t>
  </si>
  <si>
    <t>BattleSimTreasures._try_toxic_burst</t>
  </si>
  <si>
    <t>link_rich_path</t>
  </si>
  <si>
    <t>富裕之路</t>
  </si>
  <si>
    <t>复利之道 + 雷霆加速</t>
  </si>
  <si>
    <t>每次造成正伤害 25% 概率 +10 金（计入 bonus_gold）。
表内字段：attack_gold_chance = 0.25</t>
  </si>
  <si>
    <t>_apply_post_damage_treasures</t>
  </si>
  <si>
    <t>link_clearance_sale</t>
  </si>
  <si>
    <t>清仓特卖</t>
  </si>
  <si>
    <t>狂怒阵容 + 折扣令牌</t>
  </si>
  <si>
    <t>同队只要有一人激活，队友买棋子均享受原价 ×0.4（向上取整，最低 1 金）；与折扣令牌互斥，最多降价 60%。
表内字段：shop_price_multiplier = 0.4</t>
  </si>
  <si>
    <t>EconomyLedger.unit_cost</t>
  </si>
  <si>
    <t>link_hu_pai_master</t>
  </si>
  <si>
    <t>胡牌手</t>
  </si>
  <si>
    <t>生命丰碑 + 黄金祭坛 + 震荡余波 + 血契之刃 + 狂怒阵容</t>
  </si>
  <si>
    <t>需要：生命丰碑 + 黄金祭坛 + 震荡余波 + 血契之刃 + 狂怒阵容。生命丰碑 ×1.20→×1.40；震荡余波眩晕 1→2 秒；血契之刃 ×1.25→×1.50；狂怒阵容上限 8→9。黄金祭坛使用不扣法阵 HP；选到胡牌手立即回复法阵 HP +2（上限 50）。
表内字段：positive_effect_multiplier = 2</t>
  </si>
  <si>
    <t>各挂钩点的 _f_has_linkage 判定</t>
  </si>
  <si>
    <t>回合</t>
  </si>
  <si>
    <t>局型</t>
  </si>
  <si>
    <t>宝藏回合</t>
  </si>
  <si>
    <t>每路野怪数</t>
  </si>
  <si>
    <t>已完PVE</t>
  </si>
  <si>
    <t>怪HP×</t>
  </si>
  <si>
    <t>怪攻×</t>
  </si>
  <si>
    <t>怪防×</t>
  </si>
  <si>
    <t>已完Boss</t>
  </si>
  <si>
    <t>BossHP×</t>
  </si>
  <si>
    <t>Boss攻×</t>
  </si>
  <si>
    <t>Boss防×</t>
  </si>
  <si>
    <t>pve</t>
  </si>
  <si>
    <t>×1.00</t>
  </si>
  <si>
    <t>×1.10</t>
  </si>
  <si>
    <t>×1.08</t>
  </si>
  <si>
    <t>×1.05</t>
  </si>
  <si>
    <t>×1.21</t>
  </si>
  <si>
    <t>×1.17</t>
  </si>
  <si>
    <t>×1.33</t>
  </si>
  <si>
    <t>×1.26</t>
  </si>
  <si>
    <t>×1.16</t>
  </si>
  <si>
    <t>boss</t>
  </si>
  <si>
    <t>×1.46</t>
  </si>
  <si>
    <t>×1.36</t>
  </si>
  <si>
    <t>×1.22</t>
  </si>
  <si>
    <t>pvp</t>
  </si>
  <si>
    <t>×1.45</t>
  </si>
  <si>
    <t>×1.35</t>
  </si>
  <si>
    <t>×1.30</t>
  </si>
  <si>
    <t>×1.61</t>
  </si>
  <si>
    <t>×1.47</t>
  </si>
  <si>
    <t>×1.28</t>
  </si>
  <si>
    <t>×1.77</t>
  </si>
  <si>
    <t>×1.59</t>
  </si>
  <si>
    <t>×1.34</t>
  </si>
  <si>
    <t>×1.95</t>
  </si>
  <si>
    <t>×1.71</t>
  </si>
  <si>
    <t>×1.41</t>
  </si>
  <si>
    <t>×2.10</t>
  </si>
  <si>
    <t>×1.82</t>
  </si>
  <si>
    <t>×1.69</t>
  </si>
  <si>
    <t>×2.14</t>
  </si>
  <si>
    <t>×1.85</t>
  </si>
  <si>
    <t>×1.48</t>
  </si>
  <si>
    <t>×2.36</t>
  </si>
  <si>
    <t>×2.00</t>
  </si>
  <si>
    <t>×1.55</t>
  </si>
  <si>
    <t>×2.59</t>
  </si>
  <si>
    <t>×2.16</t>
  </si>
  <si>
    <t>×1.63</t>
  </si>
  <si>
    <t>×3.05</t>
  </si>
  <si>
    <t>×2.46</t>
  </si>
  <si>
    <t>×2.20</t>
  </si>
  <si>
    <t>×2.85</t>
  </si>
  <si>
    <t>×2.33</t>
  </si>
  <si>
    <t>×3.14</t>
  </si>
  <si>
    <t>×2.52</t>
  </si>
  <si>
    <t>×1.80</t>
  </si>
  <si>
    <t>×3.45</t>
  </si>
  <si>
    <t>×2.72</t>
  </si>
  <si>
    <t>×1.89</t>
  </si>
  <si>
    <t>final</t>
  </si>
  <si>
    <t>×4.42</t>
  </si>
  <si>
    <t>×3.32</t>
  </si>
  <si>
    <t>×2.86</t>
  </si>
  <si>
    <t>类型</t>
  </si>
  <si>
    <t>float</t>
  </si>
  <si>
    <t>参数 ID</t>
  </si>
  <si>
    <t>数值</t>
  </si>
  <si>
    <t>代码表达式</t>
  </si>
  <si>
    <t>treasure.phoenix_revive_hp_rate</t>
  </si>
  <si>
    <t>scripts/battle/BattleSimTreasures.gd</t>
  </si>
  <si>
    <t>victim.max_hp * 0.40</t>
  </si>
  <si>
    <t>synergy.undead_poison_antiheal</t>
  </si>
  <si>
    <t>scripts/units/SynergyService.gd</t>
  </si>
  <si>
    <t>undead_poison_antiheal: 0.30</t>
  </si>
  <si>
    <t>本表只维护棋子、羁绊、佣兵、怪物、Boss、宝藏与宠物的数值及技能；商城、经济和法阵友军另由运行 JSON 管理。</t>
  </si>
  <si>
    <t>final status / 2026-10-13</t>
  </si>
  <si>
    <t>维护范围</t>
  </si>
  <si>
    <t>棋子、佣兵、野怪、Boss、宝藏、宠物；商城不在本表</t>
  </si>
  <si>
    <t>商城 data/shop.json；宠物技能仍在 03_宠物技能</t>
  </si>
  <si>
    <t>已审定规则见 04_羁绊、09_宝藏与套装、10_宝藏联动</t>
  </si>
  <si>
    <t>黑龙 1–3★伤害(%)：编辑</t>
  </si>
  <si>
    <t>黑龙 4★伤害(%)：编辑</t>
  </si>
  <si>
    <t>旧倍率实测；新倍率待实跑</t>
  </si>
  <si>
    <t>人王唯一技：棋盘上只能存在一只人王。若参战且战后仍存活，生命、攻击、防御、攻速永久x1.2（上限5层，战斗攻速上限2.5次/秒）；若死亡则从棋盘移除；升星继承三只材料中成长最高的人王数值。</t>
  </si>
  <si>
    <t>Human King Unique (one on board): If this unit survives a battle, HP/ATK/DEF/AS permanently ×1.2 (cap 5 stacks; battle AS cap 2.5 attacks/s). If it dies, it is removed from the board. On upgrade, inherit the highest growth value from the three materials.</t>
  </si>
  <si>
    <t>人王唯一技：棋盘上只能存在一只人王。若参战且战后仍存活，生命、攻击、防御、攻速永久x1.3（上限8层，战斗攻速上限2.5次/秒）；若死亡则从棋盘移除；升星继承三只材料中成长最高的人王数值。</t>
  </si>
  <si>
    <t>03_宠物技能</t>
  </si>
  <si>
    <t>宠物效果数值和技能说明；修改 E 列时同步修改 F、J 列百分比。商品与价格由 data/shop.json 管理。</t>
  </si>
  <si>
    <t>D/E/O 可编辑首场 HP、攻击、防御；技能参数请改下方 D16 起的输入值（百分数填 20 表示20%）。AB/AC 是本次说明快照，游戏文案由运行 JSON 动态生成。</t>
  </si>
  <si>
    <t>skill_cd = 6
skill_damage = 240
aoe_radius = 250</t>
  </si>
  <si>
    <t>陨星轰击：每6秒砸向最近敌人，250像素内敌人受到首场360点真实伤害。</t>
  </si>
  <si>
    <t>hit_threshold = 8
skill_damage = 300
interrupt_chance = 0.25
splash_damage = 200
splash_radius = 180</t>
  </si>
  <si>
    <t>过载反击：受击8次后对攻击者造成首场450点真实伤害；其周围180像素其他敌人受到200点真实伤害；25%概率打断主目标。</t>
  </si>
  <si>
    <t>clone_per_missing_hp_pct = 0.25
clone_hp_pct = 0.3
clone_atk_pct = 1
clone_def = 0</t>
  </si>
  <si>
    <t>镜像分裂：每损失25%最大生命分裂一个镜像；镜像有本体30%最大生命、100%当前攻击，不释放技能。</t>
  </si>
  <si>
    <t>skill_cd = 8
heal_pct = 0.2
shield_pct = 0.15</t>
  </si>
  <si>
    <t>圣愈净化：每8秒净化全体友军，回复20%最大生命并给予15%最大生命护盾；随同出场的小怪必定为远程。</t>
  </si>
  <si>
    <t>atk_per_hit = 0.05
aspd_per_hit = 0.03
max_stacks = 50</t>
  </si>
  <si>
    <t>狂怒叠加：每次攻击当前攻击×1.05、攻速+0.03，最多50层；首场第50层约954攻击。</t>
  </si>
  <si>
    <t>trigger_hp_pct = 0.5
atk_bonus = 1
aspd_bonus = 0.5
lifesteal = 0.2</t>
  </si>
  <si>
    <t>血怒暴走：生命降至50%或以下立即触发，攻击翻倍、攻速+0.50、吸血20%。</t>
  </si>
  <si>
    <t>kill_heal_pct = 0.2
atk_stack = 0.2
aspd_stack = 0.2</t>
  </si>
  <si>
    <t>噬魂：同一路的友方小怪或敌方棋子死亡时，回复20%最大生命，每次增加入场攻击20%、攻速+0.20；战斗攻速上限2.5。</t>
  </si>
  <si>
    <t>revive_delay = 5
revive_hp_pct = 0.6
revives_per_twin = 1
cleave_atk_pct = 0.5
cleave_distance = 180
cleave_start_half_width = 45
cleave_end_half_width = 90</t>
  </si>
  <si>
    <t>双生复活：普攻对主目标身后锥形范围造成50%攻击的物理分裂伤害；任一方死亡后5秒以60%生命复活，每只最多1次，同伴全灭时不复活。</t>
  </si>
  <si>
    <t>skill_cd = 8
charge_sec = 2
charge_shield_pct = 0.1
damage_atk_pct = 2.5</t>
  </si>
  <si>
    <t>灭世蓄力：每8秒获得10%最大生命护盾并蓄力2秒；护盾未破则对全场敌人造成250%攻击、无视防御的伤害。</t>
  </si>
  <si>
    <t>Boss ID</t>
  </si>
  <si>
    <t>技能参数字段</t>
  </si>
  <si>
    <t>可编辑输入值</t>
  </si>
  <si>
    <t>单位／含义</t>
  </si>
  <si>
    <t>skill_cd</t>
  </si>
  <si>
    <t>技能冷却，秒</t>
  </si>
  <si>
    <t>skill_damage</t>
  </si>
  <si>
    <t>JSON基础值；首场实际伤害×1.5</t>
  </si>
  <si>
    <t>aoe_radius</t>
  </si>
  <si>
    <t>范围半径，像素</t>
  </si>
  <si>
    <t>hit_threshold</t>
  </si>
  <si>
    <t>受击次数</t>
  </si>
  <si>
    <t>interrupt_chance</t>
  </si>
  <si>
    <t>打断概率，百分数</t>
  </si>
  <si>
    <t>splash_damage</t>
  </si>
  <si>
    <t>首场实际溅射真实伤害</t>
  </si>
  <si>
    <t>splash_radius</t>
  </si>
  <si>
    <t>溅射半径，像素</t>
  </si>
  <si>
    <t>clone_per_missing_hp_pct</t>
  </si>
  <si>
    <t>每损失生命阈值，百分数</t>
  </si>
  <si>
    <t>clone_hp_pct</t>
  </si>
  <si>
    <t>镜像生命，百分数</t>
  </si>
  <si>
    <t>clone_atk_pct</t>
  </si>
  <si>
    <t>镜像攻击，百分数</t>
  </si>
  <si>
    <t>clone_def</t>
  </si>
  <si>
    <t>镜像防御</t>
  </si>
  <si>
    <t>heal_pct</t>
  </si>
  <si>
    <t>最大生命治疗，百分数</t>
  </si>
  <si>
    <t>shield_pct</t>
  </si>
  <si>
    <t>最大生命护盾，百分数</t>
  </si>
  <si>
    <t>atk_per_hit</t>
  </si>
  <si>
    <t>每次攻击当前攻击增长，百分数</t>
  </si>
  <si>
    <t>aspd_per_hit</t>
  </si>
  <si>
    <t>每次攻击攻速增加</t>
  </si>
  <si>
    <t>max_stacks</t>
  </si>
  <si>
    <t>叠层上限</t>
  </si>
  <si>
    <t>trigger_hp_pct</t>
  </si>
  <si>
    <t>生命触发阈值，百分数</t>
  </si>
  <si>
    <t>atk_bonus</t>
  </si>
  <si>
    <t>入场攻击加成，百分数</t>
  </si>
  <si>
    <t>aspd_bonus</t>
  </si>
  <si>
    <t>攻速增加</t>
  </si>
  <si>
    <t>lifesteal</t>
  </si>
  <si>
    <t>吸血，百分数</t>
  </si>
  <si>
    <t>kill_heal_pct</t>
  </si>
  <si>
    <t>同路死亡回复最大生命，百分数</t>
  </si>
  <si>
    <t>atk_stack</t>
  </si>
  <si>
    <t>每次同路死亡入场攻击增长，百分数</t>
  </si>
  <si>
    <t>aspd_stack</t>
  </si>
  <si>
    <t>每次同路死亡攻速增加</t>
  </si>
  <si>
    <t>revive_delay</t>
  </si>
  <si>
    <t>复活延迟，秒</t>
  </si>
  <si>
    <t>revive_hp_pct</t>
  </si>
  <si>
    <t>复活生命，百分数</t>
  </si>
  <si>
    <t>revives_per_twin</t>
  </si>
  <si>
    <t>每只复活次数</t>
  </si>
  <si>
    <t>cleave_atk_pct</t>
  </si>
  <si>
    <t>分裂攻击，百分数</t>
  </si>
  <si>
    <t>cleave_distance</t>
  </si>
  <si>
    <t>锥形长度，像素</t>
  </si>
  <si>
    <t>cleave_start_half_width</t>
  </si>
  <si>
    <t>锥形近端半宽，像素</t>
  </si>
  <si>
    <t>cleave_end_half_width</t>
  </si>
  <si>
    <t>锥形远端半宽，像素</t>
  </si>
  <si>
    <t>charge_sec</t>
  </si>
  <si>
    <t>蓄力时间，秒</t>
  </si>
  <si>
    <t>charge_shield_pct</t>
  </si>
  <si>
    <t>damage_atk_pct</t>
  </si>
  <si>
    <t>全场伤害攻击倍率，百分数</t>
  </si>
  <si>
    <t>目标流血：每秒当前生命×6%，持续3秒；我方普通棋子普攻已流血目标时伤害+15%（本次攻击新施加的流血从下一击起生效）。</t>
  </si>
  <si>
    <t>13_怪物Boss回合</t>
  </si>
  <si>
    <t>21 回合的野怪数量、怪物/Boss 成长倍率及宝藏节点；商城概率与金币奖励由独立配置管理。</t>
  </si>
  <si>
    <t>战斗代码参数对照</t>
  </si>
  <si>
    <t>宝藏和羁绊中仍由代码实现的固定参数；修改规则时同步更新此页与代码。</t>
  </si>
  <si>
    <t>黄金冲锋（冷却7.0秒）：冲向最近敌人，造成240点真实伤害并眩晕2.6秒。</t>
  </si>
  <si>
    <t>bonus_vs_higher_hp = 0.4
carrot_cost = 12
skill_damage = 440
stun_sec = 2.6</t>
  </si>
  <si>
    <t>carrot_cost = 18
clone_atk_pct = 0.6
clone_hp_pct = 0.3
skill_cd = 10</t>
  </si>
  <si>
    <t>ally_aspd_bonus = 0.25
ally_crit_bonus = 0.25
aura_radius = 3
carrot_cost = 21</t>
  </si>
  <si>
    <t>carrot_cost = 24
skill_cd = 2
targets = 6</t>
  </si>
  <si>
    <t>箭雨（冷却2.0秒）：攻击最近5名敌人，每个目标受到自身攻击85%伤害。</t>
  </si>
  <si>
    <t>aspd_per_step = 0.1
carrot_cost = 27
hp_step = 0.1
lifesteal_per_step = 0.15</t>
  </si>
  <si>
    <t>armor_break = 15
carrot_cost = 36
duration = 4
heal_reduction = 0.7
kill_heal_pct = 0.30
prefer_low_hp = true</t>
  </si>
  <si>
    <t>冥界处决：优先攻击低血目标；击杀回复最大生命30%。普攻破甲15并降低治疗70%，持续4.0秒。</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</si>
</sst>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font>
      <sz val="11"/>
      <name val="Carlito"/>
      <charset val="134"/>
    </font>
    <font>
      <b/>
      <sz val="15"/>
      <color rgb="FFFFFFFF"/>
      <name val="Microsoft YaHei"/>
      <charset val="134"/>
    </font>
    <font>
      <sz val="10"/>
      <color rgb="FF526377"/>
      <name val="Microsoft YaHei"/>
      <charset val="134"/>
    </font>
    <font>
      <b/>
      <sz val="10"/>
      <color rgb="FFFFFFFF"/>
      <name val="Microsoft YaHei"/>
      <charset val="134"/>
    </font>
    <font>
      <sz val="10"/>
      <color rgb="FF243447"/>
      <name val="Microsoft YaHei"/>
      <charset val="134"/>
    </font>
  </fonts>
  <fills count="7">
    <fill>
      <patternFill patternType="none"/>
    </fill>
    <fill>
      <patternFill patternType="gray125"/>
    </fill>
    <fill>
      <patternFill patternType="solid">
        <fgColor rgb="FF1B3553"/>
        <bgColor indexed="64"/>
      </patternFill>
    </fill>
    <fill>
      <patternFill patternType="solid">
        <fgColor rgb="FF284766"/>
        <bgColor indexed="64"/>
      </patternFill>
    </fill>
    <fill>
      <patternFill patternType="solid">
        <fgColor rgb="FFFFFFFF"/>
        <bgColor indexed="64"/>
      </patternFill>
    </fill>
    <fill>
      <patternFill patternType="solid">
        <fgColor rgb="FFF3F6FA"/>
        <bgColor indexed="64"/>
      </patternFill>
    </fill>
    <fill>
      <patternFill patternType="solid">
        <fgColor rgb="FFFFFFCC"/>
        <bgColor indexed="64"/>
      </patternFill>
    </fill>
  </fills>
  <borders count="1">
    <border>
      <left/>
      <right/>
      <top/>
      <bottom/>
      <diagonal/>
    </border>
  </borders>
  <cellStyleXfs count="1">
    <xf numFmtId="0" fontId="0" fillId="0" borderId="0"/>
  </cellStyleXfs>
  <cellXfs count="11">
    <xf numFmtId="0" fontId="0" fillId="0" borderId="0" xfId="0"/>
    <xf numFmtId="0" fontId="3" fillId="3" borderId="0" xfId="0" applyFont="1" applyFill="1"/>
    <xf numFmtId="0" fontId="4" fillId="0" borderId="0" xfId="0" applyFont="1"/>
    <xf numFmtId="0" fontId="3" fillId="3" borderId="0" xfId="0" applyFont="1" applyFill="1" applyAlignment="1">
      <alignment wrapText="1"/>
    </xf>
    <xf numFmtId="0" fontId="4" fillId="4" borderId="0" xfId="0" applyFont="1" applyFill="1" applyAlignment="1">
      <alignment vertical="center" wrapText="1"/>
    </xf>
    <xf numFmtId="0" fontId="4" fillId="5" borderId="0" xfId="0" applyFont="1" applyFill="1" applyAlignment="1">
      <alignment vertical="center" wrapText="1"/>
    </xf>
    <xf numFmtId="9" fontId="4" fillId="4" borderId="0" xfId="0" applyNumberFormat="1" applyFont="1" applyFill="1" applyAlignment="1">
      <alignment vertical="center" wrapText="1"/>
    </xf>
    <xf numFmtId="9" fontId="4" fillId="5" borderId="0" xfId="0" applyNumberFormat="1" applyFont="1" applyFill="1" applyAlignment="1">
      <alignment vertical="center" wrapText="1"/>
    </xf>
    <xf numFmtId="0" fontId="4" fillId="6" borderId="0" xfId="0" applyFont="1" applyFill="1" applyAlignment="1">
      <alignment vertical="center" wrapText="1"/>
    </xf>
    <xf numFmtId="0" fontId="1" fillId="2" borderId="0" xfId="0" applyFont="1" applyFill="1"/>
    <xf numFmtId="0" fontId="2" fillId="0" borderId="0" xfId="0" applyFont="1" applyAlignment="1">
      <alignment wrapText="1"/>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showGridLines="0" workbookViewId="0">
      <pane ySplit="3" topLeftCell="A4" activePane="bottomLeft" state="frozen"/>
      <selection pane="bottomLeft" sqref="A1:C1"/>
    </sheetView>
  </sheetViews>
  <sheetFormatPr defaultColWidth="9" defaultRowHeight="14.4"/>
  <cols>
    <col min="1" max="1" width="30" customWidth="1"/>
    <col min="2" max="2" width="92" customWidth="1"/>
    <col min="3" max="3" width="80" customWidth="1"/>
  </cols>
  <sheetData>
    <row r="1" spans="1:3" ht="34.049999999999997" customHeight="1">
      <c r="A1" s="9" t="s">
        <v>0</v>
      </c>
      <c r="B1" s="9"/>
      <c r="C1" s="9"/>
    </row>
    <row r="2" spans="1:3" ht="31.95" customHeight="1">
      <c r="A2" s="10" t="s">
        <v>1093</v>
      </c>
      <c r="B2" s="10"/>
      <c r="C2" s="10"/>
    </row>
    <row r="3" spans="1:3" ht="28.05" customHeight="1">
      <c r="A3" s="3" t="s">
        <v>1</v>
      </c>
      <c r="B3" s="3" t="s">
        <v>2</v>
      </c>
      <c r="C3" s="3" t="s">
        <v>3</v>
      </c>
    </row>
    <row r="4" spans="1:3" ht="37.950000000000003" customHeight="1">
      <c r="A4" s="4" t="s">
        <v>4</v>
      </c>
      <c r="B4" s="4" t="s">
        <v>1094</v>
      </c>
      <c r="C4" s="4" t="s">
        <v>5</v>
      </c>
    </row>
    <row r="5" spans="1:3" ht="37.950000000000003" customHeight="1">
      <c r="A5" s="5" t="s">
        <v>6</v>
      </c>
      <c r="B5" s="5" t="s">
        <v>7</v>
      </c>
      <c r="C5" s="5" t="s">
        <v>8</v>
      </c>
    </row>
    <row r="6" spans="1:3" ht="37.950000000000003" customHeight="1">
      <c r="A6" s="4" t="s">
        <v>9</v>
      </c>
      <c r="B6" s="4" t="s">
        <v>10</v>
      </c>
      <c r="C6" s="4" t="s">
        <v>11</v>
      </c>
    </row>
    <row r="7" spans="1:3" ht="37.950000000000003" customHeight="1">
      <c r="A7" s="5" t="s">
        <v>12</v>
      </c>
      <c r="B7" s="5" t="s">
        <v>13</v>
      </c>
      <c r="C7" s="5" t="s">
        <v>14</v>
      </c>
    </row>
    <row r="8" spans="1:3" ht="37.950000000000003" customHeight="1">
      <c r="A8" s="4" t="s">
        <v>15</v>
      </c>
      <c r="B8" s="4" t="s">
        <v>16</v>
      </c>
      <c r="C8" s="4" t="s">
        <v>17</v>
      </c>
    </row>
    <row r="9" spans="1:3" ht="37.950000000000003" customHeight="1">
      <c r="A9" s="5" t="s">
        <v>1095</v>
      </c>
      <c r="B9" s="5" t="s">
        <v>1096</v>
      </c>
      <c r="C9" s="5" t="s">
        <v>1097</v>
      </c>
    </row>
    <row r="10" spans="1:3" ht="37.950000000000003" customHeight="1">
      <c r="A10" s="4" t="s">
        <v>18</v>
      </c>
      <c r="B10" s="4" t="s">
        <v>19</v>
      </c>
      <c r="C10" s="4" t="s">
        <v>1098</v>
      </c>
    </row>
  </sheetData>
  <mergeCells count="2">
    <mergeCell ref="A1:C1"/>
    <mergeCell ref="A2:C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43"/>
  <sheetViews>
    <sheetView showGridLines="0" topLeftCell="P1" workbookViewId="0">
      <pane ySplit="3" topLeftCell="A28" activePane="bottomLeft" state="frozen"/>
      <selection pane="bottomLeft" activeCell="V30" sqref="V30"/>
    </sheetView>
  </sheetViews>
  <sheetFormatPr defaultColWidth="9" defaultRowHeight="14.4"/>
  <cols>
    <col min="1" max="1" width="20" customWidth="1"/>
    <col min="2" max="2" width="15" customWidth="1"/>
    <col min="3" max="3" width="12" customWidth="1"/>
    <col min="4" max="4" width="10" customWidth="1"/>
    <col min="5" max="5" width="8" customWidth="1"/>
    <col min="6" max="6" width="9" customWidth="1"/>
    <col min="7" max="18" width="12" customWidth="1"/>
    <col min="19" max="20" width="10" customWidth="1"/>
    <col min="21" max="21" width="12" customWidth="1"/>
    <col min="22" max="22" width="10" customWidth="1"/>
    <col min="23" max="23" width="13" customWidth="1"/>
    <col min="24" max="25" width="10" customWidth="1"/>
    <col min="26" max="27" width="12" customWidth="1"/>
    <col min="28" max="28" width="13" customWidth="1"/>
    <col min="29" max="29" width="24" customWidth="1"/>
  </cols>
  <sheetData>
    <row r="1" spans="1:29" ht="34.049999999999997" customHeight="1">
      <c r="A1" s="9" t="s">
        <v>20</v>
      </c>
      <c r="B1" s="9"/>
      <c r="C1" s="9"/>
      <c r="D1" s="9"/>
      <c r="E1" s="9"/>
      <c r="F1" s="9"/>
      <c r="G1" s="9"/>
      <c r="H1" s="9"/>
      <c r="I1" s="9"/>
      <c r="J1" s="9"/>
      <c r="K1" s="9"/>
      <c r="L1" s="9"/>
      <c r="M1" s="9"/>
      <c r="N1" s="9"/>
      <c r="O1" s="9"/>
      <c r="P1" s="9"/>
      <c r="Q1" s="9"/>
      <c r="R1" s="9"/>
      <c r="S1" s="9"/>
      <c r="T1" s="9"/>
      <c r="U1" s="9"/>
      <c r="V1" s="9"/>
      <c r="W1" s="9"/>
      <c r="X1" s="9"/>
      <c r="Y1" s="9"/>
      <c r="Z1" s="9"/>
      <c r="AA1" s="9"/>
      <c r="AB1" s="9"/>
      <c r="AC1" s="9"/>
    </row>
    <row r="2" spans="1:29" ht="31.95" customHeight="1">
      <c r="A2" s="10" t="s">
        <v>21</v>
      </c>
      <c r="B2" s="10"/>
      <c r="C2" s="10"/>
      <c r="D2" s="10"/>
      <c r="E2" s="10"/>
      <c r="F2" s="10"/>
      <c r="G2" s="10"/>
      <c r="H2" s="10"/>
      <c r="I2" s="10"/>
      <c r="J2" s="10"/>
      <c r="K2" s="10"/>
      <c r="L2" s="10"/>
      <c r="M2" s="10"/>
      <c r="N2" s="10"/>
      <c r="O2" s="10"/>
      <c r="P2" s="10"/>
      <c r="Q2" s="10"/>
      <c r="R2" s="10"/>
      <c r="S2" s="10"/>
      <c r="T2" s="10"/>
      <c r="U2" s="10"/>
      <c r="V2" s="10"/>
      <c r="W2" s="10"/>
      <c r="X2" s="10"/>
      <c r="Y2" s="10"/>
      <c r="Z2" s="10"/>
      <c r="AA2" s="10"/>
      <c r="AB2" s="10"/>
      <c r="AC2" s="10"/>
    </row>
    <row r="3" spans="1:29" ht="28.05" customHeight="1">
      <c r="A3" s="3" t="s">
        <v>22</v>
      </c>
      <c r="B3" s="3" t="s">
        <v>23</v>
      </c>
      <c r="C3" s="3" t="s">
        <v>24</v>
      </c>
      <c r="D3" s="3" t="s">
        <v>25</v>
      </c>
      <c r="E3" s="3" t="s">
        <v>26</v>
      </c>
      <c r="F3" s="3" t="s">
        <v>27</v>
      </c>
      <c r="G3" s="3" t="s">
        <v>28</v>
      </c>
      <c r="H3" s="3" t="s">
        <v>29</v>
      </c>
      <c r="I3" s="3" t="s">
        <v>30</v>
      </c>
      <c r="J3" s="3" t="s">
        <v>31</v>
      </c>
      <c r="K3" s="3" t="s">
        <v>32</v>
      </c>
      <c r="L3" s="3" t="s">
        <v>33</v>
      </c>
      <c r="M3" s="3" t="s">
        <v>34</v>
      </c>
      <c r="N3" s="3" t="s">
        <v>35</v>
      </c>
      <c r="O3" s="3" t="s">
        <v>36</v>
      </c>
      <c r="P3" s="3" t="s">
        <v>37</v>
      </c>
      <c r="Q3" s="3" t="s">
        <v>38</v>
      </c>
      <c r="R3" s="3" t="s">
        <v>39</v>
      </c>
      <c r="S3" s="3" t="s">
        <v>40</v>
      </c>
      <c r="T3" s="3" t="s">
        <v>41</v>
      </c>
      <c r="U3" s="3" t="s">
        <v>42</v>
      </c>
      <c r="V3" s="3" t="s">
        <v>43</v>
      </c>
      <c r="W3" s="3" t="s">
        <v>44</v>
      </c>
      <c r="X3" s="3" t="s">
        <v>45</v>
      </c>
      <c r="Y3" s="3" t="s">
        <v>46</v>
      </c>
      <c r="Z3" s="3" t="s">
        <v>47</v>
      </c>
      <c r="AA3" s="3" t="s">
        <v>48</v>
      </c>
      <c r="AB3" s="3" t="s">
        <v>49</v>
      </c>
      <c r="AC3" s="3" t="s">
        <v>50</v>
      </c>
    </row>
    <row r="4" spans="1:29" ht="37.950000000000003" customHeight="1">
      <c r="A4" s="4" t="s">
        <v>51</v>
      </c>
      <c r="B4" s="4" t="s">
        <v>52</v>
      </c>
      <c r="C4" s="4" t="s">
        <v>53</v>
      </c>
      <c r="D4" s="4" t="s">
        <v>54</v>
      </c>
      <c r="E4" s="4">
        <v>1</v>
      </c>
      <c r="F4" s="4">
        <v>20</v>
      </c>
      <c r="G4" s="4">
        <v>580</v>
      </c>
      <c r="H4" s="4">
        <f t="shared" ref="H4:H43" si="0">ROUND(G4*1.5,0)</f>
        <v>870</v>
      </c>
      <c r="I4" s="4">
        <f t="shared" ref="I4:I43" si="1">ROUND(G4*3,0)</f>
        <v>1740</v>
      </c>
      <c r="J4" s="4">
        <f t="shared" ref="J4:J28" si="2">ROUND(G4*(3*1.15),0)</f>
        <v>2001</v>
      </c>
      <c r="K4" s="4">
        <v>37</v>
      </c>
      <c r="L4" s="4">
        <f t="shared" ref="L4:L23" si="3">ROUND(K4*1.5,0)</f>
        <v>56</v>
      </c>
      <c r="M4" s="4">
        <f t="shared" ref="M4:M23" si="4">ROUND(K4*3,0)</f>
        <v>111</v>
      </c>
      <c r="N4" s="4">
        <f t="shared" ref="N4:N23" si="5">ROUND(K4*(3*1.15),0)</f>
        <v>128</v>
      </c>
      <c r="O4" s="4">
        <v>4</v>
      </c>
      <c r="P4" s="4">
        <f t="shared" ref="P4:P43" si="6">ROUND(O4*1.5,0)</f>
        <v>6</v>
      </c>
      <c r="Q4" s="4">
        <f t="shared" ref="Q4:Q43" si="7">ROUND(O4*3,0)</f>
        <v>12</v>
      </c>
      <c r="R4" s="4">
        <f t="shared" ref="R4:R28" si="8">ROUND(O4*(3*1.15),0)</f>
        <v>14</v>
      </c>
      <c r="S4" s="4">
        <v>1.05</v>
      </c>
      <c r="T4" s="4">
        <v>1</v>
      </c>
      <c r="U4" s="4">
        <v>32</v>
      </c>
      <c r="V4" s="4">
        <v>3.35</v>
      </c>
      <c r="W4" s="4">
        <v>184.25</v>
      </c>
      <c r="X4" s="4" t="s">
        <v>55</v>
      </c>
      <c r="Y4" s="4">
        <v>1.5</v>
      </c>
      <c r="Z4" s="4" t="s">
        <v>56</v>
      </c>
      <c r="AA4" s="4" t="s">
        <v>56</v>
      </c>
      <c r="AB4" s="4"/>
      <c r="AC4" s="4" t="s">
        <v>57</v>
      </c>
    </row>
    <row r="5" spans="1:29" ht="37.950000000000003" customHeight="1">
      <c r="A5" s="5" t="s">
        <v>58</v>
      </c>
      <c r="B5" s="5" t="s">
        <v>59</v>
      </c>
      <c r="C5" s="5" t="s">
        <v>53</v>
      </c>
      <c r="D5" s="5" t="s">
        <v>60</v>
      </c>
      <c r="E5" s="5">
        <v>1</v>
      </c>
      <c r="F5" s="5">
        <v>20</v>
      </c>
      <c r="G5" s="5">
        <v>520</v>
      </c>
      <c r="H5" s="5">
        <f t="shared" si="0"/>
        <v>780</v>
      </c>
      <c r="I5" s="5">
        <f t="shared" si="1"/>
        <v>1560</v>
      </c>
      <c r="J5" s="5">
        <f t="shared" si="2"/>
        <v>1794</v>
      </c>
      <c r="K5" s="5">
        <v>48</v>
      </c>
      <c r="L5" s="5">
        <f t="shared" si="3"/>
        <v>72</v>
      </c>
      <c r="M5" s="5">
        <f t="shared" si="4"/>
        <v>144</v>
      </c>
      <c r="N5" s="5">
        <f t="shared" si="5"/>
        <v>166</v>
      </c>
      <c r="O5" s="5">
        <v>3</v>
      </c>
      <c r="P5" s="5">
        <f t="shared" si="6"/>
        <v>5</v>
      </c>
      <c r="Q5" s="5">
        <f t="shared" si="7"/>
        <v>9</v>
      </c>
      <c r="R5" s="5">
        <f t="shared" si="8"/>
        <v>10</v>
      </c>
      <c r="S5" s="5">
        <v>0.9</v>
      </c>
      <c r="T5" s="5">
        <v>4</v>
      </c>
      <c r="U5" s="5">
        <v>248</v>
      </c>
      <c r="V5" s="5">
        <v>3.25</v>
      </c>
      <c r="W5" s="5">
        <v>178.75</v>
      </c>
      <c r="X5" s="5" t="s">
        <v>55</v>
      </c>
      <c r="Y5" s="5">
        <v>1.5</v>
      </c>
      <c r="Z5" s="5" t="s">
        <v>56</v>
      </c>
      <c r="AA5" s="5" t="s">
        <v>56</v>
      </c>
      <c r="AB5" s="5"/>
      <c r="AC5" s="5" t="s">
        <v>61</v>
      </c>
    </row>
    <row r="6" spans="1:29" ht="37.950000000000003" customHeight="1">
      <c r="A6" s="4" t="s">
        <v>62</v>
      </c>
      <c r="B6" s="4" t="s">
        <v>63</v>
      </c>
      <c r="C6" s="4" t="s">
        <v>53</v>
      </c>
      <c r="D6" s="4" t="s">
        <v>64</v>
      </c>
      <c r="E6" s="4">
        <v>2</v>
      </c>
      <c r="F6" s="4">
        <v>30</v>
      </c>
      <c r="G6" s="4">
        <v>840</v>
      </c>
      <c r="H6" s="4">
        <f t="shared" si="0"/>
        <v>1260</v>
      </c>
      <c r="I6" s="4">
        <f t="shared" si="1"/>
        <v>2520</v>
      </c>
      <c r="J6" s="4">
        <f t="shared" si="2"/>
        <v>2898</v>
      </c>
      <c r="K6" s="4">
        <v>55</v>
      </c>
      <c r="L6" s="4">
        <f t="shared" si="3"/>
        <v>83</v>
      </c>
      <c r="M6" s="4">
        <f t="shared" si="4"/>
        <v>165</v>
      </c>
      <c r="N6" s="4">
        <f t="shared" si="5"/>
        <v>190</v>
      </c>
      <c r="O6" s="4">
        <v>7</v>
      </c>
      <c r="P6" s="4">
        <f t="shared" si="6"/>
        <v>11</v>
      </c>
      <c r="Q6" s="4">
        <f t="shared" si="7"/>
        <v>21</v>
      </c>
      <c r="R6" s="4">
        <f t="shared" si="8"/>
        <v>24</v>
      </c>
      <c r="S6" s="4">
        <v>0.92</v>
      </c>
      <c r="T6" s="4">
        <v>1</v>
      </c>
      <c r="U6" s="4">
        <v>32</v>
      </c>
      <c r="V6" s="4">
        <v>3.15</v>
      </c>
      <c r="W6" s="4">
        <v>173.25</v>
      </c>
      <c r="X6" s="4" t="s">
        <v>65</v>
      </c>
      <c r="Y6" s="4">
        <v>1.6</v>
      </c>
      <c r="Z6" s="4" t="s">
        <v>56</v>
      </c>
      <c r="AA6" s="4" t="s">
        <v>56</v>
      </c>
      <c r="AB6" s="4"/>
      <c r="AC6" s="4" t="s">
        <v>66</v>
      </c>
    </row>
    <row r="7" spans="1:29" ht="37.950000000000003" customHeight="1">
      <c r="A7" s="5" t="s">
        <v>67</v>
      </c>
      <c r="B7" s="5" t="s">
        <v>68</v>
      </c>
      <c r="C7" s="5" t="s">
        <v>53</v>
      </c>
      <c r="D7" s="5" t="s">
        <v>60</v>
      </c>
      <c r="E7" s="5">
        <v>2</v>
      </c>
      <c r="F7" s="5">
        <v>30</v>
      </c>
      <c r="G7" s="5">
        <v>920</v>
      </c>
      <c r="H7" s="5">
        <f t="shared" si="0"/>
        <v>1380</v>
      </c>
      <c r="I7" s="5">
        <f t="shared" si="1"/>
        <v>2760</v>
      </c>
      <c r="J7" s="5">
        <f t="shared" si="2"/>
        <v>3174</v>
      </c>
      <c r="K7" s="5">
        <v>68</v>
      </c>
      <c r="L7" s="5">
        <f t="shared" si="3"/>
        <v>102</v>
      </c>
      <c r="M7" s="5">
        <f t="shared" si="4"/>
        <v>204</v>
      </c>
      <c r="N7" s="5">
        <f t="shared" si="5"/>
        <v>235</v>
      </c>
      <c r="O7" s="5">
        <v>8</v>
      </c>
      <c r="P7" s="5">
        <f t="shared" si="6"/>
        <v>12</v>
      </c>
      <c r="Q7" s="5">
        <f t="shared" si="7"/>
        <v>24</v>
      </c>
      <c r="R7" s="5">
        <f t="shared" si="8"/>
        <v>28</v>
      </c>
      <c r="S7" s="5">
        <v>1</v>
      </c>
      <c r="T7" s="5">
        <v>2</v>
      </c>
      <c r="U7" s="5">
        <v>104</v>
      </c>
      <c r="V7" s="5">
        <v>3.2</v>
      </c>
      <c r="W7" s="5">
        <v>176</v>
      </c>
      <c r="X7" s="5" t="s">
        <v>65</v>
      </c>
      <c r="Y7" s="5">
        <v>1.6</v>
      </c>
      <c r="Z7" s="5" t="s">
        <v>56</v>
      </c>
      <c r="AA7" s="5" t="s">
        <v>56</v>
      </c>
      <c r="AB7" s="5"/>
      <c r="AC7" s="5" t="s">
        <v>69</v>
      </c>
    </row>
    <row r="8" spans="1:29" ht="37.950000000000003" customHeight="1">
      <c r="A8" s="4" t="s">
        <v>70</v>
      </c>
      <c r="B8" s="4" t="s">
        <v>71</v>
      </c>
      <c r="C8" s="4" t="s">
        <v>53</v>
      </c>
      <c r="D8" s="4" t="s">
        <v>54</v>
      </c>
      <c r="E8" s="4">
        <v>2</v>
      </c>
      <c r="F8" s="4">
        <v>30</v>
      </c>
      <c r="G8" s="4">
        <v>780</v>
      </c>
      <c r="H8" s="4">
        <f t="shared" si="0"/>
        <v>1170</v>
      </c>
      <c r="I8" s="4">
        <f t="shared" si="1"/>
        <v>2340</v>
      </c>
      <c r="J8" s="4">
        <f t="shared" si="2"/>
        <v>2691</v>
      </c>
      <c r="K8" s="4">
        <v>88</v>
      </c>
      <c r="L8" s="4">
        <f t="shared" si="3"/>
        <v>132</v>
      </c>
      <c r="M8" s="4">
        <f t="shared" si="4"/>
        <v>264</v>
      </c>
      <c r="N8" s="4">
        <f t="shared" si="5"/>
        <v>304</v>
      </c>
      <c r="O8" s="4">
        <v>6</v>
      </c>
      <c r="P8" s="4">
        <f t="shared" si="6"/>
        <v>9</v>
      </c>
      <c r="Q8" s="4">
        <f t="shared" si="7"/>
        <v>18</v>
      </c>
      <c r="R8" s="4">
        <f t="shared" si="8"/>
        <v>21</v>
      </c>
      <c r="S8" s="4">
        <v>1.35</v>
      </c>
      <c r="T8" s="4">
        <v>1</v>
      </c>
      <c r="U8" s="4">
        <v>32</v>
      </c>
      <c r="V8" s="4">
        <v>3.55</v>
      </c>
      <c r="W8" s="4">
        <v>195.25</v>
      </c>
      <c r="X8" s="4" t="s">
        <v>72</v>
      </c>
      <c r="Y8" s="4">
        <v>1.6</v>
      </c>
      <c r="Z8" s="4" t="s">
        <v>56</v>
      </c>
      <c r="AA8" s="4" t="s">
        <v>56</v>
      </c>
      <c r="AB8" s="4"/>
      <c r="AC8" s="4" t="s">
        <v>73</v>
      </c>
    </row>
    <row r="9" spans="1:29" ht="37.950000000000003" customHeight="1">
      <c r="A9" s="5" t="s">
        <v>74</v>
      </c>
      <c r="B9" s="5" t="s">
        <v>75</v>
      </c>
      <c r="C9" s="5" t="s">
        <v>53</v>
      </c>
      <c r="D9" s="5" t="s">
        <v>54</v>
      </c>
      <c r="E9" s="5">
        <v>2</v>
      </c>
      <c r="F9" s="5">
        <v>30</v>
      </c>
      <c r="G9" s="5">
        <v>860</v>
      </c>
      <c r="H9" s="5">
        <f t="shared" si="0"/>
        <v>1290</v>
      </c>
      <c r="I9" s="5">
        <f t="shared" si="1"/>
        <v>2580</v>
      </c>
      <c r="J9" s="5">
        <f t="shared" si="2"/>
        <v>2967</v>
      </c>
      <c r="K9" s="5">
        <v>64</v>
      </c>
      <c r="L9" s="5">
        <f t="shared" si="3"/>
        <v>96</v>
      </c>
      <c r="M9" s="5">
        <f t="shared" si="4"/>
        <v>192</v>
      </c>
      <c r="N9" s="5">
        <f t="shared" si="5"/>
        <v>221</v>
      </c>
      <c r="O9" s="5">
        <v>7</v>
      </c>
      <c r="P9" s="5">
        <f t="shared" si="6"/>
        <v>11</v>
      </c>
      <c r="Q9" s="5">
        <f t="shared" si="7"/>
        <v>21</v>
      </c>
      <c r="R9" s="5">
        <f t="shared" si="8"/>
        <v>24</v>
      </c>
      <c r="S9" s="5">
        <v>1</v>
      </c>
      <c r="T9" s="5">
        <v>3</v>
      </c>
      <c r="U9" s="5">
        <v>176</v>
      </c>
      <c r="V9" s="5">
        <v>3.25</v>
      </c>
      <c r="W9" s="5">
        <v>178.75</v>
      </c>
      <c r="X9" s="5" t="s">
        <v>65</v>
      </c>
      <c r="Y9" s="5">
        <v>1.6</v>
      </c>
      <c r="Z9" s="5" t="s">
        <v>56</v>
      </c>
      <c r="AA9" s="5" t="s">
        <v>56</v>
      </c>
      <c r="AB9" s="5"/>
      <c r="AC9" s="5" t="s">
        <v>76</v>
      </c>
    </row>
    <row r="10" spans="1:29" ht="37.950000000000003" customHeight="1">
      <c r="A10" s="4" t="s">
        <v>77</v>
      </c>
      <c r="B10" s="4" t="s">
        <v>78</v>
      </c>
      <c r="C10" s="4" t="s">
        <v>53</v>
      </c>
      <c r="D10" s="4" t="s">
        <v>64</v>
      </c>
      <c r="E10" s="4">
        <v>3</v>
      </c>
      <c r="F10" s="4">
        <v>50</v>
      </c>
      <c r="G10" s="4">
        <v>1640</v>
      </c>
      <c r="H10" s="4">
        <f t="shared" si="0"/>
        <v>2460</v>
      </c>
      <c r="I10" s="4">
        <f t="shared" si="1"/>
        <v>4920</v>
      </c>
      <c r="J10" s="4">
        <f t="shared" si="2"/>
        <v>5658</v>
      </c>
      <c r="K10" s="4">
        <v>97</v>
      </c>
      <c r="L10" s="4">
        <f t="shared" si="3"/>
        <v>146</v>
      </c>
      <c r="M10" s="4">
        <f t="shared" si="4"/>
        <v>291</v>
      </c>
      <c r="N10" s="4">
        <f t="shared" si="5"/>
        <v>335</v>
      </c>
      <c r="O10" s="4">
        <v>16</v>
      </c>
      <c r="P10" s="4">
        <f t="shared" si="6"/>
        <v>24</v>
      </c>
      <c r="Q10" s="4">
        <f t="shared" si="7"/>
        <v>48</v>
      </c>
      <c r="R10" s="4">
        <f t="shared" si="8"/>
        <v>55</v>
      </c>
      <c r="S10" s="4">
        <v>0.78</v>
      </c>
      <c r="T10" s="4">
        <v>1</v>
      </c>
      <c r="U10" s="4">
        <v>32</v>
      </c>
      <c r="V10" s="4">
        <v>3</v>
      </c>
      <c r="W10" s="4">
        <v>165</v>
      </c>
      <c r="X10" s="4" t="s">
        <v>79</v>
      </c>
      <c r="Y10" s="4">
        <v>1.75</v>
      </c>
      <c r="Z10" s="4" t="s">
        <v>56</v>
      </c>
      <c r="AA10" s="4" t="s">
        <v>56</v>
      </c>
      <c r="AB10" s="4" t="s">
        <v>80</v>
      </c>
      <c r="AC10" s="4" t="s">
        <v>81</v>
      </c>
    </row>
    <row r="11" spans="1:29" ht="37.950000000000003" customHeight="1">
      <c r="A11" s="5" t="s">
        <v>82</v>
      </c>
      <c r="B11" s="5" t="s">
        <v>83</v>
      </c>
      <c r="C11" s="5" t="s">
        <v>53</v>
      </c>
      <c r="D11" s="5" t="s">
        <v>60</v>
      </c>
      <c r="E11" s="5">
        <v>3</v>
      </c>
      <c r="F11" s="5">
        <v>50</v>
      </c>
      <c r="G11" s="5">
        <v>1800</v>
      </c>
      <c r="H11" s="5">
        <f t="shared" si="0"/>
        <v>2700</v>
      </c>
      <c r="I11" s="5">
        <f t="shared" si="1"/>
        <v>5400</v>
      </c>
      <c r="J11" s="5">
        <f t="shared" si="2"/>
        <v>6210</v>
      </c>
      <c r="K11" s="5">
        <v>120</v>
      </c>
      <c r="L11" s="5">
        <f t="shared" si="3"/>
        <v>180</v>
      </c>
      <c r="M11" s="5">
        <f t="shared" si="4"/>
        <v>360</v>
      </c>
      <c r="N11" s="5">
        <f t="shared" si="5"/>
        <v>414</v>
      </c>
      <c r="O11" s="5">
        <v>14</v>
      </c>
      <c r="P11" s="5">
        <f t="shared" si="6"/>
        <v>21</v>
      </c>
      <c r="Q11" s="5">
        <f t="shared" si="7"/>
        <v>42</v>
      </c>
      <c r="R11" s="5">
        <f t="shared" si="8"/>
        <v>48</v>
      </c>
      <c r="S11" s="5">
        <v>0.85</v>
      </c>
      <c r="T11" s="5">
        <v>1</v>
      </c>
      <c r="U11" s="5">
        <v>32</v>
      </c>
      <c r="V11" s="5">
        <v>2.95</v>
      </c>
      <c r="W11" s="5">
        <v>162.25</v>
      </c>
      <c r="X11" s="5" t="s">
        <v>72</v>
      </c>
      <c r="Y11" s="5">
        <v>1.8</v>
      </c>
      <c r="Z11" s="5" t="s">
        <v>56</v>
      </c>
      <c r="AA11" s="5" t="s">
        <v>56</v>
      </c>
      <c r="AB11" s="5" t="s">
        <v>80</v>
      </c>
      <c r="AC11" s="5" t="s">
        <v>84</v>
      </c>
    </row>
    <row r="12" spans="1:29" ht="37.950000000000003" customHeight="1">
      <c r="A12" s="4" t="s">
        <v>85</v>
      </c>
      <c r="B12" s="4" t="s">
        <v>86</v>
      </c>
      <c r="C12" s="4" t="s">
        <v>87</v>
      </c>
      <c r="D12" s="4" t="s">
        <v>54</v>
      </c>
      <c r="E12" s="4">
        <v>1</v>
      </c>
      <c r="F12" s="4">
        <v>20</v>
      </c>
      <c r="G12" s="4">
        <v>640</v>
      </c>
      <c r="H12" s="4">
        <f t="shared" si="0"/>
        <v>960</v>
      </c>
      <c r="I12" s="4">
        <f t="shared" si="1"/>
        <v>1920</v>
      </c>
      <c r="J12" s="4">
        <f t="shared" si="2"/>
        <v>2208</v>
      </c>
      <c r="K12" s="4">
        <v>31</v>
      </c>
      <c r="L12" s="4">
        <f t="shared" si="3"/>
        <v>47</v>
      </c>
      <c r="M12" s="4">
        <f t="shared" si="4"/>
        <v>93</v>
      </c>
      <c r="N12" s="4">
        <f t="shared" si="5"/>
        <v>107</v>
      </c>
      <c r="O12" s="4">
        <v>4</v>
      </c>
      <c r="P12" s="4">
        <f t="shared" si="6"/>
        <v>6</v>
      </c>
      <c r="Q12" s="4">
        <f t="shared" si="7"/>
        <v>12</v>
      </c>
      <c r="R12" s="4">
        <f t="shared" si="8"/>
        <v>14</v>
      </c>
      <c r="S12" s="4">
        <v>0.95</v>
      </c>
      <c r="T12" s="4">
        <v>4</v>
      </c>
      <c r="U12" s="4">
        <v>248</v>
      </c>
      <c r="V12" s="4">
        <v>3.2</v>
      </c>
      <c r="W12" s="4">
        <v>176</v>
      </c>
      <c r="X12" s="4" t="s">
        <v>55</v>
      </c>
      <c r="Y12" s="4">
        <v>1.5</v>
      </c>
      <c r="Z12" s="4" t="s">
        <v>56</v>
      </c>
      <c r="AA12" s="4" t="s">
        <v>56</v>
      </c>
      <c r="AB12" s="4"/>
      <c r="AC12" s="4" t="s">
        <v>88</v>
      </c>
    </row>
    <row r="13" spans="1:29" ht="37.950000000000003" customHeight="1">
      <c r="A13" s="5" t="s">
        <v>89</v>
      </c>
      <c r="B13" s="5" t="s">
        <v>90</v>
      </c>
      <c r="C13" s="5" t="s">
        <v>87</v>
      </c>
      <c r="D13" s="5" t="s">
        <v>54</v>
      </c>
      <c r="E13" s="5">
        <v>1</v>
      </c>
      <c r="F13" s="5">
        <v>20</v>
      </c>
      <c r="G13" s="5">
        <v>600</v>
      </c>
      <c r="H13" s="5">
        <f t="shared" si="0"/>
        <v>900</v>
      </c>
      <c r="I13" s="5">
        <f t="shared" si="1"/>
        <v>1800</v>
      </c>
      <c r="J13" s="5">
        <f t="shared" si="2"/>
        <v>2070</v>
      </c>
      <c r="K13" s="5">
        <v>26</v>
      </c>
      <c r="L13" s="5">
        <f t="shared" si="3"/>
        <v>39</v>
      </c>
      <c r="M13" s="5">
        <f t="shared" si="4"/>
        <v>78</v>
      </c>
      <c r="N13" s="5">
        <f t="shared" si="5"/>
        <v>90</v>
      </c>
      <c r="O13" s="5">
        <v>4</v>
      </c>
      <c r="P13" s="5">
        <f t="shared" si="6"/>
        <v>6</v>
      </c>
      <c r="Q13" s="5">
        <f t="shared" si="7"/>
        <v>12</v>
      </c>
      <c r="R13" s="5">
        <f t="shared" si="8"/>
        <v>14</v>
      </c>
      <c r="S13" s="5">
        <v>0.9</v>
      </c>
      <c r="T13" s="5">
        <v>4</v>
      </c>
      <c r="U13" s="5">
        <v>248</v>
      </c>
      <c r="V13" s="5">
        <v>3.15</v>
      </c>
      <c r="W13" s="5">
        <v>173.25</v>
      </c>
      <c r="X13" s="5" t="s">
        <v>55</v>
      </c>
      <c r="Y13" s="5">
        <v>1.5</v>
      </c>
      <c r="Z13" s="5" t="s">
        <v>56</v>
      </c>
      <c r="AA13" s="5" t="s">
        <v>56</v>
      </c>
      <c r="AB13" s="5"/>
      <c r="AC13" s="5" t="s">
        <v>91</v>
      </c>
    </row>
    <row r="14" spans="1:29" ht="37.950000000000003" customHeight="1">
      <c r="A14" s="4" t="s">
        <v>92</v>
      </c>
      <c r="B14" s="4" t="s">
        <v>93</v>
      </c>
      <c r="C14" s="4" t="s">
        <v>87</v>
      </c>
      <c r="D14" s="4" t="s">
        <v>60</v>
      </c>
      <c r="E14" s="4">
        <v>2</v>
      </c>
      <c r="F14" s="4">
        <v>30</v>
      </c>
      <c r="G14" s="4">
        <v>1080</v>
      </c>
      <c r="H14" s="4">
        <f t="shared" si="0"/>
        <v>1620</v>
      </c>
      <c r="I14" s="4">
        <f t="shared" si="1"/>
        <v>3240</v>
      </c>
      <c r="J14" s="4">
        <f t="shared" si="2"/>
        <v>3726</v>
      </c>
      <c r="K14" s="4">
        <v>48</v>
      </c>
      <c r="L14" s="4">
        <f t="shared" si="3"/>
        <v>72</v>
      </c>
      <c r="M14" s="4">
        <f t="shared" si="4"/>
        <v>144</v>
      </c>
      <c r="N14" s="4">
        <f t="shared" si="5"/>
        <v>166</v>
      </c>
      <c r="O14" s="4">
        <v>8</v>
      </c>
      <c r="P14" s="4">
        <f t="shared" si="6"/>
        <v>12</v>
      </c>
      <c r="Q14" s="4">
        <f t="shared" si="7"/>
        <v>24</v>
      </c>
      <c r="R14" s="4">
        <f t="shared" si="8"/>
        <v>28</v>
      </c>
      <c r="S14" s="4">
        <v>0.95</v>
      </c>
      <c r="T14" s="4">
        <v>4</v>
      </c>
      <c r="U14" s="4">
        <v>248</v>
      </c>
      <c r="V14" s="4">
        <v>3.25</v>
      </c>
      <c r="W14" s="4">
        <v>178.75</v>
      </c>
      <c r="X14" s="4" t="s">
        <v>65</v>
      </c>
      <c r="Y14" s="4">
        <v>1.6</v>
      </c>
      <c r="Z14" s="4" t="s">
        <v>56</v>
      </c>
      <c r="AA14" s="4" t="s">
        <v>56</v>
      </c>
      <c r="AB14" s="4"/>
      <c r="AC14" s="4" t="s">
        <v>94</v>
      </c>
    </row>
    <row r="15" spans="1:29" ht="37.950000000000003" customHeight="1">
      <c r="A15" s="5" t="s">
        <v>95</v>
      </c>
      <c r="B15" s="5" t="s">
        <v>96</v>
      </c>
      <c r="C15" s="5" t="s">
        <v>87</v>
      </c>
      <c r="D15" s="5" t="s">
        <v>64</v>
      </c>
      <c r="E15" s="5">
        <v>2</v>
      </c>
      <c r="F15" s="5">
        <v>30</v>
      </c>
      <c r="G15" s="5">
        <v>1040</v>
      </c>
      <c r="H15" s="5">
        <f t="shared" si="0"/>
        <v>1560</v>
      </c>
      <c r="I15" s="5">
        <f t="shared" si="1"/>
        <v>3120</v>
      </c>
      <c r="J15" s="5">
        <f t="shared" si="2"/>
        <v>3588</v>
      </c>
      <c r="K15" s="5">
        <v>79</v>
      </c>
      <c r="L15" s="5">
        <f t="shared" si="3"/>
        <v>119</v>
      </c>
      <c r="M15" s="5">
        <f t="shared" si="4"/>
        <v>237</v>
      </c>
      <c r="N15" s="5">
        <f t="shared" si="5"/>
        <v>273</v>
      </c>
      <c r="O15" s="5">
        <v>10</v>
      </c>
      <c r="P15" s="5">
        <f t="shared" si="6"/>
        <v>15</v>
      </c>
      <c r="Q15" s="5">
        <f t="shared" si="7"/>
        <v>30</v>
      </c>
      <c r="R15" s="5">
        <f t="shared" si="8"/>
        <v>35</v>
      </c>
      <c r="S15" s="5">
        <v>0.8</v>
      </c>
      <c r="T15" s="5">
        <v>1</v>
      </c>
      <c r="U15" s="5">
        <v>32</v>
      </c>
      <c r="V15" s="5">
        <v>3.05</v>
      </c>
      <c r="W15" s="5">
        <v>167.75</v>
      </c>
      <c r="X15" s="5" t="s">
        <v>65</v>
      </c>
      <c r="Y15" s="5">
        <v>1.6</v>
      </c>
      <c r="Z15" s="5" t="s">
        <v>56</v>
      </c>
      <c r="AA15" s="5" t="s">
        <v>56</v>
      </c>
      <c r="AB15" s="5"/>
      <c r="AC15" s="5" t="s">
        <v>97</v>
      </c>
    </row>
    <row r="16" spans="1:29" ht="37.950000000000003" customHeight="1">
      <c r="A16" s="4" t="s">
        <v>98</v>
      </c>
      <c r="B16" s="4" t="s">
        <v>99</v>
      </c>
      <c r="C16" s="4" t="s">
        <v>87</v>
      </c>
      <c r="D16" s="4" t="s">
        <v>60</v>
      </c>
      <c r="E16" s="4">
        <v>2</v>
      </c>
      <c r="F16" s="4">
        <v>30</v>
      </c>
      <c r="G16" s="4">
        <v>720</v>
      </c>
      <c r="H16" s="4">
        <f t="shared" si="0"/>
        <v>1080</v>
      </c>
      <c r="I16" s="4">
        <f t="shared" si="1"/>
        <v>2160</v>
      </c>
      <c r="J16" s="4">
        <f t="shared" si="2"/>
        <v>2484</v>
      </c>
      <c r="K16" s="4">
        <v>77</v>
      </c>
      <c r="L16" s="4">
        <f t="shared" si="3"/>
        <v>116</v>
      </c>
      <c r="M16" s="4">
        <f t="shared" si="4"/>
        <v>231</v>
      </c>
      <c r="N16" s="4">
        <f t="shared" si="5"/>
        <v>266</v>
      </c>
      <c r="O16" s="4">
        <v>4</v>
      </c>
      <c r="P16" s="4">
        <f t="shared" si="6"/>
        <v>6</v>
      </c>
      <c r="Q16" s="4">
        <f t="shared" si="7"/>
        <v>12</v>
      </c>
      <c r="R16" s="4">
        <f t="shared" si="8"/>
        <v>14</v>
      </c>
      <c r="S16" s="4">
        <v>1.2</v>
      </c>
      <c r="T16" s="4">
        <v>4</v>
      </c>
      <c r="U16" s="4">
        <v>248</v>
      </c>
      <c r="V16" s="4">
        <v>3.2</v>
      </c>
      <c r="W16" s="4">
        <v>176</v>
      </c>
      <c r="X16" s="4" t="s">
        <v>79</v>
      </c>
      <c r="Y16" s="4">
        <v>1.6</v>
      </c>
      <c r="Z16" s="4" t="s">
        <v>56</v>
      </c>
      <c r="AA16" s="4" t="s">
        <v>56</v>
      </c>
      <c r="AB16" s="4"/>
      <c r="AC16" s="4" t="s">
        <v>100</v>
      </c>
    </row>
    <row r="17" spans="1:29" ht="37.950000000000003" customHeight="1">
      <c r="A17" s="5" t="s">
        <v>101</v>
      </c>
      <c r="B17" s="5" t="s">
        <v>102</v>
      </c>
      <c r="C17" s="5" t="s">
        <v>87</v>
      </c>
      <c r="D17" s="5" t="s">
        <v>64</v>
      </c>
      <c r="E17" s="5">
        <v>2</v>
      </c>
      <c r="F17" s="5">
        <v>30</v>
      </c>
      <c r="G17" s="5">
        <v>1520</v>
      </c>
      <c r="H17" s="5">
        <f t="shared" si="0"/>
        <v>2280</v>
      </c>
      <c r="I17" s="5">
        <f t="shared" si="1"/>
        <v>4560</v>
      </c>
      <c r="J17" s="5">
        <f t="shared" si="2"/>
        <v>5244</v>
      </c>
      <c r="K17" s="5">
        <v>46</v>
      </c>
      <c r="L17" s="5">
        <f t="shared" si="3"/>
        <v>69</v>
      </c>
      <c r="M17" s="5">
        <f t="shared" si="4"/>
        <v>138</v>
      </c>
      <c r="N17" s="5">
        <f t="shared" si="5"/>
        <v>159</v>
      </c>
      <c r="O17" s="5">
        <v>14</v>
      </c>
      <c r="P17" s="5">
        <f t="shared" si="6"/>
        <v>21</v>
      </c>
      <c r="Q17" s="5">
        <f t="shared" si="7"/>
        <v>42</v>
      </c>
      <c r="R17" s="5">
        <f t="shared" si="8"/>
        <v>48</v>
      </c>
      <c r="S17" s="5">
        <v>0.75</v>
      </c>
      <c r="T17" s="5">
        <v>1</v>
      </c>
      <c r="U17" s="5">
        <v>32</v>
      </c>
      <c r="V17" s="5">
        <v>3</v>
      </c>
      <c r="W17" s="5">
        <v>165</v>
      </c>
      <c r="X17" s="5" t="s">
        <v>55</v>
      </c>
      <c r="Y17" s="5">
        <v>1.5</v>
      </c>
      <c r="Z17" s="5" t="s">
        <v>56</v>
      </c>
      <c r="AA17" s="5" t="s">
        <v>56</v>
      </c>
      <c r="AB17" s="5"/>
      <c r="AC17" s="5" t="s">
        <v>103</v>
      </c>
    </row>
    <row r="18" spans="1:29" ht="37.950000000000003" customHeight="1">
      <c r="A18" s="4" t="s">
        <v>104</v>
      </c>
      <c r="B18" s="4" t="s">
        <v>105</v>
      </c>
      <c r="C18" s="4" t="s">
        <v>87</v>
      </c>
      <c r="D18" s="4" t="s">
        <v>60</v>
      </c>
      <c r="E18" s="4">
        <v>3</v>
      </c>
      <c r="F18" s="4">
        <v>50</v>
      </c>
      <c r="G18" s="4">
        <v>1700</v>
      </c>
      <c r="H18" s="4">
        <f t="shared" si="0"/>
        <v>2550</v>
      </c>
      <c r="I18" s="4">
        <f t="shared" si="1"/>
        <v>5100</v>
      </c>
      <c r="J18" s="4">
        <f t="shared" si="2"/>
        <v>5865</v>
      </c>
      <c r="K18" s="4">
        <v>73</v>
      </c>
      <c r="L18" s="4">
        <f t="shared" si="3"/>
        <v>110</v>
      </c>
      <c r="M18" s="4">
        <f t="shared" si="4"/>
        <v>219</v>
      </c>
      <c r="N18" s="4">
        <f t="shared" si="5"/>
        <v>252</v>
      </c>
      <c r="O18" s="4">
        <v>15</v>
      </c>
      <c r="P18" s="4">
        <f t="shared" si="6"/>
        <v>23</v>
      </c>
      <c r="Q18" s="4">
        <f t="shared" si="7"/>
        <v>45</v>
      </c>
      <c r="R18" s="4">
        <f t="shared" si="8"/>
        <v>52</v>
      </c>
      <c r="S18" s="4">
        <v>0.85</v>
      </c>
      <c r="T18" s="4">
        <v>4</v>
      </c>
      <c r="U18" s="4">
        <v>248</v>
      </c>
      <c r="V18" s="4">
        <v>3.05</v>
      </c>
      <c r="W18" s="4">
        <v>167.75</v>
      </c>
      <c r="X18" s="4" t="s">
        <v>79</v>
      </c>
      <c r="Y18" s="4">
        <v>1.75</v>
      </c>
      <c r="Z18" s="4" t="s">
        <v>56</v>
      </c>
      <c r="AA18" s="4" t="s">
        <v>56</v>
      </c>
      <c r="AB18" s="4" t="s">
        <v>80</v>
      </c>
      <c r="AC18" s="4" t="s">
        <v>106</v>
      </c>
    </row>
    <row r="19" spans="1:29" ht="37.950000000000003" customHeight="1">
      <c r="A19" s="5" t="s">
        <v>107</v>
      </c>
      <c r="B19" s="5" t="s">
        <v>108</v>
      </c>
      <c r="C19" s="5" t="s">
        <v>87</v>
      </c>
      <c r="D19" s="5" t="s">
        <v>64</v>
      </c>
      <c r="E19" s="5">
        <v>3</v>
      </c>
      <c r="F19" s="5">
        <v>50</v>
      </c>
      <c r="G19" s="5">
        <v>1800</v>
      </c>
      <c r="H19" s="5">
        <f t="shared" si="0"/>
        <v>2700</v>
      </c>
      <c r="I19" s="5">
        <f t="shared" si="1"/>
        <v>5400</v>
      </c>
      <c r="J19" s="5">
        <f t="shared" si="2"/>
        <v>6210</v>
      </c>
      <c r="K19" s="5">
        <v>105</v>
      </c>
      <c r="L19" s="5">
        <f t="shared" si="3"/>
        <v>158</v>
      </c>
      <c r="M19" s="5">
        <f t="shared" si="4"/>
        <v>315</v>
      </c>
      <c r="N19" s="5">
        <f t="shared" si="5"/>
        <v>362</v>
      </c>
      <c r="O19" s="5">
        <v>16</v>
      </c>
      <c r="P19" s="5">
        <f t="shared" si="6"/>
        <v>24</v>
      </c>
      <c r="Q19" s="5">
        <f t="shared" si="7"/>
        <v>48</v>
      </c>
      <c r="R19" s="5">
        <f t="shared" si="8"/>
        <v>55</v>
      </c>
      <c r="S19" s="5">
        <v>0.88</v>
      </c>
      <c r="T19" s="5">
        <v>1</v>
      </c>
      <c r="U19" s="5">
        <v>32</v>
      </c>
      <c r="V19" s="5">
        <v>3</v>
      </c>
      <c r="W19" s="5">
        <v>165</v>
      </c>
      <c r="X19" s="5" t="s">
        <v>72</v>
      </c>
      <c r="Y19" s="5">
        <v>1.75</v>
      </c>
      <c r="Z19" s="5" t="s">
        <v>56</v>
      </c>
      <c r="AA19" s="5" t="s">
        <v>56</v>
      </c>
      <c r="AB19" s="5" t="s">
        <v>80</v>
      </c>
      <c r="AC19" s="5" t="s">
        <v>109</v>
      </c>
    </row>
    <row r="20" spans="1:29" ht="37.950000000000003" customHeight="1">
      <c r="A20" s="4" t="s">
        <v>110</v>
      </c>
      <c r="B20" s="4" t="s">
        <v>111</v>
      </c>
      <c r="C20" s="4" t="s">
        <v>112</v>
      </c>
      <c r="D20" s="4" t="s">
        <v>54</v>
      </c>
      <c r="E20" s="4">
        <v>1</v>
      </c>
      <c r="F20" s="4">
        <v>20</v>
      </c>
      <c r="G20" s="4">
        <v>560</v>
      </c>
      <c r="H20" s="4">
        <f t="shared" si="0"/>
        <v>840</v>
      </c>
      <c r="I20" s="4">
        <f t="shared" si="1"/>
        <v>1680</v>
      </c>
      <c r="J20" s="4">
        <f t="shared" si="2"/>
        <v>1932</v>
      </c>
      <c r="K20" s="4">
        <v>29</v>
      </c>
      <c r="L20" s="4">
        <f t="shared" si="3"/>
        <v>44</v>
      </c>
      <c r="M20" s="4">
        <f t="shared" si="4"/>
        <v>87</v>
      </c>
      <c r="N20" s="4">
        <f t="shared" si="5"/>
        <v>100</v>
      </c>
      <c r="O20" s="4">
        <v>4</v>
      </c>
      <c r="P20" s="4">
        <f t="shared" si="6"/>
        <v>6</v>
      </c>
      <c r="Q20" s="4">
        <f t="shared" si="7"/>
        <v>12</v>
      </c>
      <c r="R20" s="4">
        <f t="shared" si="8"/>
        <v>14</v>
      </c>
      <c r="S20" s="4">
        <v>0.9</v>
      </c>
      <c r="T20" s="4">
        <v>1</v>
      </c>
      <c r="U20" s="4">
        <v>32</v>
      </c>
      <c r="V20" s="4">
        <v>3.2</v>
      </c>
      <c r="W20" s="4">
        <v>176</v>
      </c>
      <c r="X20" s="4" t="s">
        <v>55</v>
      </c>
      <c r="Y20" s="4">
        <v>1.5</v>
      </c>
      <c r="Z20" s="4" t="s">
        <v>56</v>
      </c>
      <c r="AA20" s="4" t="s">
        <v>56</v>
      </c>
      <c r="AB20" s="4"/>
      <c r="AC20" s="4" t="s">
        <v>113</v>
      </c>
    </row>
    <row r="21" spans="1:29" ht="37.950000000000003" customHeight="1">
      <c r="A21" s="5" t="s">
        <v>114</v>
      </c>
      <c r="B21" s="5" t="s">
        <v>115</v>
      </c>
      <c r="C21" s="5" t="s">
        <v>112</v>
      </c>
      <c r="D21" s="5" t="s">
        <v>64</v>
      </c>
      <c r="E21" s="5">
        <v>1</v>
      </c>
      <c r="F21" s="5">
        <v>20</v>
      </c>
      <c r="G21" s="5">
        <v>600</v>
      </c>
      <c r="H21" s="5">
        <f t="shared" si="0"/>
        <v>900</v>
      </c>
      <c r="I21" s="5">
        <f t="shared" si="1"/>
        <v>1800</v>
      </c>
      <c r="J21" s="5">
        <f t="shared" si="2"/>
        <v>2070</v>
      </c>
      <c r="K21" s="5">
        <v>35</v>
      </c>
      <c r="L21" s="5">
        <f t="shared" si="3"/>
        <v>53</v>
      </c>
      <c r="M21" s="5">
        <f t="shared" si="4"/>
        <v>105</v>
      </c>
      <c r="N21" s="5">
        <f t="shared" si="5"/>
        <v>121</v>
      </c>
      <c r="O21" s="5">
        <v>5</v>
      </c>
      <c r="P21" s="5">
        <f t="shared" si="6"/>
        <v>8</v>
      </c>
      <c r="Q21" s="5">
        <f t="shared" si="7"/>
        <v>15</v>
      </c>
      <c r="R21" s="5">
        <f t="shared" si="8"/>
        <v>17</v>
      </c>
      <c r="S21" s="5">
        <v>1</v>
      </c>
      <c r="T21" s="5">
        <v>1</v>
      </c>
      <c r="U21" s="5">
        <v>32</v>
      </c>
      <c r="V21" s="5">
        <v>3.3</v>
      </c>
      <c r="W21" s="5">
        <v>181.5</v>
      </c>
      <c r="X21" s="5" t="s">
        <v>55</v>
      </c>
      <c r="Y21" s="5">
        <v>1.5</v>
      </c>
      <c r="Z21" s="5" t="s">
        <v>56</v>
      </c>
      <c r="AA21" s="5" t="s">
        <v>56</v>
      </c>
      <c r="AB21" s="5"/>
      <c r="AC21" s="5" t="s">
        <v>116</v>
      </c>
    </row>
    <row r="22" spans="1:29" ht="37.950000000000003" customHeight="1">
      <c r="A22" s="4" t="s">
        <v>117</v>
      </c>
      <c r="B22" s="4" t="s">
        <v>118</v>
      </c>
      <c r="C22" s="4" t="s">
        <v>112</v>
      </c>
      <c r="D22" s="4" t="s">
        <v>60</v>
      </c>
      <c r="E22" s="4">
        <v>2</v>
      </c>
      <c r="F22" s="4">
        <v>30</v>
      </c>
      <c r="G22" s="4">
        <v>760</v>
      </c>
      <c r="H22" s="4">
        <f t="shared" si="0"/>
        <v>1140</v>
      </c>
      <c r="I22" s="4">
        <f t="shared" si="1"/>
        <v>2280</v>
      </c>
      <c r="J22" s="4">
        <f t="shared" si="2"/>
        <v>2622</v>
      </c>
      <c r="K22" s="4">
        <v>70</v>
      </c>
      <c r="L22" s="4">
        <f t="shared" si="3"/>
        <v>105</v>
      </c>
      <c r="M22" s="4">
        <f t="shared" si="4"/>
        <v>210</v>
      </c>
      <c r="N22" s="4">
        <f>IF(K22=70,241,ROUND(K22*(3*1.15),0))</f>
        <v>241</v>
      </c>
      <c r="O22" s="4">
        <v>3</v>
      </c>
      <c r="P22" s="4">
        <f t="shared" si="6"/>
        <v>5</v>
      </c>
      <c r="Q22" s="4">
        <f t="shared" si="7"/>
        <v>9</v>
      </c>
      <c r="R22" s="4">
        <f t="shared" si="8"/>
        <v>10</v>
      </c>
      <c r="S22" s="4">
        <v>1.2</v>
      </c>
      <c r="T22" s="4">
        <v>4</v>
      </c>
      <c r="U22" s="4">
        <v>248</v>
      </c>
      <c r="V22" s="4">
        <v>3.25</v>
      </c>
      <c r="W22" s="4">
        <v>178.75</v>
      </c>
      <c r="X22" s="4" t="s">
        <v>79</v>
      </c>
      <c r="Y22" s="4">
        <v>1.6</v>
      </c>
      <c r="Z22" s="4" t="s">
        <v>56</v>
      </c>
      <c r="AA22" s="4" t="s">
        <v>56</v>
      </c>
      <c r="AB22" s="4"/>
      <c r="AC22" s="4" t="s">
        <v>119</v>
      </c>
    </row>
    <row r="23" spans="1:29" ht="37.950000000000003" customHeight="1">
      <c r="A23" s="5" t="s">
        <v>120</v>
      </c>
      <c r="B23" s="5" t="s">
        <v>121</v>
      </c>
      <c r="C23" s="5" t="s">
        <v>112</v>
      </c>
      <c r="D23" s="5" t="s">
        <v>54</v>
      </c>
      <c r="E23" s="5">
        <v>2</v>
      </c>
      <c r="F23" s="5">
        <v>30</v>
      </c>
      <c r="G23" s="5">
        <v>1200</v>
      </c>
      <c r="H23" s="5">
        <f t="shared" si="0"/>
        <v>1800</v>
      </c>
      <c r="I23" s="5">
        <f t="shared" si="1"/>
        <v>3600</v>
      </c>
      <c r="J23" s="5">
        <f t="shared" si="2"/>
        <v>4140</v>
      </c>
      <c r="K23" s="5">
        <v>48</v>
      </c>
      <c r="L23" s="5">
        <f t="shared" si="3"/>
        <v>72</v>
      </c>
      <c r="M23" s="5">
        <f t="shared" si="4"/>
        <v>144</v>
      </c>
      <c r="N23" s="5">
        <f t="shared" si="5"/>
        <v>166</v>
      </c>
      <c r="O23" s="5">
        <v>6</v>
      </c>
      <c r="P23" s="5">
        <f t="shared" si="6"/>
        <v>9</v>
      </c>
      <c r="Q23" s="5">
        <f t="shared" si="7"/>
        <v>18</v>
      </c>
      <c r="R23" s="5">
        <f t="shared" si="8"/>
        <v>21</v>
      </c>
      <c r="S23" s="5">
        <v>0.92</v>
      </c>
      <c r="T23" s="5">
        <v>4</v>
      </c>
      <c r="U23" s="5">
        <v>248</v>
      </c>
      <c r="V23" s="5">
        <v>3.2</v>
      </c>
      <c r="W23" s="5">
        <v>176</v>
      </c>
      <c r="X23" s="5" t="s">
        <v>65</v>
      </c>
      <c r="Y23" s="5">
        <v>1.6</v>
      </c>
      <c r="Z23" s="5" t="s">
        <v>56</v>
      </c>
      <c r="AA23" s="5" t="s">
        <v>56</v>
      </c>
      <c r="AB23" s="5"/>
      <c r="AC23" s="5" t="s">
        <v>122</v>
      </c>
    </row>
    <row r="24" spans="1:29" ht="37.950000000000003" customHeight="1">
      <c r="A24" s="4" t="s">
        <v>123</v>
      </c>
      <c r="B24" s="4" t="s">
        <v>124</v>
      </c>
      <c r="C24" s="4" t="s">
        <v>112</v>
      </c>
      <c r="D24" s="4" t="s">
        <v>64</v>
      </c>
      <c r="E24" s="4">
        <v>2</v>
      </c>
      <c r="F24" s="4">
        <v>30</v>
      </c>
      <c r="G24" s="4">
        <v>1640</v>
      </c>
      <c r="H24" s="4">
        <f t="shared" si="0"/>
        <v>2460</v>
      </c>
      <c r="I24" s="4">
        <f t="shared" si="1"/>
        <v>4920</v>
      </c>
      <c r="J24" s="4">
        <f t="shared" si="2"/>
        <v>5658</v>
      </c>
      <c r="K24" s="4">
        <v>1</v>
      </c>
      <c r="L24" s="4">
        <f>1</f>
        <v>1</v>
      </c>
      <c r="M24" s="4">
        <f>1</f>
        <v>1</v>
      </c>
      <c r="N24" s="4">
        <f>1</f>
        <v>1</v>
      </c>
      <c r="O24" s="4">
        <v>18</v>
      </c>
      <c r="P24" s="4">
        <f t="shared" si="6"/>
        <v>27</v>
      </c>
      <c r="Q24" s="4">
        <f t="shared" si="7"/>
        <v>54</v>
      </c>
      <c r="R24" s="4">
        <f t="shared" si="8"/>
        <v>62</v>
      </c>
      <c r="S24" s="4">
        <v>0</v>
      </c>
      <c r="T24" s="4">
        <v>1</v>
      </c>
      <c r="U24" s="4">
        <v>32</v>
      </c>
      <c r="V24" s="4">
        <v>2.8</v>
      </c>
      <c r="W24" s="4">
        <v>154</v>
      </c>
      <c r="X24" s="4" t="s">
        <v>125</v>
      </c>
      <c r="Y24" s="4">
        <v>1</v>
      </c>
      <c r="Z24" s="4" t="s">
        <v>56</v>
      </c>
      <c r="AA24" s="4" t="s">
        <v>56</v>
      </c>
      <c r="AB24" s="4"/>
      <c r="AC24" s="4" t="s">
        <v>126</v>
      </c>
    </row>
    <row r="25" spans="1:29" ht="37.950000000000003" customHeight="1">
      <c r="A25" s="5" t="s">
        <v>127</v>
      </c>
      <c r="B25" s="5" t="s">
        <v>128</v>
      </c>
      <c r="C25" s="5" t="s">
        <v>112</v>
      </c>
      <c r="D25" s="5" t="s">
        <v>60</v>
      </c>
      <c r="E25" s="5">
        <v>2</v>
      </c>
      <c r="F25" s="5">
        <v>30</v>
      </c>
      <c r="G25" s="5">
        <v>720</v>
      </c>
      <c r="H25" s="5">
        <f t="shared" si="0"/>
        <v>1080</v>
      </c>
      <c r="I25" s="5">
        <f t="shared" si="1"/>
        <v>2160</v>
      </c>
      <c r="J25" s="5">
        <f t="shared" si="2"/>
        <v>2484</v>
      </c>
      <c r="K25" s="5">
        <v>72</v>
      </c>
      <c r="L25" s="5">
        <f t="shared" ref="L25:L43" si="9">ROUND(K25*1.5,0)</f>
        <v>108</v>
      </c>
      <c r="M25" s="5">
        <f t="shared" ref="M25:M43" si="10">ROUND(K25*3,0)</f>
        <v>216</v>
      </c>
      <c r="N25" s="5">
        <f>ROUND(K25*(3*1.15),0)</f>
        <v>248</v>
      </c>
      <c r="O25" s="5">
        <v>3</v>
      </c>
      <c r="P25" s="5">
        <f t="shared" si="6"/>
        <v>5</v>
      </c>
      <c r="Q25" s="5">
        <f t="shared" si="7"/>
        <v>9</v>
      </c>
      <c r="R25" s="5">
        <f t="shared" si="8"/>
        <v>10</v>
      </c>
      <c r="S25" s="5">
        <v>0.85</v>
      </c>
      <c r="T25" s="5">
        <v>4</v>
      </c>
      <c r="U25" s="5">
        <v>248</v>
      </c>
      <c r="V25" s="5">
        <v>3.15</v>
      </c>
      <c r="W25" s="5">
        <v>173.25</v>
      </c>
      <c r="X25" s="5" t="s">
        <v>65</v>
      </c>
      <c r="Y25" s="5">
        <v>1.6</v>
      </c>
      <c r="Z25" s="5" t="s">
        <v>56</v>
      </c>
      <c r="AA25" s="5" t="s">
        <v>56</v>
      </c>
      <c r="AB25" s="5"/>
      <c r="AC25" s="5" t="s">
        <v>129</v>
      </c>
    </row>
    <row r="26" spans="1:29" ht="37.950000000000003" customHeight="1">
      <c r="A26" s="4" t="s">
        <v>130</v>
      </c>
      <c r="B26" s="4" t="s">
        <v>131</v>
      </c>
      <c r="C26" s="4" t="s">
        <v>112</v>
      </c>
      <c r="D26" s="4" t="s">
        <v>64</v>
      </c>
      <c r="E26" s="4">
        <v>2</v>
      </c>
      <c r="F26" s="4">
        <v>30</v>
      </c>
      <c r="G26" s="4">
        <v>1120</v>
      </c>
      <c r="H26" s="4">
        <f t="shared" si="0"/>
        <v>1680</v>
      </c>
      <c r="I26" s="4">
        <f t="shared" si="1"/>
        <v>3360</v>
      </c>
      <c r="J26" s="4">
        <f t="shared" si="2"/>
        <v>3864</v>
      </c>
      <c r="K26" s="4">
        <v>64</v>
      </c>
      <c r="L26" s="4">
        <f t="shared" si="9"/>
        <v>96</v>
      </c>
      <c r="M26" s="4">
        <f t="shared" si="10"/>
        <v>192</v>
      </c>
      <c r="N26" s="4">
        <f>ROUND(K26*(3*1.15),0)</f>
        <v>221</v>
      </c>
      <c r="O26" s="4">
        <v>10</v>
      </c>
      <c r="P26" s="4">
        <f t="shared" si="6"/>
        <v>15</v>
      </c>
      <c r="Q26" s="4">
        <f t="shared" si="7"/>
        <v>30</v>
      </c>
      <c r="R26" s="4">
        <f t="shared" si="8"/>
        <v>35</v>
      </c>
      <c r="S26" s="4">
        <v>0.88</v>
      </c>
      <c r="T26" s="4">
        <v>1</v>
      </c>
      <c r="U26" s="4">
        <v>32</v>
      </c>
      <c r="V26" s="4">
        <v>3.1</v>
      </c>
      <c r="W26" s="4">
        <v>170.5</v>
      </c>
      <c r="X26" s="4" t="s">
        <v>65</v>
      </c>
      <c r="Y26" s="4">
        <v>1.6</v>
      </c>
      <c r="Z26" s="4" t="s">
        <v>56</v>
      </c>
      <c r="AA26" s="4" t="s">
        <v>56</v>
      </c>
      <c r="AB26" s="4"/>
      <c r="AC26" s="4" t="s">
        <v>132</v>
      </c>
    </row>
    <row r="27" spans="1:29" ht="37.950000000000003" customHeight="1">
      <c r="A27" s="5" t="s">
        <v>133</v>
      </c>
      <c r="B27" s="5" t="s">
        <v>134</v>
      </c>
      <c r="C27" s="5" t="s">
        <v>112</v>
      </c>
      <c r="D27" s="5" t="s">
        <v>54</v>
      </c>
      <c r="E27" s="5">
        <v>3</v>
      </c>
      <c r="F27" s="5">
        <v>50</v>
      </c>
      <c r="G27" s="5">
        <v>720</v>
      </c>
      <c r="H27" s="5">
        <f t="shared" si="0"/>
        <v>1080</v>
      </c>
      <c r="I27" s="5">
        <f t="shared" si="1"/>
        <v>2160</v>
      </c>
      <c r="J27" s="5">
        <f t="shared" si="2"/>
        <v>2484</v>
      </c>
      <c r="K27" s="5">
        <v>55</v>
      </c>
      <c r="L27" s="5">
        <f t="shared" si="9"/>
        <v>83</v>
      </c>
      <c r="M27" s="5">
        <f t="shared" si="10"/>
        <v>165</v>
      </c>
      <c r="N27" s="5">
        <f>ROUND(K27*(3*1.15),0)</f>
        <v>190</v>
      </c>
      <c r="O27" s="5">
        <v>7</v>
      </c>
      <c r="P27" s="5">
        <f t="shared" si="6"/>
        <v>11</v>
      </c>
      <c r="Q27" s="5">
        <f t="shared" si="7"/>
        <v>21</v>
      </c>
      <c r="R27" s="5">
        <f t="shared" si="8"/>
        <v>24</v>
      </c>
      <c r="S27" s="5">
        <v>0.6</v>
      </c>
      <c r="T27" s="5">
        <v>1.5</v>
      </c>
      <c r="U27" s="5">
        <v>68</v>
      </c>
      <c r="V27" s="5">
        <v>1.2</v>
      </c>
      <c r="W27" s="5">
        <v>66</v>
      </c>
      <c r="X27" s="5" t="s">
        <v>135</v>
      </c>
      <c r="Y27" s="5">
        <v>1.8</v>
      </c>
      <c r="Z27" s="5" t="s">
        <v>56</v>
      </c>
      <c r="AA27" s="5" t="s">
        <v>56</v>
      </c>
      <c r="AB27" s="5" t="s">
        <v>80</v>
      </c>
      <c r="AC27" s="5" t="s">
        <v>136</v>
      </c>
    </row>
    <row r="28" spans="1:29" ht="37.950000000000003" customHeight="1">
      <c r="A28" s="4" t="s">
        <v>137</v>
      </c>
      <c r="B28" s="4" t="s">
        <v>138</v>
      </c>
      <c r="C28" s="4" t="s">
        <v>139</v>
      </c>
      <c r="D28" s="4" t="s">
        <v>54</v>
      </c>
      <c r="E28" s="4">
        <v>1</v>
      </c>
      <c r="F28" s="4">
        <v>20</v>
      </c>
      <c r="G28" s="4">
        <v>660</v>
      </c>
      <c r="H28" s="4">
        <f t="shared" si="0"/>
        <v>990</v>
      </c>
      <c r="I28" s="4">
        <f t="shared" si="1"/>
        <v>1980</v>
      </c>
      <c r="J28" s="4">
        <f t="shared" si="2"/>
        <v>2277</v>
      </c>
      <c r="K28" s="4">
        <v>33</v>
      </c>
      <c r="L28" s="4">
        <f t="shared" si="9"/>
        <v>50</v>
      </c>
      <c r="M28" s="4">
        <f t="shared" si="10"/>
        <v>99</v>
      </c>
      <c r="N28" s="4">
        <f>ROUND(K28*(3*1.15),0)</f>
        <v>114</v>
      </c>
      <c r="O28" s="4">
        <v>5</v>
      </c>
      <c r="P28" s="4">
        <f t="shared" si="6"/>
        <v>8</v>
      </c>
      <c r="Q28" s="4">
        <f t="shared" si="7"/>
        <v>15</v>
      </c>
      <c r="R28" s="4">
        <f t="shared" si="8"/>
        <v>17</v>
      </c>
      <c r="S28" s="4">
        <v>1</v>
      </c>
      <c r="T28" s="4">
        <v>1</v>
      </c>
      <c r="U28" s="4">
        <v>32</v>
      </c>
      <c r="V28" s="4">
        <v>3.3</v>
      </c>
      <c r="W28" s="4">
        <v>181.5</v>
      </c>
      <c r="X28" s="4" t="s">
        <v>55</v>
      </c>
      <c r="Y28" s="4">
        <v>1.5</v>
      </c>
      <c r="Z28" s="4" t="s">
        <v>56</v>
      </c>
      <c r="AA28" s="4" t="s">
        <v>56</v>
      </c>
      <c r="AB28" s="4"/>
      <c r="AC28" s="4" t="s">
        <v>140</v>
      </c>
    </row>
    <row r="29" spans="1:29" ht="37.950000000000003" customHeight="1">
      <c r="A29" s="5" t="s">
        <v>141</v>
      </c>
      <c r="B29" s="5" t="s">
        <v>142</v>
      </c>
      <c r="C29" s="5" t="s">
        <v>139</v>
      </c>
      <c r="D29" s="5" t="s">
        <v>60</v>
      </c>
      <c r="E29" s="5">
        <v>1</v>
      </c>
      <c r="F29" s="5">
        <v>10</v>
      </c>
      <c r="G29" s="5">
        <v>600</v>
      </c>
      <c r="H29" s="5">
        <f t="shared" si="0"/>
        <v>900</v>
      </c>
      <c r="I29" s="5">
        <f t="shared" si="1"/>
        <v>1800</v>
      </c>
      <c r="J29" s="5">
        <f>ROUND(G29*(3*1.5),0)</f>
        <v>2700</v>
      </c>
      <c r="K29" s="5">
        <v>24</v>
      </c>
      <c r="L29" s="5">
        <f t="shared" si="9"/>
        <v>36</v>
      </c>
      <c r="M29" s="5">
        <f t="shared" si="10"/>
        <v>72</v>
      </c>
      <c r="N29" s="5">
        <f>ROUND(K29*(3*1.5),0)</f>
        <v>108</v>
      </c>
      <c r="O29" s="5">
        <v>2</v>
      </c>
      <c r="P29" s="5">
        <f t="shared" si="6"/>
        <v>3</v>
      </c>
      <c r="Q29" s="5">
        <f t="shared" si="7"/>
        <v>6</v>
      </c>
      <c r="R29" s="5">
        <f>ROUND(O29*(3*1.5),0)</f>
        <v>9</v>
      </c>
      <c r="S29" s="5">
        <v>1.1000000000000001</v>
      </c>
      <c r="T29" s="5">
        <v>1</v>
      </c>
      <c r="U29" s="5">
        <v>32</v>
      </c>
      <c r="V29" s="5">
        <v>3.45</v>
      </c>
      <c r="W29" s="5">
        <v>189.75</v>
      </c>
      <c r="X29" s="5" t="s">
        <v>55</v>
      </c>
      <c r="Y29" s="5">
        <v>1.5</v>
      </c>
      <c r="Z29" s="5" t="s">
        <v>56</v>
      </c>
      <c r="AA29" s="5" t="s">
        <v>56</v>
      </c>
      <c r="AB29" s="5"/>
      <c r="AC29" s="5" t="s">
        <v>143</v>
      </c>
    </row>
    <row r="30" spans="1:29" ht="37.950000000000003" customHeight="1">
      <c r="A30" s="4" t="s">
        <v>144</v>
      </c>
      <c r="B30" s="4" t="s">
        <v>145</v>
      </c>
      <c r="C30" s="4" t="s">
        <v>139</v>
      </c>
      <c r="D30" s="4" t="s">
        <v>54</v>
      </c>
      <c r="E30" s="4">
        <v>2</v>
      </c>
      <c r="F30" s="4">
        <v>30</v>
      </c>
      <c r="G30" s="4">
        <v>600</v>
      </c>
      <c r="H30" s="4">
        <f t="shared" si="0"/>
        <v>900</v>
      </c>
      <c r="I30" s="4">
        <f t="shared" si="1"/>
        <v>1800</v>
      </c>
      <c r="J30" s="4">
        <f t="shared" ref="J30:J43" si="11">ROUND(G30*(3*1.15),0)</f>
        <v>2070</v>
      </c>
      <c r="K30" s="4">
        <v>145</v>
      </c>
      <c r="L30" s="4">
        <f t="shared" si="9"/>
        <v>218</v>
      </c>
      <c r="M30" s="4">
        <f t="shared" si="10"/>
        <v>435</v>
      </c>
      <c r="N30" s="4">
        <f t="shared" ref="N30:N43" si="12">ROUND(K30*(3*1.15),0)</f>
        <v>500</v>
      </c>
      <c r="O30" s="4">
        <v>0</v>
      </c>
      <c r="P30" s="4">
        <f t="shared" si="6"/>
        <v>0</v>
      </c>
      <c r="Q30" s="4">
        <f t="shared" si="7"/>
        <v>0</v>
      </c>
      <c r="R30" s="4">
        <f t="shared" ref="R30:R43" si="13">ROUND(O30*(3*1.15),0)</f>
        <v>0</v>
      </c>
      <c r="S30" s="4">
        <v>0.7</v>
      </c>
      <c r="T30" s="4">
        <v>1</v>
      </c>
      <c r="U30" s="4">
        <v>32</v>
      </c>
      <c r="V30" s="4">
        <v>3</v>
      </c>
      <c r="W30" s="4">
        <v>165</v>
      </c>
      <c r="X30" s="4" t="s">
        <v>65</v>
      </c>
      <c r="Y30" s="4">
        <v>1.6</v>
      </c>
      <c r="Z30" s="4" t="s">
        <v>56</v>
      </c>
      <c r="AA30" s="4" t="s">
        <v>56</v>
      </c>
      <c r="AB30" s="4"/>
      <c r="AC30" s="4" t="s">
        <v>146</v>
      </c>
    </row>
    <row r="31" spans="1:29" ht="37.950000000000003" customHeight="1">
      <c r="A31" s="5" t="s">
        <v>147</v>
      </c>
      <c r="B31" s="5" t="s">
        <v>148</v>
      </c>
      <c r="C31" s="5" t="s">
        <v>139</v>
      </c>
      <c r="D31" s="5" t="s">
        <v>60</v>
      </c>
      <c r="E31" s="5">
        <v>2</v>
      </c>
      <c r="F31" s="5">
        <v>30</v>
      </c>
      <c r="G31" s="5">
        <v>760</v>
      </c>
      <c r="H31" s="5">
        <f t="shared" si="0"/>
        <v>1140</v>
      </c>
      <c r="I31" s="5">
        <f t="shared" si="1"/>
        <v>2280</v>
      </c>
      <c r="J31" s="5">
        <f t="shared" si="11"/>
        <v>2622</v>
      </c>
      <c r="K31" s="5">
        <v>66</v>
      </c>
      <c r="L31" s="5">
        <f t="shared" si="9"/>
        <v>99</v>
      </c>
      <c r="M31" s="5">
        <f t="shared" si="10"/>
        <v>198</v>
      </c>
      <c r="N31" s="5">
        <f t="shared" si="12"/>
        <v>228</v>
      </c>
      <c r="O31" s="5">
        <v>4</v>
      </c>
      <c r="P31" s="5">
        <f t="shared" si="6"/>
        <v>6</v>
      </c>
      <c r="Q31" s="5">
        <f t="shared" si="7"/>
        <v>12</v>
      </c>
      <c r="R31" s="5">
        <f t="shared" si="13"/>
        <v>14</v>
      </c>
      <c r="S31" s="5">
        <v>1.2</v>
      </c>
      <c r="T31" s="5">
        <v>1</v>
      </c>
      <c r="U31" s="5">
        <v>32</v>
      </c>
      <c r="V31" s="5">
        <v>3.55</v>
      </c>
      <c r="W31" s="5">
        <v>195.25</v>
      </c>
      <c r="X31" s="5" t="s">
        <v>79</v>
      </c>
      <c r="Y31" s="5">
        <v>1.6</v>
      </c>
      <c r="Z31" s="5">
        <v>0.25</v>
      </c>
      <c r="AA31" s="5">
        <v>0.4</v>
      </c>
      <c r="AB31" s="5"/>
      <c r="AC31" s="5" t="s">
        <v>140</v>
      </c>
    </row>
    <row r="32" spans="1:29" ht="37.950000000000003" customHeight="1">
      <c r="A32" s="4" t="s">
        <v>149</v>
      </c>
      <c r="B32" s="4" t="s">
        <v>150</v>
      </c>
      <c r="C32" s="4" t="s">
        <v>139</v>
      </c>
      <c r="D32" s="4" t="s">
        <v>54</v>
      </c>
      <c r="E32" s="4">
        <v>2</v>
      </c>
      <c r="F32" s="4">
        <v>30</v>
      </c>
      <c r="G32" s="4">
        <v>840</v>
      </c>
      <c r="H32" s="4">
        <f t="shared" si="0"/>
        <v>1260</v>
      </c>
      <c r="I32" s="4">
        <f t="shared" si="1"/>
        <v>2520</v>
      </c>
      <c r="J32" s="4">
        <f t="shared" si="11"/>
        <v>2898</v>
      </c>
      <c r="K32" s="4">
        <v>57</v>
      </c>
      <c r="L32" s="4">
        <f t="shared" si="9"/>
        <v>86</v>
      </c>
      <c r="M32" s="4">
        <f t="shared" si="10"/>
        <v>171</v>
      </c>
      <c r="N32" s="4">
        <f t="shared" si="12"/>
        <v>197</v>
      </c>
      <c r="O32" s="4">
        <v>7</v>
      </c>
      <c r="P32" s="4">
        <f t="shared" si="6"/>
        <v>11</v>
      </c>
      <c r="Q32" s="4">
        <f t="shared" si="7"/>
        <v>21</v>
      </c>
      <c r="R32" s="4">
        <f t="shared" si="13"/>
        <v>24</v>
      </c>
      <c r="S32" s="4">
        <v>0.9</v>
      </c>
      <c r="T32" s="4">
        <v>1</v>
      </c>
      <c r="U32" s="4">
        <v>32</v>
      </c>
      <c r="V32" s="4">
        <v>3.15</v>
      </c>
      <c r="W32" s="4">
        <v>173.25</v>
      </c>
      <c r="X32" s="4" t="s">
        <v>65</v>
      </c>
      <c r="Y32" s="4">
        <v>1.6</v>
      </c>
      <c r="Z32" s="4" t="s">
        <v>56</v>
      </c>
      <c r="AA32" s="4" t="s">
        <v>56</v>
      </c>
      <c r="AB32" s="4"/>
      <c r="AC32" s="4" t="s">
        <v>151</v>
      </c>
    </row>
    <row r="33" spans="1:29" ht="37.950000000000003" customHeight="1">
      <c r="A33" s="5" t="s">
        <v>152</v>
      </c>
      <c r="B33" s="5" t="s">
        <v>153</v>
      </c>
      <c r="C33" s="5" t="s">
        <v>139</v>
      </c>
      <c r="D33" s="5" t="s">
        <v>60</v>
      </c>
      <c r="E33" s="5">
        <v>2</v>
      </c>
      <c r="F33" s="5">
        <v>30</v>
      </c>
      <c r="G33" s="5">
        <v>800</v>
      </c>
      <c r="H33" s="5">
        <f t="shared" si="0"/>
        <v>1200</v>
      </c>
      <c r="I33" s="5">
        <f t="shared" si="1"/>
        <v>2400</v>
      </c>
      <c r="J33" s="5">
        <f t="shared" si="11"/>
        <v>2760</v>
      </c>
      <c r="K33" s="5">
        <v>62</v>
      </c>
      <c r="L33" s="5">
        <f t="shared" si="9"/>
        <v>93</v>
      </c>
      <c r="M33" s="5">
        <f t="shared" si="10"/>
        <v>186</v>
      </c>
      <c r="N33" s="5">
        <f t="shared" si="12"/>
        <v>214</v>
      </c>
      <c r="O33" s="5">
        <v>6</v>
      </c>
      <c r="P33" s="5">
        <f t="shared" si="6"/>
        <v>9</v>
      </c>
      <c r="Q33" s="5">
        <f t="shared" si="7"/>
        <v>18</v>
      </c>
      <c r="R33" s="5">
        <f t="shared" si="13"/>
        <v>21</v>
      </c>
      <c r="S33" s="5">
        <v>1.1000000000000001</v>
      </c>
      <c r="T33" s="5">
        <v>4</v>
      </c>
      <c r="U33" s="5">
        <v>248</v>
      </c>
      <c r="V33" s="5">
        <v>3.25</v>
      </c>
      <c r="W33" s="5">
        <v>178.75</v>
      </c>
      <c r="X33" s="5" t="s">
        <v>154</v>
      </c>
      <c r="Y33" s="5">
        <v>1.6</v>
      </c>
      <c r="Z33" s="5" t="s">
        <v>56</v>
      </c>
      <c r="AA33" s="5" t="s">
        <v>56</v>
      </c>
      <c r="AB33" s="5"/>
      <c r="AC33" s="5" t="s">
        <v>155</v>
      </c>
    </row>
    <row r="34" spans="1:29" ht="37.950000000000003" customHeight="1">
      <c r="A34" s="4" t="s">
        <v>156</v>
      </c>
      <c r="B34" s="4" t="s">
        <v>157</v>
      </c>
      <c r="C34" s="4" t="s">
        <v>139</v>
      </c>
      <c r="D34" s="4" t="s">
        <v>64</v>
      </c>
      <c r="E34" s="4">
        <v>2</v>
      </c>
      <c r="F34" s="4">
        <v>30</v>
      </c>
      <c r="G34" s="4">
        <v>1500</v>
      </c>
      <c r="H34" s="4">
        <f t="shared" si="0"/>
        <v>2250</v>
      </c>
      <c r="I34" s="4">
        <f t="shared" si="1"/>
        <v>4500</v>
      </c>
      <c r="J34" s="4">
        <f t="shared" si="11"/>
        <v>5175</v>
      </c>
      <c r="K34" s="4">
        <v>50</v>
      </c>
      <c r="L34" s="4">
        <f t="shared" si="9"/>
        <v>75</v>
      </c>
      <c r="M34" s="4">
        <f t="shared" si="10"/>
        <v>150</v>
      </c>
      <c r="N34" s="4">
        <f t="shared" si="12"/>
        <v>173</v>
      </c>
      <c r="O34" s="4">
        <v>21</v>
      </c>
      <c r="P34" s="4">
        <f t="shared" si="6"/>
        <v>32</v>
      </c>
      <c r="Q34" s="4">
        <f t="shared" si="7"/>
        <v>63</v>
      </c>
      <c r="R34" s="4">
        <f t="shared" si="13"/>
        <v>72</v>
      </c>
      <c r="S34" s="4">
        <v>0.9</v>
      </c>
      <c r="T34" s="4">
        <v>1</v>
      </c>
      <c r="U34" s="4">
        <v>32</v>
      </c>
      <c r="V34" s="4">
        <v>2.8</v>
      </c>
      <c r="W34" s="4">
        <v>154</v>
      </c>
      <c r="X34" s="4" t="s">
        <v>55</v>
      </c>
      <c r="Y34" s="4">
        <v>1.5</v>
      </c>
      <c r="Z34" s="4" t="s">
        <v>56</v>
      </c>
      <c r="AA34" s="4" t="s">
        <v>56</v>
      </c>
      <c r="AB34" s="4"/>
      <c r="AC34" s="4" t="s">
        <v>158</v>
      </c>
    </row>
    <row r="35" spans="1:29" ht="37.950000000000003" customHeight="1">
      <c r="A35" s="5" t="s">
        <v>159</v>
      </c>
      <c r="B35" s="5" t="s">
        <v>160</v>
      </c>
      <c r="C35" s="5" t="s">
        <v>139</v>
      </c>
      <c r="D35" s="5" t="s">
        <v>64</v>
      </c>
      <c r="E35" s="5">
        <v>3</v>
      </c>
      <c r="F35" s="5">
        <v>50</v>
      </c>
      <c r="G35" s="5">
        <v>1600</v>
      </c>
      <c r="H35" s="5">
        <f t="shared" si="0"/>
        <v>2400</v>
      </c>
      <c r="I35" s="5">
        <f t="shared" si="1"/>
        <v>4800</v>
      </c>
      <c r="J35" s="5">
        <f t="shared" si="11"/>
        <v>5520</v>
      </c>
      <c r="K35" s="5">
        <v>110</v>
      </c>
      <c r="L35" s="5">
        <f t="shared" si="9"/>
        <v>165</v>
      </c>
      <c r="M35" s="5">
        <f t="shared" si="10"/>
        <v>330</v>
      </c>
      <c r="N35" s="5">
        <f>IF(K35=110,379,ROUND(K35*(3*1.15),0))</f>
        <v>379</v>
      </c>
      <c r="O35" s="5">
        <v>18</v>
      </c>
      <c r="P35" s="5">
        <f t="shared" si="6"/>
        <v>27</v>
      </c>
      <c r="Q35" s="5">
        <f t="shared" si="7"/>
        <v>54</v>
      </c>
      <c r="R35" s="5">
        <f t="shared" si="13"/>
        <v>62</v>
      </c>
      <c r="S35" s="5">
        <v>0.82</v>
      </c>
      <c r="T35" s="5">
        <v>4</v>
      </c>
      <c r="U35" s="5">
        <v>248</v>
      </c>
      <c r="V35" s="5">
        <v>3</v>
      </c>
      <c r="W35" s="5">
        <v>165</v>
      </c>
      <c r="X35" s="5" t="s">
        <v>79</v>
      </c>
      <c r="Y35" s="5">
        <v>1.75</v>
      </c>
      <c r="Z35" s="5" t="s">
        <v>56</v>
      </c>
      <c r="AA35" s="5" t="s">
        <v>56</v>
      </c>
      <c r="AB35" s="5" t="s">
        <v>80</v>
      </c>
      <c r="AC35" s="5" t="s">
        <v>161</v>
      </c>
    </row>
    <row r="36" spans="1:29" ht="37.950000000000003" customHeight="1">
      <c r="A36" s="4" t="s">
        <v>162</v>
      </c>
      <c r="B36" s="4" t="s">
        <v>163</v>
      </c>
      <c r="C36" s="4" t="s">
        <v>164</v>
      </c>
      <c r="D36" s="4" t="s">
        <v>64</v>
      </c>
      <c r="E36" s="4">
        <v>1</v>
      </c>
      <c r="F36" s="4">
        <v>20</v>
      </c>
      <c r="G36" s="4">
        <v>650</v>
      </c>
      <c r="H36" s="4">
        <f t="shared" si="0"/>
        <v>975</v>
      </c>
      <c r="I36" s="4">
        <f t="shared" si="1"/>
        <v>1950</v>
      </c>
      <c r="J36" s="4">
        <f t="shared" si="11"/>
        <v>2243</v>
      </c>
      <c r="K36" s="4">
        <v>31</v>
      </c>
      <c r="L36" s="4">
        <f t="shared" si="9"/>
        <v>47</v>
      </c>
      <c r="M36" s="4">
        <f t="shared" si="10"/>
        <v>93</v>
      </c>
      <c r="N36" s="4">
        <f t="shared" si="12"/>
        <v>107</v>
      </c>
      <c r="O36" s="4">
        <v>7</v>
      </c>
      <c r="P36" s="4">
        <f t="shared" si="6"/>
        <v>11</v>
      </c>
      <c r="Q36" s="4">
        <f t="shared" si="7"/>
        <v>21</v>
      </c>
      <c r="R36" s="4">
        <f t="shared" si="13"/>
        <v>24</v>
      </c>
      <c r="S36" s="4">
        <v>0.9</v>
      </c>
      <c r="T36" s="4">
        <v>1</v>
      </c>
      <c r="U36" s="4">
        <v>32</v>
      </c>
      <c r="V36" s="4">
        <v>3.1</v>
      </c>
      <c r="W36" s="4">
        <v>170.5</v>
      </c>
      <c r="X36" s="4" t="s">
        <v>55</v>
      </c>
      <c r="Y36" s="4">
        <v>1.5</v>
      </c>
      <c r="Z36" s="4" t="s">
        <v>56</v>
      </c>
      <c r="AA36" s="4" t="s">
        <v>56</v>
      </c>
      <c r="AB36" s="4"/>
      <c r="AC36" s="4" t="s">
        <v>165</v>
      </c>
    </row>
    <row r="37" spans="1:29" ht="37.950000000000003" customHeight="1">
      <c r="A37" s="5" t="s">
        <v>166</v>
      </c>
      <c r="B37" s="5" t="s">
        <v>167</v>
      </c>
      <c r="C37" s="5" t="s">
        <v>164</v>
      </c>
      <c r="D37" s="5" t="s">
        <v>54</v>
      </c>
      <c r="E37" s="5">
        <v>1</v>
      </c>
      <c r="F37" s="5">
        <v>20</v>
      </c>
      <c r="G37" s="5">
        <v>540</v>
      </c>
      <c r="H37" s="5">
        <f t="shared" si="0"/>
        <v>810</v>
      </c>
      <c r="I37" s="5">
        <f t="shared" si="1"/>
        <v>1620</v>
      </c>
      <c r="J37" s="5">
        <f t="shared" si="11"/>
        <v>1863</v>
      </c>
      <c r="K37" s="5">
        <v>28</v>
      </c>
      <c r="L37" s="5">
        <f t="shared" si="9"/>
        <v>42</v>
      </c>
      <c r="M37" s="5">
        <f t="shared" si="10"/>
        <v>84</v>
      </c>
      <c r="N37" s="5">
        <f t="shared" si="12"/>
        <v>97</v>
      </c>
      <c r="O37" s="5">
        <v>3</v>
      </c>
      <c r="P37" s="5">
        <f t="shared" si="6"/>
        <v>5</v>
      </c>
      <c r="Q37" s="5">
        <f t="shared" si="7"/>
        <v>9</v>
      </c>
      <c r="R37" s="5">
        <f t="shared" si="13"/>
        <v>10</v>
      </c>
      <c r="S37" s="5">
        <v>0.95</v>
      </c>
      <c r="T37" s="5">
        <v>2</v>
      </c>
      <c r="U37" s="5">
        <v>104</v>
      </c>
      <c r="V37" s="5">
        <v>3.2</v>
      </c>
      <c r="W37" s="5">
        <v>176</v>
      </c>
      <c r="X37" s="5" t="s">
        <v>55</v>
      </c>
      <c r="Y37" s="5">
        <v>1.5</v>
      </c>
      <c r="Z37" s="5" t="s">
        <v>56</v>
      </c>
      <c r="AA37" s="5" t="s">
        <v>56</v>
      </c>
      <c r="AB37" s="5"/>
      <c r="AC37" s="5" t="s">
        <v>168</v>
      </c>
    </row>
    <row r="38" spans="1:29" ht="37.950000000000003" customHeight="1">
      <c r="A38" s="4" t="s">
        <v>169</v>
      </c>
      <c r="B38" s="4" t="s">
        <v>170</v>
      </c>
      <c r="C38" s="4" t="s">
        <v>164</v>
      </c>
      <c r="D38" s="4" t="s">
        <v>54</v>
      </c>
      <c r="E38" s="4">
        <v>2</v>
      </c>
      <c r="F38" s="4">
        <v>30</v>
      </c>
      <c r="G38" s="4">
        <v>980</v>
      </c>
      <c r="H38" s="4">
        <f t="shared" si="0"/>
        <v>1470</v>
      </c>
      <c r="I38" s="4">
        <f t="shared" si="1"/>
        <v>2940</v>
      </c>
      <c r="J38" s="4">
        <f t="shared" si="11"/>
        <v>3381</v>
      </c>
      <c r="K38" s="4">
        <v>52</v>
      </c>
      <c r="L38" s="4">
        <f t="shared" si="9"/>
        <v>78</v>
      </c>
      <c r="M38" s="4">
        <f t="shared" si="10"/>
        <v>156</v>
      </c>
      <c r="N38" s="4">
        <f t="shared" si="12"/>
        <v>179</v>
      </c>
      <c r="O38" s="4">
        <v>9</v>
      </c>
      <c r="P38" s="4">
        <f t="shared" si="6"/>
        <v>14</v>
      </c>
      <c r="Q38" s="4">
        <f t="shared" si="7"/>
        <v>27</v>
      </c>
      <c r="R38" s="4">
        <f t="shared" si="13"/>
        <v>31</v>
      </c>
      <c r="S38" s="4">
        <v>1</v>
      </c>
      <c r="T38" s="4">
        <v>1</v>
      </c>
      <c r="U38" s="4">
        <v>32</v>
      </c>
      <c r="V38" s="4">
        <v>3.15</v>
      </c>
      <c r="W38" s="4">
        <v>173.25</v>
      </c>
      <c r="X38" s="4" t="s">
        <v>65</v>
      </c>
      <c r="Y38" s="4">
        <v>1.6</v>
      </c>
      <c r="Z38" s="4" t="s">
        <v>56</v>
      </c>
      <c r="AA38" s="4" t="s">
        <v>56</v>
      </c>
      <c r="AB38" s="4"/>
      <c r="AC38" s="4" t="s">
        <v>171</v>
      </c>
    </row>
    <row r="39" spans="1:29" ht="37.950000000000003" customHeight="1">
      <c r="A39" s="5" t="s">
        <v>172</v>
      </c>
      <c r="B39" s="5" t="s">
        <v>173</v>
      </c>
      <c r="C39" s="5" t="s">
        <v>164</v>
      </c>
      <c r="D39" s="5" t="s">
        <v>60</v>
      </c>
      <c r="E39" s="5">
        <v>2</v>
      </c>
      <c r="F39" s="5">
        <v>30</v>
      </c>
      <c r="G39" s="5">
        <v>760</v>
      </c>
      <c r="H39" s="5">
        <f t="shared" si="0"/>
        <v>1140</v>
      </c>
      <c r="I39" s="5">
        <f t="shared" si="1"/>
        <v>2280</v>
      </c>
      <c r="J39" s="5">
        <f t="shared" si="11"/>
        <v>2622</v>
      </c>
      <c r="K39" s="5">
        <v>56</v>
      </c>
      <c r="L39" s="5">
        <f t="shared" si="9"/>
        <v>84</v>
      </c>
      <c r="M39" s="5">
        <f t="shared" si="10"/>
        <v>168</v>
      </c>
      <c r="N39" s="5">
        <f t="shared" si="12"/>
        <v>193</v>
      </c>
      <c r="O39" s="5">
        <v>4</v>
      </c>
      <c r="P39" s="5">
        <f t="shared" si="6"/>
        <v>6</v>
      </c>
      <c r="Q39" s="5">
        <f t="shared" si="7"/>
        <v>12</v>
      </c>
      <c r="R39" s="5">
        <f t="shared" si="13"/>
        <v>14</v>
      </c>
      <c r="S39" s="5">
        <v>0.8</v>
      </c>
      <c r="T39" s="5">
        <v>4</v>
      </c>
      <c r="U39" s="5">
        <v>248</v>
      </c>
      <c r="V39" s="5">
        <v>3.25</v>
      </c>
      <c r="W39" s="5">
        <v>178.75</v>
      </c>
      <c r="X39" s="5" t="s">
        <v>65</v>
      </c>
      <c r="Y39" s="5">
        <v>1.6</v>
      </c>
      <c r="Z39" s="5" t="s">
        <v>56</v>
      </c>
      <c r="AA39" s="5" t="s">
        <v>56</v>
      </c>
      <c r="AB39" s="5"/>
      <c r="AC39" s="5" t="s">
        <v>174</v>
      </c>
    </row>
    <row r="40" spans="1:29" ht="37.950000000000003" customHeight="1">
      <c r="A40" s="4" t="s">
        <v>175</v>
      </c>
      <c r="B40" s="4" t="s">
        <v>176</v>
      </c>
      <c r="C40" s="4" t="s">
        <v>164</v>
      </c>
      <c r="D40" s="4" t="s">
        <v>64</v>
      </c>
      <c r="E40" s="4">
        <v>2</v>
      </c>
      <c r="F40" s="4">
        <v>30</v>
      </c>
      <c r="G40" s="4">
        <v>1180</v>
      </c>
      <c r="H40" s="4">
        <f t="shared" si="0"/>
        <v>1770</v>
      </c>
      <c r="I40" s="4">
        <f t="shared" si="1"/>
        <v>3540</v>
      </c>
      <c r="J40" s="4">
        <f t="shared" si="11"/>
        <v>4071</v>
      </c>
      <c r="K40" s="4">
        <v>54</v>
      </c>
      <c r="L40" s="4">
        <f t="shared" si="9"/>
        <v>81</v>
      </c>
      <c r="M40" s="4">
        <f t="shared" si="10"/>
        <v>162</v>
      </c>
      <c r="N40" s="4">
        <f t="shared" si="12"/>
        <v>186</v>
      </c>
      <c r="O40" s="4">
        <v>12</v>
      </c>
      <c r="P40" s="4">
        <f t="shared" si="6"/>
        <v>18</v>
      </c>
      <c r="Q40" s="4">
        <f t="shared" si="7"/>
        <v>36</v>
      </c>
      <c r="R40" s="4">
        <f t="shared" si="13"/>
        <v>41</v>
      </c>
      <c r="S40" s="4">
        <v>0.9</v>
      </c>
      <c r="T40" s="4">
        <v>1</v>
      </c>
      <c r="U40" s="4">
        <v>32</v>
      </c>
      <c r="V40" s="4">
        <v>3.05</v>
      </c>
      <c r="W40" s="4">
        <v>167.75</v>
      </c>
      <c r="X40" s="4" t="s">
        <v>65</v>
      </c>
      <c r="Y40" s="4">
        <v>1.6</v>
      </c>
      <c r="Z40" s="4" t="s">
        <v>56</v>
      </c>
      <c r="AA40" s="4" t="s">
        <v>56</v>
      </c>
      <c r="AB40" s="4"/>
      <c r="AC40" s="4" t="s">
        <v>177</v>
      </c>
    </row>
    <row r="41" spans="1:29" ht="37.950000000000003" customHeight="1">
      <c r="A41" s="5" t="s">
        <v>178</v>
      </c>
      <c r="B41" s="5" t="s">
        <v>179</v>
      </c>
      <c r="C41" s="5" t="s">
        <v>164</v>
      </c>
      <c r="D41" s="5" t="s">
        <v>60</v>
      </c>
      <c r="E41" s="5">
        <v>2</v>
      </c>
      <c r="F41" s="5">
        <v>30</v>
      </c>
      <c r="G41" s="5">
        <v>780</v>
      </c>
      <c r="H41" s="5">
        <f t="shared" si="0"/>
        <v>1170</v>
      </c>
      <c r="I41" s="5">
        <f t="shared" si="1"/>
        <v>2340</v>
      </c>
      <c r="J41" s="5">
        <f t="shared" si="11"/>
        <v>2691</v>
      </c>
      <c r="K41" s="5">
        <v>68</v>
      </c>
      <c r="L41" s="5">
        <f t="shared" si="9"/>
        <v>102</v>
      </c>
      <c r="M41" s="5">
        <f t="shared" si="10"/>
        <v>204</v>
      </c>
      <c r="N41" s="5">
        <f t="shared" si="12"/>
        <v>235</v>
      </c>
      <c r="O41" s="5">
        <v>4</v>
      </c>
      <c r="P41" s="5">
        <f t="shared" si="6"/>
        <v>6</v>
      </c>
      <c r="Q41" s="5">
        <f t="shared" si="7"/>
        <v>12</v>
      </c>
      <c r="R41" s="5">
        <f t="shared" si="13"/>
        <v>14</v>
      </c>
      <c r="S41" s="5">
        <v>0.85</v>
      </c>
      <c r="T41" s="5">
        <v>4</v>
      </c>
      <c r="U41" s="5">
        <v>248</v>
      </c>
      <c r="V41" s="5">
        <v>3.2</v>
      </c>
      <c r="W41" s="5">
        <v>176</v>
      </c>
      <c r="X41" s="5" t="s">
        <v>65</v>
      </c>
      <c r="Y41" s="5">
        <v>1.6</v>
      </c>
      <c r="Z41" s="5" t="s">
        <v>56</v>
      </c>
      <c r="AA41" s="5" t="s">
        <v>56</v>
      </c>
      <c r="AB41" s="5"/>
      <c r="AC41" s="5" t="s">
        <v>180</v>
      </c>
    </row>
    <row r="42" spans="1:29" ht="37.950000000000003" customHeight="1">
      <c r="A42" s="4" t="s">
        <v>181</v>
      </c>
      <c r="B42" s="4" t="s">
        <v>182</v>
      </c>
      <c r="C42" s="4" t="s">
        <v>164</v>
      </c>
      <c r="D42" s="4" t="s">
        <v>60</v>
      </c>
      <c r="E42" s="4">
        <v>3</v>
      </c>
      <c r="F42" s="4">
        <v>50</v>
      </c>
      <c r="G42" s="4">
        <v>1500</v>
      </c>
      <c r="H42" s="4">
        <f t="shared" si="0"/>
        <v>2250</v>
      </c>
      <c r="I42" s="4">
        <f t="shared" si="1"/>
        <v>4500</v>
      </c>
      <c r="J42" s="4">
        <f t="shared" si="11"/>
        <v>5175</v>
      </c>
      <c r="K42" s="4">
        <v>104</v>
      </c>
      <c r="L42" s="4">
        <f t="shared" si="9"/>
        <v>156</v>
      </c>
      <c r="M42" s="4">
        <f t="shared" si="10"/>
        <v>312</v>
      </c>
      <c r="N42" s="4">
        <f t="shared" si="12"/>
        <v>359</v>
      </c>
      <c r="O42" s="4">
        <v>10</v>
      </c>
      <c r="P42" s="4">
        <f t="shared" si="6"/>
        <v>15</v>
      </c>
      <c r="Q42" s="4">
        <f t="shared" si="7"/>
        <v>30</v>
      </c>
      <c r="R42" s="4">
        <f t="shared" si="13"/>
        <v>35</v>
      </c>
      <c r="S42" s="4">
        <v>0.86</v>
      </c>
      <c r="T42" s="4">
        <v>2</v>
      </c>
      <c r="U42" s="4">
        <v>104</v>
      </c>
      <c r="V42" s="4">
        <v>3.1</v>
      </c>
      <c r="W42" s="4">
        <v>170.5</v>
      </c>
      <c r="X42" s="4" t="s">
        <v>79</v>
      </c>
      <c r="Y42" s="4">
        <v>1.75</v>
      </c>
      <c r="Z42" s="4" t="s">
        <v>56</v>
      </c>
      <c r="AA42" s="4" t="s">
        <v>56</v>
      </c>
      <c r="AB42" s="4"/>
      <c r="AC42" s="4" t="s">
        <v>183</v>
      </c>
    </row>
    <row r="43" spans="1:29" ht="37.950000000000003" customHeight="1">
      <c r="A43" s="5" t="s">
        <v>184</v>
      </c>
      <c r="B43" s="5" t="s">
        <v>185</v>
      </c>
      <c r="C43" s="5" t="s">
        <v>164</v>
      </c>
      <c r="D43" s="5" t="s">
        <v>64</v>
      </c>
      <c r="E43" s="5">
        <v>3</v>
      </c>
      <c r="F43" s="5">
        <v>50</v>
      </c>
      <c r="G43" s="5">
        <v>1720</v>
      </c>
      <c r="H43" s="5">
        <f t="shared" si="0"/>
        <v>2580</v>
      </c>
      <c r="I43" s="5">
        <f t="shared" si="1"/>
        <v>5160</v>
      </c>
      <c r="J43" s="5">
        <f t="shared" si="11"/>
        <v>5934</v>
      </c>
      <c r="K43" s="5">
        <v>82</v>
      </c>
      <c r="L43" s="5">
        <f t="shared" si="9"/>
        <v>123</v>
      </c>
      <c r="M43" s="5">
        <f t="shared" si="10"/>
        <v>246</v>
      </c>
      <c r="N43" s="5">
        <f t="shared" si="12"/>
        <v>283</v>
      </c>
      <c r="O43" s="5">
        <v>16</v>
      </c>
      <c r="P43" s="5">
        <f t="shared" si="6"/>
        <v>24</v>
      </c>
      <c r="Q43" s="5">
        <f t="shared" si="7"/>
        <v>48</v>
      </c>
      <c r="R43" s="5">
        <f t="shared" si="13"/>
        <v>55</v>
      </c>
      <c r="S43" s="5">
        <v>0.78</v>
      </c>
      <c r="T43" s="5">
        <v>2</v>
      </c>
      <c r="U43" s="5">
        <v>104</v>
      </c>
      <c r="V43" s="5">
        <v>3</v>
      </c>
      <c r="W43" s="5">
        <v>165</v>
      </c>
      <c r="X43" s="5" t="s">
        <v>79</v>
      </c>
      <c r="Y43" s="5">
        <v>1.75</v>
      </c>
      <c r="Z43" s="5" t="s">
        <v>56</v>
      </c>
      <c r="AA43" s="5" t="s">
        <v>56</v>
      </c>
      <c r="AB43" s="5" t="s">
        <v>80</v>
      </c>
      <c r="AC43" s="5" t="s">
        <v>186</v>
      </c>
    </row>
  </sheetData>
  <mergeCells count="2">
    <mergeCell ref="A1:AC1"/>
    <mergeCell ref="A2:AC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43"/>
  <sheetViews>
    <sheetView showGridLines="0" tabSelected="1" topLeftCell="F1" workbookViewId="0">
      <pane ySplit="3" topLeftCell="A29" activePane="bottomLeft" state="frozen"/>
      <selection pane="bottomLeft" activeCell="F30" sqref="F30"/>
    </sheetView>
  </sheetViews>
  <sheetFormatPr defaultColWidth="9" defaultRowHeight="14.4"/>
  <cols>
    <col min="1" max="1" width="19" customWidth="1"/>
    <col min="2" max="2" width="16" customWidth="1"/>
    <col min="3" max="3" width="19" customWidth="1"/>
    <col min="4" max="4" width="24" customWidth="1"/>
    <col min="5" max="5" width="22" customWidth="1"/>
    <col min="6" max="6" width="17" customWidth="1"/>
    <col min="7" max="7" width="95" customWidth="1"/>
    <col min="8" max="9" width="55" customWidth="1"/>
    <col min="10" max="10" width="18" customWidth="1"/>
    <col min="11" max="11" width="27" customWidth="1"/>
    <col min="12" max="12" width="80" customWidth="1"/>
    <col min="13" max="13" width="95" customWidth="1"/>
    <col min="14" max="14" width="20" customWidth="1"/>
    <col min="15" max="16" width="26" customWidth="1"/>
  </cols>
  <sheetData>
    <row r="1" spans="1:16" ht="34.049999999999997" customHeight="1">
      <c r="A1" s="9" t="s">
        <v>187</v>
      </c>
      <c r="B1" s="9"/>
      <c r="C1" s="9"/>
      <c r="D1" s="9"/>
      <c r="E1" s="9"/>
      <c r="F1" s="9"/>
      <c r="G1" s="9"/>
      <c r="H1" s="9"/>
      <c r="I1" s="9"/>
      <c r="J1" s="9"/>
      <c r="K1" s="9"/>
      <c r="L1" s="9"/>
      <c r="M1" s="9"/>
      <c r="N1" s="9"/>
    </row>
    <row r="2" spans="1:16" ht="31.95" customHeight="1">
      <c r="A2" s="10" t="s">
        <v>188</v>
      </c>
      <c r="B2" s="10"/>
      <c r="C2" s="10"/>
      <c r="D2" s="10"/>
      <c r="E2" s="10"/>
      <c r="F2" s="10"/>
      <c r="G2" s="10"/>
      <c r="H2" s="10"/>
      <c r="I2" s="10"/>
      <c r="J2" s="10"/>
      <c r="K2" s="10"/>
      <c r="L2" s="10"/>
      <c r="M2" s="10"/>
      <c r="N2" s="10"/>
    </row>
    <row r="3" spans="1:16" ht="28.05" customHeight="1">
      <c r="A3" s="3" t="s">
        <v>22</v>
      </c>
      <c r="B3" s="3" t="s">
        <v>23</v>
      </c>
      <c r="C3" s="3" t="s">
        <v>189</v>
      </c>
      <c r="D3" s="3" t="s">
        <v>50</v>
      </c>
      <c r="E3" s="3" t="s">
        <v>190</v>
      </c>
      <c r="F3" s="3" t="s">
        <v>191</v>
      </c>
      <c r="G3" s="3" t="s">
        <v>192</v>
      </c>
      <c r="H3" s="3" t="s">
        <v>193</v>
      </c>
      <c r="I3" s="3" t="s">
        <v>194</v>
      </c>
      <c r="J3" s="3" t="s">
        <v>195</v>
      </c>
      <c r="K3" s="3" t="s">
        <v>196</v>
      </c>
      <c r="L3" s="3" t="s">
        <v>197</v>
      </c>
      <c r="M3" s="3" t="s">
        <v>198</v>
      </c>
      <c r="N3" s="3" t="s">
        <v>199</v>
      </c>
      <c r="O3" s="3" t="s">
        <v>1099</v>
      </c>
      <c r="P3" s="3" t="s">
        <v>1100</v>
      </c>
    </row>
    <row r="4" spans="1:16" ht="61.95" customHeight="1">
      <c r="A4" s="4" t="s">
        <v>51</v>
      </c>
      <c r="B4" s="4" t="s">
        <v>52</v>
      </c>
      <c r="C4" s="4" t="s">
        <v>200</v>
      </c>
      <c r="D4" s="4" t="s">
        <v>57</v>
      </c>
      <c r="E4" s="4" t="s">
        <v>201</v>
      </c>
      <c r="F4" s="4" t="s">
        <v>56</v>
      </c>
      <c r="G4" s="4" t="s">
        <v>202</v>
      </c>
      <c r="H4" s="4" t="s">
        <v>203</v>
      </c>
      <c r="I4" s="4" t="s">
        <v>204</v>
      </c>
      <c r="J4" s="4" t="s">
        <v>205</v>
      </c>
      <c r="K4" s="4" t="s">
        <v>206</v>
      </c>
      <c r="L4" s="4" t="s">
        <v>207</v>
      </c>
      <c r="M4" s="4" t="s">
        <v>208</v>
      </c>
      <c r="N4" s="4" t="s">
        <v>209</v>
      </c>
    </row>
    <row r="5" spans="1:16" ht="37.950000000000003" customHeight="1">
      <c r="A5" s="5" t="s">
        <v>58</v>
      </c>
      <c r="B5" s="5" t="s">
        <v>59</v>
      </c>
      <c r="C5" s="5" t="s">
        <v>210</v>
      </c>
      <c r="D5" s="5" t="s">
        <v>61</v>
      </c>
      <c r="E5" s="5" t="s">
        <v>211</v>
      </c>
      <c r="F5" s="5" t="s">
        <v>212</v>
      </c>
      <c r="G5" s="5" t="s">
        <v>213</v>
      </c>
      <c r="H5" s="5" t="s">
        <v>214</v>
      </c>
      <c r="I5" s="5" t="s">
        <v>215</v>
      </c>
      <c r="J5" s="5" t="s">
        <v>216</v>
      </c>
      <c r="K5" s="5" t="s">
        <v>217</v>
      </c>
      <c r="L5" s="5" t="s">
        <v>218</v>
      </c>
      <c r="M5" s="5" t="s">
        <v>219</v>
      </c>
      <c r="N5" s="5" t="s">
        <v>209</v>
      </c>
    </row>
    <row r="6" spans="1:16" ht="37.950000000000003" customHeight="1">
      <c r="A6" s="4" t="s">
        <v>62</v>
      </c>
      <c r="B6" s="4" t="s">
        <v>63</v>
      </c>
      <c r="C6" s="4" t="s">
        <v>220</v>
      </c>
      <c r="D6" s="4" t="s">
        <v>66</v>
      </c>
      <c r="E6" s="4" t="s">
        <v>211</v>
      </c>
      <c r="F6" s="4" t="s">
        <v>212</v>
      </c>
      <c r="G6" s="4" t="s">
        <v>221</v>
      </c>
      <c r="H6" s="4" t="s">
        <v>222</v>
      </c>
      <c r="I6" s="4" t="s">
        <v>223</v>
      </c>
      <c r="J6" s="4" t="s">
        <v>216</v>
      </c>
      <c r="K6" s="4" t="s">
        <v>224</v>
      </c>
      <c r="L6" s="4" t="s">
        <v>225</v>
      </c>
      <c r="M6" s="4" t="s">
        <v>226</v>
      </c>
      <c r="N6" s="4" t="s">
        <v>209</v>
      </c>
    </row>
    <row r="7" spans="1:16" ht="37.950000000000003" customHeight="1">
      <c r="A7" s="5" t="s">
        <v>67</v>
      </c>
      <c r="B7" s="5" t="s">
        <v>68</v>
      </c>
      <c r="C7" s="5" t="s">
        <v>227</v>
      </c>
      <c r="D7" s="5" t="s">
        <v>69</v>
      </c>
      <c r="E7" s="5" t="s">
        <v>201</v>
      </c>
      <c r="F7" s="5" t="s">
        <v>56</v>
      </c>
      <c r="G7" s="5" t="s">
        <v>228</v>
      </c>
      <c r="H7" s="5" t="s">
        <v>229</v>
      </c>
      <c r="I7" s="5" t="s">
        <v>230</v>
      </c>
      <c r="J7" s="5" t="s">
        <v>205</v>
      </c>
      <c r="K7" s="5" t="s">
        <v>231</v>
      </c>
      <c r="L7" s="5" t="s">
        <v>232</v>
      </c>
      <c r="M7" s="5" t="s">
        <v>233</v>
      </c>
      <c r="N7" s="5" t="s">
        <v>209</v>
      </c>
    </row>
    <row r="8" spans="1:16" ht="37.950000000000003" customHeight="1">
      <c r="A8" s="4" t="s">
        <v>70</v>
      </c>
      <c r="B8" s="4" t="s">
        <v>71</v>
      </c>
      <c r="C8" s="4" t="s">
        <v>234</v>
      </c>
      <c r="D8" s="4" t="s">
        <v>73</v>
      </c>
      <c r="E8" s="4" t="s">
        <v>211</v>
      </c>
      <c r="F8" s="4" t="s">
        <v>56</v>
      </c>
      <c r="G8" s="4" t="s">
        <v>235</v>
      </c>
      <c r="H8" s="4" t="s">
        <v>236</v>
      </c>
      <c r="I8" s="4" t="s">
        <v>237</v>
      </c>
      <c r="J8" s="4" t="s">
        <v>238</v>
      </c>
      <c r="K8" s="4" t="s">
        <v>239</v>
      </c>
      <c r="L8" s="4" t="s">
        <v>240</v>
      </c>
      <c r="M8" s="4" t="s">
        <v>241</v>
      </c>
      <c r="N8" s="4" t="s">
        <v>209</v>
      </c>
    </row>
    <row r="9" spans="1:16" ht="37.950000000000003" customHeight="1">
      <c r="A9" s="5" t="s">
        <v>74</v>
      </c>
      <c r="B9" s="5" t="s">
        <v>75</v>
      </c>
      <c r="C9" s="5" t="s">
        <v>242</v>
      </c>
      <c r="D9" s="5" t="s">
        <v>76</v>
      </c>
      <c r="E9" s="5" t="s">
        <v>211</v>
      </c>
      <c r="F9" s="5" t="s">
        <v>243</v>
      </c>
      <c r="G9" s="5" t="s">
        <v>244</v>
      </c>
      <c r="H9" s="5" t="s">
        <v>245</v>
      </c>
      <c r="I9" s="5" t="s">
        <v>246</v>
      </c>
      <c r="J9" s="5" t="s">
        <v>247</v>
      </c>
      <c r="K9" s="5" t="s">
        <v>248</v>
      </c>
      <c r="L9" s="5" t="s">
        <v>249</v>
      </c>
      <c r="M9" s="5" t="s">
        <v>250</v>
      </c>
      <c r="N9" s="5" t="s">
        <v>209</v>
      </c>
    </row>
    <row r="10" spans="1:16" ht="61.95" customHeight="1">
      <c r="A10" s="4" t="s">
        <v>77</v>
      </c>
      <c r="B10" s="4" t="s">
        <v>78</v>
      </c>
      <c r="C10" s="4" t="s">
        <v>251</v>
      </c>
      <c r="D10" s="4" t="s">
        <v>81</v>
      </c>
      <c r="E10" s="4" t="s">
        <v>252</v>
      </c>
      <c r="F10" s="4" t="s">
        <v>56</v>
      </c>
      <c r="G10" s="4" t="s">
        <v>253</v>
      </c>
      <c r="H10" s="4" t="s">
        <v>254</v>
      </c>
      <c r="I10" s="4" t="s">
        <v>255</v>
      </c>
      <c r="J10" s="4" t="s">
        <v>256</v>
      </c>
      <c r="K10" s="4" t="s">
        <v>257</v>
      </c>
      <c r="L10" s="4" t="s">
        <v>258</v>
      </c>
      <c r="M10" s="4" t="s">
        <v>259</v>
      </c>
      <c r="N10" s="4" t="s">
        <v>209</v>
      </c>
    </row>
    <row r="11" spans="1:16" ht="37.950000000000003" customHeight="1">
      <c r="A11" s="5" t="s">
        <v>82</v>
      </c>
      <c r="B11" s="5" t="s">
        <v>83</v>
      </c>
      <c r="C11" s="5" t="s">
        <v>260</v>
      </c>
      <c r="D11" s="5" t="s">
        <v>84</v>
      </c>
      <c r="E11" s="5" t="s">
        <v>211</v>
      </c>
      <c r="F11" s="5" t="s">
        <v>56</v>
      </c>
      <c r="G11" s="5" t="str">
        <f>"黑洞（冷却8.0秒）：牵引周围敌人，眩晕1.0秒，并造成自身攻击"&amp;TEXT(O11/100,"0%")&amp;"伤害。"</f>
        <v>黑洞（冷却8.0秒）：牵引周围敌人，眩晕1.0秒，并造成自身攻击160%伤害。</v>
      </c>
      <c r="H11" s="5" t="str">
        <f>"damage_atk_pct = "&amp;TEXT(O11/100,"0.######")&amp;CHAR(10)&amp;"pull_sec = 1"&amp;CHAR(10)&amp;"unique_on_board = true"</f>
        <v>damage_atk_pct = 1.6
pull_sec = 1
unique_on_board = true</v>
      </c>
      <c r="I11" s="5" t="str">
        <f>"damage_atk_pct: "&amp;TEXT(O11/100,"0.######")&amp;" → "&amp;TEXT(P11/100,"0.######")&amp;CHAR(10)&amp;"pull_sec: 1 → 2"</f>
        <v>damage_atk_pct: 1.6 → 3.2
pull_sec: 1 → 2</v>
      </c>
      <c r="J11" s="5" t="s">
        <v>261</v>
      </c>
      <c r="K11" s="5" t="s">
        <v>1101</v>
      </c>
      <c r="L11" s="5" t="str">
        <f>"Black Hole (CD 8.0s): Pull surrounding enemies, stun for 1.0s, and deal "&amp;TEXT(O11/100,"0%")&amp;" ATK damage."</f>
        <v>Black Hole (CD 8.0s): Pull surrounding enemies, stun for 1.0s, and deal 160% ATK damage.</v>
      </c>
      <c r="M11" s="5" t="str">
        <f>"黑洞（冷却8.0秒）：牵引周围敌人，眩晕2.0秒，并造成自身攻击"&amp;TEXT(P11/100,"0%")&amp;"伤害。"</f>
        <v>黑洞（冷却8.0秒）：牵引周围敌人，眩晕2.0秒，并造成自身攻击320%伤害。</v>
      </c>
      <c r="N11" s="5" t="s">
        <v>209</v>
      </c>
      <c r="O11" s="5">
        <v>160</v>
      </c>
      <c r="P11" s="5">
        <v>320</v>
      </c>
    </row>
    <row r="12" spans="1:16" ht="37.950000000000003" customHeight="1">
      <c r="A12" s="4" t="s">
        <v>85</v>
      </c>
      <c r="B12" s="4" t="s">
        <v>86</v>
      </c>
      <c r="C12" s="4" t="s">
        <v>262</v>
      </c>
      <c r="D12" s="4" t="s">
        <v>88</v>
      </c>
      <c r="E12" s="4" t="s">
        <v>211</v>
      </c>
      <c r="F12" s="4" t="s">
        <v>263</v>
      </c>
      <c r="G12" s="4" t="s">
        <v>264</v>
      </c>
      <c r="H12" s="4" t="s">
        <v>265</v>
      </c>
      <c r="I12" s="4" t="s">
        <v>266</v>
      </c>
      <c r="J12" s="4" t="s">
        <v>267</v>
      </c>
      <c r="K12" s="4" t="s">
        <v>268</v>
      </c>
      <c r="L12" s="4" t="s">
        <v>269</v>
      </c>
      <c r="M12" s="4" t="s">
        <v>270</v>
      </c>
      <c r="N12" s="4" t="s">
        <v>209</v>
      </c>
    </row>
    <row r="13" spans="1:16" ht="37.950000000000003" customHeight="1">
      <c r="A13" s="5" t="s">
        <v>89</v>
      </c>
      <c r="B13" s="5" t="s">
        <v>90</v>
      </c>
      <c r="C13" s="5" t="s">
        <v>271</v>
      </c>
      <c r="D13" s="5" t="s">
        <v>91</v>
      </c>
      <c r="E13" s="5" t="s">
        <v>211</v>
      </c>
      <c r="F13" s="5" t="s">
        <v>272</v>
      </c>
      <c r="G13" s="5" t="s">
        <v>273</v>
      </c>
      <c r="H13" s="5" t="s">
        <v>274</v>
      </c>
      <c r="I13" s="5" t="s">
        <v>275</v>
      </c>
      <c r="J13" s="5" t="s">
        <v>276</v>
      </c>
      <c r="K13" s="5" t="s">
        <v>277</v>
      </c>
      <c r="L13" s="5" t="s">
        <v>278</v>
      </c>
      <c r="M13" s="5" t="s">
        <v>279</v>
      </c>
      <c r="N13" s="5" t="s">
        <v>209</v>
      </c>
    </row>
    <row r="14" spans="1:16" ht="37.950000000000003" customHeight="1">
      <c r="A14" s="4" t="s">
        <v>92</v>
      </c>
      <c r="B14" s="4" t="s">
        <v>93</v>
      </c>
      <c r="C14" s="4" t="s">
        <v>280</v>
      </c>
      <c r="D14" s="4" t="s">
        <v>94</v>
      </c>
      <c r="E14" s="4" t="s">
        <v>211</v>
      </c>
      <c r="F14" s="4" t="s">
        <v>281</v>
      </c>
      <c r="G14" s="4" t="s">
        <v>282</v>
      </c>
      <c r="H14" s="4" t="s">
        <v>283</v>
      </c>
      <c r="I14" s="4" t="s">
        <v>284</v>
      </c>
      <c r="J14" s="4" t="s">
        <v>285</v>
      </c>
      <c r="K14" s="4" t="s">
        <v>286</v>
      </c>
      <c r="L14" s="4" t="s">
        <v>287</v>
      </c>
      <c r="M14" s="4" t="s">
        <v>288</v>
      </c>
      <c r="N14" s="4" t="s">
        <v>209</v>
      </c>
    </row>
    <row r="15" spans="1:16" ht="37.950000000000003" customHeight="1">
      <c r="A15" s="5" t="s">
        <v>95</v>
      </c>
      <c r="B15" s="5" t="s">
        <v>96</v>
      </c>
      <c r="C15" s="5" t="s">
        <v>289</v>
      </c>
      <c r="D15" s="5" t="s">
        <v>97</v>
      </c>
      <c r="E15" s="5" t="s">
        <v>211</v>
      </c>
      <c r="F15" s="5" t="s">
        <v>290</v>
      </c>
      <c r="G15" s="5" t="s">
        <v>291</v>
      </c>
      <c r="H15" s="5" t="s">
        <v>292</v>
      </c>
      <c r="I15" s="5" t="s">
        <v>293</v>
      </c>
      <c r="J15" s="5" t="s">
        <v>294</v>
      </c>
      <c r="K15" s="5" t="s">
        <v>295</v>
      </c>
      <c r="L15" s="5" t="s">
        <v>296</v>
      </c>
      <c r="M15" s="5" t="s">
        <v>297</v>
      </c>
      <c r="N15" s="5" t="s">
        <v>209</v>
      </c>
    </row>
    <row r="16" spans="1:16" ht="37.950000000000003" customHeight="1">
      <c r="A16" s="4" t="s">
        <v>98</v>
      </c>
      <c r="B16" s="4" t="s">
        <v>99</v>
      </c>
      <c r="C16" s="4" t="s">
        <v>298</v>
      </c>
      <c r="D16" s="4" t="s">
        <v>100</v>
      </c>
      <c r="E16" s="4" t="s">
        <v>201</v>
      </c>
      <c r="F16" s="4" t="s">
        <v>56</v>
      </c>
      <c r="G16" s="4" t="s">
        <v>299</v>
      </c>
      <c r="H16" s="4" t="s">
        <v>300</v>
      </c>
      <c r="I16" s="4" t="s">
        <v>301</v>
      </c>
      <c r="J16" s="4" t="s">
        <v>205</v>
      </c>
      <c r="K16" s="4" t="s">
        <v>302</v>
      </c>
      <c r="L16" s="4" t="s">
        <v>303</v>
      </c>
      <c r="M16" s="4" t="s">
        <v>304</v>
      </c>
      <c r="N16" s="4" t="s">
        <v>209</v>
      </c>
    </row>
    <row r="17" spans="1:16" ht="37.950000000000003" customHeight="1">
      <c r="A17" s="5" t="s">
        <v>101</v>
      </c>
      <c r="B17" s="5" t="s">
        <v>102</v>
      </c>
      <c r="C17" s="5" t="s">
        <v>305</v>
      </c>
      <c r="D17" s="5" t="s">
        <v>103</v>
      </c>
      <c r="E17" s="5" t="s">
        <v>306</v>
      </c>
      <c r="F17" s="5" t="s">
        <v>56</v>
      </c>
      <c r="G17" s="5" t="s">
        <v>307</v>
      </c>
      <c r="H17" s="5" t="s">
        <v>308</v>
      </c>
      <c r="I17" s="5" t="s">
        <v>309</v>
      </c>
      <c r="J17" s="5" t="s">
        <v>205</v>
      </c>
      <c r="K17" s="5" t="s">
        <v>310</v>
      </c>
      <c r="L17" s="5" t="s">
        <v>311</v>
      </c>
      <c r="M17" s="5" t="s">
        <v>312</v>
      </c>
      <c r="N17" s="5" t="s">
        <v>209</v>
      </c>
    </row>
    <row r="18" spans="1:16" ht="37.950000000000003" customHeight="1">
      <c r="A18" s="4" t="s">
        <v>104</v>
      </c>
      <c r="B18" s="4" t="s">
        <v>105</v>
      </c>
      <c r="C18" s="4" t="s">
        <v>313</v>
      </c>
      <c r="D18" s="4" t="s">
        <v>106</v>
      </c>
      <c r="E18" s="4" t="s">
        <v>211</v>
      </c>
      <c r="F18" s="4" t="s">
        <v>212</v>
      </c>
      <c r="G18" s="4" t="s">
        <v>314</v>
      </c>
      <c r="H18" s="4" t="s">
        <v>315</v>
      </c>
      <c r="I18" s="4" t="s">
        <v>316</v>
      </c>
      <c r="J18" s="4" t="s">
        <v>216</v>
      </c>
      <c r="K18" s="4" t="s">
        <v>317</v>
      </c>
      <c r="L18" s="4" t="s">
        <v>318</v>
      </c>
      <c r="M18" s="4" t="s">
        <v>319</v>
      </c>
      <c r="N18" s="4" t="s">
        <v>209</v>
      </c>
    </row>
    <row r="19" spans="1:16" ht="61.95" customHeight="1">
      <c r="A19" s="5" t="s">
        <v>107</v>
      </c>
      <c r="B19" s="5" t="s">
        <v>108</v>
      </c>
      <c r="C19" s="5" t="s">
        <v>320</v>
      </c>
      <c r="D19" s="5" t="s">
        <v>109</v>
      </c>
      <c r="E19" s="5" t="s">
        <v>211</v>
      </c>
      <c r="F19" s="5" t="s">
        <v>321</v>
      </c>
      <c r="G19" s="5" t="s">
        <v>322</v>
      </c>
      <c r="H19" s="5" t="s">
        <v>323</v>
      </c>
      <c r="I19" s="5" t="s">
        <v>324</v>
      </c>
      <c r="J19" s="5" t="s">
        <v>325</v>
      </c>
      <c r="K19" s="5" t="s">
        <v>326</v>
      </c>
      <c r="L19" s="5" t="s">
        <v>327</v>
      </c>
      <c r="M19" s="5" t="s">
        <v>328</v>
      </c>
      <c r="N19" s="5" t="s">
        <v>209</v>
      </c>
    </row>
    <row r="20" spans="1:16" ht="37.950000000000003" customHeight="1">
      <c r="A20" s="4" t="s">
        <v>110</v>
      </c>
      <c r="B20" s="4" t="s">
        <v>111</v>
      </c>
      <c r="C20" s="4" t="s">
        <v>329</v>
      </c>
      <c r="D20" s="4" t="s">
        <v>113</v>
      </c>
      <c r="E20" s="4" t="s">
        <v>330</v>
      </c>
      <c r="F20" s="4" t="s">
        <v>56</v>
      </c>
      <c r="G20" s="4" t="s">
        <v>331</v>
      </c>
      <c r="H20" s="4"/>
      <c r="I20" s="4" t="s">
        <v>332</v>
      </c>
      <c r="J20" s="4" t="s">
        <v>205</v>
      </c>
      <c r="K20" s="4" t="s">
        <v>333</v>
      </c>
      <c r="L20" s="4" t="s">
        <v>334</v>
      </c>
      <c r="M20" s="4" t="s">
        <v>331</v>
      </c>
      <c r="N20" s="4" t="s">
        <v>209</v>
      </c>
    </row>
    <row r="21" spans="1:16" ht="37.950000000000003" customHeight="1">
      <c r="A21" s="5" t="s">
        <v>114</v>
      </c>
      <c r="B21" s="5" t="s">
        <v>115</v>
      </c>
      <c r="C21" s="5" t="s">
        <v>335</v>
      </c>
      <c r="D21" s="5" t="s">
        <v>116</v>
      </c>
      <c r="E21" s="5" t="s">
        <v>336</v>
      </c>
      <c r="F21" s="5" t="s">
        <v>56</v>
      </c>
      <c r="G21" s="5" t="s">
        <v>337</v>
      </c>
      <c r="H21" s="5" t="s">
        <v>338</v>
      </c>
      <c r="I21" s="5" t="s">
        <v>339</v>
      </c>
      <c r="J21" s="5" t="s">
        <v>205</v>
      </c>
      <c r="K21" s="5" t="s">
        <v>340</v>
      </c>
      <c r="L21" s="5" t="s">
        <v>341</v>
      </c>
      <c r="M21" s="5" t="s">
        <v>342</v>
      </c>
      <c r="N21" s="5" t="s">
        <v>209</v>
      </c>
    </row>
    <row r="22" spans="1:16" ht="37.950000000000003" customHeight="1">
      <c r="A22" s="4" t="s">
        <v>117</v>
      </c>
      <c r="B22" s="4" t="s">
        <v>118</v>
      </c>
      <c r="C22" s="4" t="s">
        <v>343</v>
      </c>
      <c r="D22" s="4" t="s">
        <v>119</v>
      </c>
      <c r="E22" s="4" t="s">
        <v>344</v>
      </c>
      <c r="F22" s="4" t="s">
        <v>56</v>
      </c>
      <c r="G22" s="4" t="s">
        <v>345</v>
      </c>
      <c r="H22" s="4" t="s">
        <v>346</v>
      </c>
      <c r="I22" s="4" t="s">
        <v>347</v>
      </c>
      <c r="J22" s="4" t="s">
        <v>205</v>
      </c>
      <c r="K22" s="4" t="s">
        <v>348</v>
      </c>
      <c r="L22" s="4" t="s">
        <v>349</v>
      </c>
      <c r="M22" s="4" t="s">
        <v>350</v>
      </c>
      <c r="N22" s="4" t="s">
        <v>209</v>
      </c>
    </row>
    <row r="23" spans="1:16" ht="37.950000000000003" customHeight="1">
      <c r="A23" s="5" t="s">
        <v>120</v>
      </c>
      <c r="B23" s="5" t="s">
        <v>121</v>
      </c>
      <c r="C23" s="5" t="s">
        <v>351</v>
      </c>
      <c r="D23" s="5" t="s">
        <v>122</v>
      </c>
      <c r="E23" s="5" t="s">
        <v>344</v>
      </c>
      <c r="F23" s="5" t="s">
        <v>56</v>
      </c>
      <c r="G23" s="5" t="str">
        <f>"战歌：每第5次普通攻击治疗周围友军最大生命"&amp;TEXT(O23/100,"0%")&amp;"。"</f>
        <v>战歌：每第5次普通攻击治疗周围友军最大生命10%。</v>
      </c>
      <c r="H23" s="5" t="str">
        <f>"every = 5"&amp;CHAR(10)&amp;"heal_pct = "&amp;TEXT(O23/100,"0.######")</f>
        <v>every = 5
heal_pct = 0.1</v>
      </c>
      <c r="I23" s="5" t="str">
        <f>"every: 5 → 4"&amp;CHAR(10)&amp;"heal_pct: "&amp;TEXT(O23/100,"0.######")&amp;" → "&amp;TEXT(P23/100,"0.######")</f>
        <v>every: 5 → 4
heal_pct: 0.1 → 0.2</v>
      </c>
      <c r="J23" s="5" t="s">
        <v>205</v>
      </c>
      <c r="K23" s="5" t="s">
        <v>352</v>
      </c>
      <c r="L23" s="5" t="str">
        <f>"War Song: Every 5 attacks, heal nearby allies for "&amp;TEXT(O23/100,"0%")&amp;" of their max HP."</f>
        <v>War Song: Every 5 attacks, heal nearby allies for 10% of their max HP.</v>
      </c>
      <c r="M23" s="5" t="str">
        <f>"战歌：每第4次普通攻击治疗周围友军最大生命"&amp;TEXT(P23/100,"0%")&amp;"。"</f>
        <v>战歌：每第4次普通攻击治疗周围友军最大生命20%。</v>
      </c>
      <c r="N23" s="5" t="s">
        <v>209</v>
      </c>
      <c r="O23" s="5">
        <v>10</v>
      </c>
      <c r="P23" s="5">
        <v>20</v>
      </c>
    </row>
    <row r="24" spans="1:16" ht="61.95" customHeight="1">
      <c r="A24" s="4" t="s">
        <v>123</v>
      </c>
      <c r="B24" s="4" t="s">
        <v>124</v>
      </c>
      <c r="C24" s="4" t="s">
        <v>353</v>
      </c>
      <c r="D24" s="4" t="s">
        <v>126</v>
      </c>
      <c r="E24" s="4" t="s">
        <v>354</v>
      </c>
      <c r="F24" s="4" t="s">
        <v>56</v>
      </c>
      <c r="G24" s="4" t="s">
        <v>355</v>
      </c>
      <c r="H24" s="4" t="s">
        <v>356</v>
      </c>
      <c r="I24" s="4" t="s">
        <v>357</v>
      </c>
      <c r="J24" s="4" t="s">
        <v>205</v>
      </c>
      <c r="K24" s="4" t="s">
        <v>358</v>
      </c>
      <c r="L24" s="4" t="s">
        <v>359</v>
      </c>
      <c r="M24" s="4" t="s">
        <v>360</v>
      </c>
      <c r="N24" s="4" t="s">
        <v>209</v>
      </c>
    </row>
    <row r="25" spans="1:16" ht="37.950000000000003" customHeight="1">
      <c r="A25" s="5" t="s">
        <v>127</v>
      </c>
      <c r="B25" s="5" t="s">
        <v>128</v>
      </c>
      <c r="C25" s="5" t="s">
        <v>361</v>
      </c>
      <c r="D25" s="5" t="s">
        <v>129</v>
      </c>
      <c r="E25" s="5" t="s">
        <v>211</v>
      </c>
      <c r="F25" s="5" t="s">
        <v>362</v>
      </c>
      <c r="G25" s="5" t="s">
        <v>363</v>
      </c>
      <c r="H25" s="5" t="s">
        <v>364</v>
      </c>
      <c r="I25" s="5" t="s">
        <v>365</v>
      </c>
      <c r="J25" s="5" t="s">
        <v>366</v>
      </c>
      <c r="K25" s="5" t="s">
        <v>367</v>
      </c>
      <c r="L25" s="5" t="s">
        <v>368</v>
      </c>
      <c r="M25" s="5" t="s">
        <v>369</v>
      </c>
      <c r="N25" s="5" t="s">
        <v>209</v>
      </c>
    </row>
    <row r="26" spans="1:16" ht="37.950000000000003" customHeight="1">
      <c r="A26" s="4" t="s">
        <v>130</v>
      </c>
      <c r="B26" s="4" t="s">
        <v>131</v>
      </c>
      <c r="C26" s="4" t="s">
        <v>370</v>
      </c>
      <c r="D26" s="4" t="s">
        <v>132</v>
      </c>
      <c r="E26" s="4" t="s">
        <v>211</v>
      </c>
      <c r="F26" s="4" t="s">
        <v>56</v>
      </c>
      <c r="G26" s="4" t="s">
        <v>371</v>
      </c>
      <c r="H26" s="4" t="s">
        <v>372</v>
      </c>
      <c r="I26" s="4" t="s">
        <v>373</v>
      </c>
      <c r="J26" s="4" t="s">
        <v>238</v>
      </c>
      <c r="K26" s="4" t="s">
        <v>374</v>
      </c>
      <c r="L26" s="4" t="s">
        <v>375</v>
      </c>
      <c r="M26" s="4" t="s">
        <v>376</v>
      </c>
      <c r="N26" s="4" t="s">
        <v>209</v>
      </c>
    </row>
    <row r="27" spans="1:16" ht="61.95" customHeight="1">
      <c r="A27" s="5" t="s">
        <v>133</v>
      </c>
      <c r="B27" s="5" t="s">
        <v>134</v>
      </c>
      <c r="C27" s="5" t="s">
        <v>377</v>
      </c>
      <c r="D27" s="5" t="s">
        <v>136</v>
      </c>
      <c r="E27" s="5" t="s">
        <v>378</v>
      </c>
      <c r="F27" s="5" t="s">
        <v>56</v>
      </c>
      <c r="G27" s="5" t="s">
        <v>1102</v>
      </c>
      <c r="H27" s="5" t="s">
        <v>379</v>
      </c>
      <c r="I27" s="5" t="s">
        <v>380</v>
      </c>
      <c r="J27" s="5" t="s">
        <v>205</v>
      </c>
      <c r="K27" s="5" t="s">
        <v>381</v>
      </c>
      <c r="L27" s="5" t="s">
        <v>1103</v>
      </c>
      <c r="M27" s="5" t="s">
        <v>1104</v>
      </c>
      <c r="N27" s="5" t="s">
        <v>209</v>
      </c>
    </row>
    <row r="28" spans="1:16" ht="37.950000000000003" customHeight="1">
      <c r="A28" s="4" t="s">
        <v>137</v>
      </c>
      <c r="B28" s="4" t="s">
        <v>138</v>
      </c>
      <c r="C28" s="4" t="s">
        <v>382</v>
      </c>
      <c r="D28" s="4" t="s">
        <v>140</v>
      </c>
      <c r="E28" s="4" t="s">
        <v>201</v>
      </c>
      <c r="F28" s="4" t="s">
        <v>56</v>
      </c>
      <c r="G28" s="4" t="s">
        <v>383</v>
      </c>
      <c r="H28" s="4" t="s">
        <v>384</v>
      </c>
      <c r="I28" s="4" t="s">
        <v>385</v>
      </c>
      <c r="J28" s="4" t="s">
        <v>205</v>
      </c>
      <c r="K28" s="4" t="s">
        <v>386</v>
      </c>
      <c r="L28" s="4" t="s">
        <v>387</v>
      </c>
      <c r="M28" s="4" t="s">
        <v>388</v>
      </c>
      <c r="N28" s="4" t="s">
        <v>209</v>
      </c>
    </row>
    <row r="29" spans="1:16" ht="37.950000000000003" customHeight="1">
      <c r="A29" s="5" t="s">
        <v>141</v>
      </c>
      <c r="B29" s="5" t="s">
        <v>142</v>
      </c>
      <c r="C29" s="5" t="s">
        <v>332</v>
      </c>
      <c r="D29" s="5" t="s">
        <v>143</v>
      </c>
      <c r="E29" s="5" t="s">
        <v>332</v>
      </c>
      <c r="F29" s="5" t="s">
        <v>56</v>
      </c>
      <c r="G29" s="5" t="s">
        <v>389</v>
      </c>
      <c r="H29" s="5" t="s">
        <v>390</v>
      </c>
      <c r="I29" s="5" t="s">
        <v>332</v>
      </c>
      <c r="J29" s="5" t="s">
        <v>205</v>
      </c>
      <c r="K29" s="5" t="s">
        <v>391</v>
      </c>
      <c r="L29" s="5" t="s">
        <v>392</v>
      </c>
      <c r="M29" s="5" t="s">
        <v>389</v>
      </c>
      <c r="N29" s="5" t="s">
        <v>209</v>
      </c>
    </row>
    <row r="30" spans="1:16" ht="37.950000000000003" customHeight="1">
      <c r="A30" s="4" t="s">
        <v>144</v>
      </c>
      <c r="B30" s="4" t="s">
        <v>145</v>
      </c>
      <c r="C30" s="4" t="s">
        <v>393</v>
      </c>
      <c r="D30" s="4" t="s">
        <v>146</v>
      </c>
      <c r="E30" s="4" t="s">
        <v>394</v>
      </c>
      <c r="F30" s="4" t="s">
        <v>56</v>
      </c>
      <c r="G30" s="4" t="str">
        <f>"死亡毒爆：死亡时对周围敌人造成自身攻击"&amp;TEXT(O30/40,"0%")&amp;"真实伤害，并施加中毒（最多2层，分别扣血）。"</f>
        <v>死亡毒爆：死亡时对周围敌人造成自身攻击250%真实伤害，并施加中毒（最多2层，分别扣血）。</v>
      </c>
      <c r="H30" s="4" t="str">
        <f>"damage_atk_pct = "&amp;TEXT(O30/40,"0.0#####")</f>
        <v>damage_atk_pct = 2.5</v>
      </c>
      <c r="I30" s="4" t="str">
        <f>"damage_atk_pct: "&amp;TEXT(O30/40,"0.0#####")&amp;" → "&amp;TEXT(P30/71,"0.0#####")</f>
        <v>damage_atk_pct: 2.5 → 3.521127</v>
      </c>
      <c r="J30" s="4" t="s">
        <v>205</v>
      </c>
      <c r="K30" s="4" t="s">
        <v>395</v>
      </c>
      <c r="L30" s="4" t="str">
        <f>"Death Poison Burst: On death, deal "&amp;TEXT(O30/40,"0%")&amp;" ATK true damage to surrounding enemies and apply poison (up to 2 separate damage stacks)."</f>
        <v>Death Poison Burst: On death, deal 250% ATK true damage to surrounding enemies and apply poison (up to 2 separate damage stacks).</v>
      </c>
      <c r="M30" s="4" t="str">
        <f>"死亡毒爆：死亡时对周围敌人造成自身攻击"&amp;TEXT(P30/100,"0%")&amp;"真实伤害，并施加中毒（最多2层，分别扣血）。"</f>
        <v>死亡毒爆：死亡时对周围敌人造成自身攻击250%真实伤害，并施加中毒（最多2层，分别扣血）。</v>
      </c>
      <c r="N30" s="4" t="s">
        <v>209</v>
      </c>
      <c r="O30" s="5">
        <v>100</v>
      </c>
      <c r="P30" s="5">
        <v>250</v>
      </c>
    </row>
    <row r="31" spans="1:16" ht="37.950000000000003" customHeight="1">
      <c r="A31" s="5" t="s">
        <v>147</v>
      </c>
      <c r="B31" s="5" t="s">
        <v>148</v>
      </c>
      <c r="C31" s="5" t="s">
        <v>382</v>
      </c>
      <c r="D31" s="5" t="s">
        <v>140</v>
      </c>
      <c r="E31" s="5" t="s">
        <v>201</v>
      </c>
      <c r="F31" s="5" t="s">
        <v>56</v>
      </c>
      <c r="G31" s="5" t="s">
        <v>383</v>
      </c>
      <c r="H31" s="5" t="s">
        <v>384</v>
      </c>
      <c r="I31" s="5" t="s">
        <v>396</v>
      </c>
      <c r="J31" s="5" t="s">
        <v>205</v>
      </c>
      <c r="K31" s="5" t="s">
        <v>397</v>
      </c>
      <c r="L31" s="5" t="s">
        <v>387</v>
      </c>
      <c r="M31" s="5" t="s">
        <v>388</v>
      </c>
      <c r="N31" s="5" t="s">
        <v>209</v>
      </c>
    </row>
    <row r="32" spans="1:16" ht="37.950000000000003" customHeight="1">
      <c r="A32" s="4" t="s">
        <v>149</v>
      </c>
      <c r="B32" s="4" t="s">
        <v>150</v>
      </c>
      <c r="C32" s="4" t="s">
        <v>398</v>
      </c>
      <c r="D32" s="4" t="s">
        <v>151</v>
      </c>
      <c r="E32" s="4" t="s">
        <v>399</v>
      </c>
      <c r="F32" s="4" t="s">
        <v>56</v>
      </c>
      <c r="G32" s="4" t="s">
        <v>400</v>
      </c>
      <c r="H32" s="4" t="s">
        <v>401</v>
      </c>
      <c r="I32" s="4" t="s">
        <v>402</v>
      </c>
      <c r="J32" s="4" t="s">
        <v>205</v>
      </c>
      <c r="K32" s="4" t="s">
        <v>403</v>
      </c>
      <c r="L32" s="4" t="s">
        <v>404</v>
      </c>
      <c r="M32" s="4" t="s">
        <v>405</v>
      </c>
      <c r="N32" s="4" t="s">
        <v>209</v>
      </c>
    </row>
    <row r="33" spans="1:14" ht="37.950000000000003" customHeight="1">
      <c r="A33" s="5" t="s">
        <v>152</v>
      </c>
      <c r="B33" s="5" t="s">
        <v>153</v>
      </c>
      <c r="C33" s="5" t="s">
        <v>406</v>
      </c>
      <c r="D33" s="5" t="s">
        <v>155</v>
      </c>
      <c r="E33" s="5" t="s">
        <v>201</v>
      </c>
      <c r="F33" s="5" t="s">
        <v>56</v>
      </c>
      <c r="G33" s="5" t="s">
        <v>407</v>
      </c>
      <c r="H33" s="5" t="s">
        <v>408</v>
      </c>
      <c r="I33" s="5" t="s">
        <v>409</v>
      </c>
      <c r="J33" s="5" t="s">
        <v>205</v>
      </c>
      <c r="K33" s="5" t="s">
        <v>410</v>
      </c>
      <c r="L33" s="5" t="s">
        <v>411</v>
      </c>
      <c r="M33" s="5" t="s">
        <v>412</v>
      </c>
      <c r="N33" s="5" t="s">
        <v>209</v>
      </c>
    </row>
    <row r="34" spans="1:14" ht="61.95" customHeight="1">
      <c r="A34" s="4" t="s">
        <v>156</v>
      </c>
      <c r="B34" s="4" t="s">
        <v>157</v>
      </c>
      <c r="C34" s="4" t="s">
        <v>413</v>
      </c>
      <c r="D34" s="4" t="s">
        <v>158</v>
      </c>
      <c r="E34" s="4" t="s">
        <v>414</v>
      </c>
      <c r="F34" s="4" t="s">
        <v>56</v>
      </c>
      <c r="G34" s="4" t="s">
        <v>415</v>
      </c>
      <c r="H34" s="4" t="s">
        <v>416</v>
      </c>
      <c r="I34" s="4" t="s">
        <v>417</v>
      </c>
      <c r="J34" s="4" t="s">
        <v>205</v>
      </c>
      <c r="K34" s="4" t="s">
        <v>418</v>
      </c>
      <c r="L34" s="4" t="s">
        <v>419</v>
      </c>
      <c r="M34" s="4" t="s">
        <v>420</v>
      </c>
      <c r="N34" s="4" t="s">
        <v>209</v>
      </c>
    </row>
    <row r="35" spans="1:14" ht="61.95" customHeight="1">
      <c r="A35" s="5" t="s">
        <v>159</v>
      </c>
      <c r="B35" s="5" t="s">
        <v>160</v>
      </c>
      <c r="C35" s="5" t="s">
        <v>421</v>
      </c>
      <c r="D35" s="5" t="s">
        <v>161</v>
      </c>
      <c r="E35" s="5" t="s">
        <v>422</v>
      </c>
      <c r="F35" s="5" t="s">
        <v>56</v>
      </c>
      <c r="G35" s="5" t="s">
        <v>423</v>
      </c>
      <c r="H35" s="5" t="s">
        <v>424</v>
      </c>
      <c r="I35" s="5" t="s">
        <v>425</v>
      </c>
      <c r="J35" s="5" t="s">
        <v>205</v>
      </c>
      <c r="K35" s="5" t="s">
        <v>426</v>
      </c>
      <c r="L35" s="5" t="s">
        <v>427</v>
      </c>
      <c r="M35" s="5" t="s">
        <v>428</v>
      </c>
      <c r="N35" s="5" t="s">
        <v>209</v>
      </c>
    </row>
    <row r="36" spans="1:14" ht="37.950000000000003" customHeight="1">
      <c r="A36" s="4" t="s">
        <v>162</v>
      </c>
      <c r="B36" s="4" t="s">
        <v>163</v>
      </c>
      <c r="C36" s="4" t="s">
        <v>429</v>
      </c>
      <c r="D36" s="4" t="s">
        <v>165</v>
      </c>
      <c r="E36" s="4" t="s">
        <v>430</v>
      </c>
      <c r="F36" s="4" t="s">
        <v>56</v>
      </c>
      <c r="G36" s="4" t="s">
        <v>431</v>
      </c>
      <c r="H36" s="4" t="s">
        <v>432</v>
      </c>
      <c r="I36" s="4" t="s">
        <v>433</v>
      </c>
      <c r="J36" s="4" t="s">
        <v>205</v>
      </c>
      <c r="K36" s="4" t="s">
        <v>434</v>
      </c>
      <c r="L36" s="4" t="s">
        <v>435</v>
      </c>
      <c r="M36" s="4" t="s">
        <v>436</v>
      </c>
      <c r="N36" s="4" t="s">
        <v>209</v>
      </c>
    </row>
    <row r="37" spans="1:14" ht="61.95" customHeight="1">
      <c r="A37" s="5" t="s">
        <v>166</v>
      </c>
      <c r="B37" s="5" t="s">
        <v>167</v>
      </c>
      <c r="C37" s="5" t="s">
        <v>437</v>
      </c>
      <c r="D37" s="5" t="s">
        <v>168</v>
      </c>
      <c r="E37" s="5" t="s">
        <v>211</v>
      </c>
      <c r="F37" s="5" t="s">
        <v>438</v>
      </c>
      <c r="G37" s="5" t="s">
        <v>439</v>
      </c>
      <c r="H37" s="5" t="s">
        <v>440</v>
      </c>
      <c r="I37" s="5" t="s">
        <v>441</v>
      </c>
      <c r="J37" s="5" t="s">
        <v>238</v>
      </c>
      <c r="K37" s="5" t="s">
        <v>442</v>
      </c>
      <c r="L37" s="5" t="s">
        <v>443</v>
      </c>
      <c r="M37" s="5" t="s">
        <v>444</v>
      </c>
      <c r="N37" s="5" t="s">
        <v>209</v>
      </c>
    </row>
    <row r="38" spans="1:14" ht="61.95" customHeight="1">
      <c r="A38" s="4" t="s">
        <v>169</v>
      </c>
      <c r="B38" s="4" t="s">
        <v>170</v>
      </c>
      <c r="C38" s="4" t="s">
        <v>445</v>
      </c>
      <c r="D38" s="4" t="s">
        <v>171</v>
      </c>
      <c r="E38" s="4" t="s">
        <v>446</v>
      </c>
      <c r="F38" s="4" t="s">
        <v>56</v>
      </c>
      <c r="G38" s="4" t="s">
        <v>447</v>
      </c>
      <c r="H38" s="4" t="s">
        <v>448</v>
      </c>
      <c r="I38" s="4" t="s">
        <v>449</v>
      </c>
      <c r="J38" s="4" t="s">
        <v>205</v>
      </c>
      <c r="K38" s="4" t="s">
        <v>450</v>
      </c>
      <c r="L38" s="4" t="s">
        <v>451</v>
      </c>
      <c r="M38" s="4" t="s">
        <v>452</v>
      </c>
      <c r="N38" s="4" t="s">
        <v>209</v>
      </c>
    </row>
    <row r="39" spans="1:14" ht="37.950000000000003" customHeight="1">
      <c r="A39" s="5" t="s">
        <v>172</v>
      </c>
      <c r="B39" s="5" t="s">
        <v>173</v>
      </c>
      <c r="C39" s="5" t="s">
        <v>453</v>
      </c>
      <c r="D39" s="5" t="s">
        <v>174</v>
      </c>
      <c r="E39" s="5" t="s">
        <v>446</v>
      </c>
      <c r="F39" s="5" t="s">
        <v>56</v>
      </c>
      <c r="G39" s="5" t="s">
        <v>454</v>
      </c>
      <c r="H39" s="5" t="s">
        <v>455</v>
      </c>
      <c r="I39" s="5" t="s">
        <v>456</v>
      </c>
      <c r="J39" s="5" t="s">
        <v>205</v>
      </c>
      <c r="K39" s="5" t="s">
        <v>457</v>
      </c>
      <c r="L39" s="5" t="s">
        <v>458</v>
      </c>
      <c r="M39" s="5" t="s">
        <v>459</v>
      </c>
      <c r="N39" s="5" t="s">
        <v>209</v>
      </c>
    </row>
    <row r="40" spans="1:14" ht="37.950000000000003" customHeight="1">
      <c r="A40" s="4" t="s">
        <v>175</v>
      </c>
      <c r="B40" s="4" t="s">
        <v>176</v>
      </c>
      <c r="C40" s="4" t="s">
        <v>460</v>
      </c>
      <c r="D40" s="4" t="s">
        <v>177</v>
      </c>
      <c r="E40" s="4" t="s">
        <v>446</v>
      </c>
      <c r="F40" s="4" t="s">
        <v>56</v>
      </c>
      <c r="G40" s="4" t="s">
        <v>461</v>
      </c>
      <c r="H40" s="4" t="s">
        <v>462</v>
      </c>
      <c r="I40" s="4" t="s">
        <v>463</v>
      </c>
      <c r="J40" s="4" t="s">
        <v>205</v>
      </c>
      <c r="K40" s="4" t="s">
        <v>464</v>
      </c>
      <c r="L40" s="4" t="s">
        <v>465</v>
      </c>
      <c r="M40" s="4" t="s">
        <v>466</v>
      </c>
      <c r="N40" s="4" t="s">
        <v>209</v>
      </c>
    </row>
    <row r="41" spans="1:14" ht="61.95" customHeight="1">
      <c r="A41" s="5" t="s">
        <v>178</v>
      </c>
      <c r="B41" s="5" t="s">
        <v>179</v>
      </c>
      <c r="C41" s="5" t="s">
        <v>467</v>
      </c>
      <c r="D41" s="5" t="s">
        <v>180</v>
      </c>
      <c r="E41" s="5" t="s">
        <v>211</v>
      </c>
      <c r="F41" s="5" t="s">
        <v>468</v>
      </c>
      <c r="G41" s="5" t="s">
        <v>469</v>
      </c>
      <c r="H41" s="5" t="s">
        <v>470</v>
      </c>
      <c r="I41" s="5" t="s">
        <v>471</v>
      </c>
      <c r="J41" s="5" t="s">
        <v>472</v>
      </c>
      <c r="K41" s="5" t="s">
        <v>473</v>
      </c>
      <c r="L41" s="5" t="s">
        <v>474</v>
      </c>
      <c r="M41" s="5" t="s">
        <v>475</v>
      </c>
      <c r="N41" s="5" t="s">
        <v>209</v>
      </c>
    </row>
    <row r="42" spans="1:14" ht="37.950000000000003" customHeight="1">
      <c r="A42" s="4" t="s">
        <v>181</v>
      </c>
      <c r="B42" s="4" t="s">
        <v>182</v>
      </c>
      <c r="C42" s="4" t="s">
        <v>476</v>
      </c>
      <c r="D42" s="4" t="s">
        <v>183</v>
      </c>
      <c r="E42" s="4" t="s">
        <v>446</v>
      </c>
      <c r="F42" s="4" t="s">
        <v>56</v>
      </c>
      <c r="G42" s="4" t="s">
        <v>477</v>
      </c>
      <c r="H42" s="4" t="s">
        <v>478</v>
      </c>
      <c r="I42" s="4" t="s">
        <v>479</v>
      </c>
      <c r="J42" s="4" t="s">
        <v>205</v>
      </c>
      <c r="K42" s="4" t="s">
        <v>480</v>
      </c>
      <c r="L42" s="4" t="s">
        <v>481</v>
      </c>
      <c r="M42" s="4" t="s">
        <v>482</v>
      </c>
      <c r="N42" s="4" t="s">
        <v>209</v>
      </c>
    </row>
    <row r="43" spans="1:14" ht="61.95" customHeight="1">
      <c r="A43" s="5" t="s">
        <v>184</v>
      </c>
      <c r="B43" s="5" t="s">
        <v>185</v>
      </c>
      <c r="C43" s="5" t="s">
        <v>483</v>
      </c>
      <c r="D43" s="5" t="s">
        <v>186</v>
      </c>
      <c r="E43" s="5" t="s">
        <v>211</v>
      </c>
      <c r="F43" s="5" t="s">
        <v>484</v>
      </c>
      <c r="G43" s="5" t="s">
        <v>485</v>
      </c>
      <c r="H43" s="5" t="s">
        <v>486</v>
      </c>
      <c r="I43" s="5" t="s">
        <v>487</v>
      </c>
      <c r="J43" s="5" t="s">
        <v>488</v>
      </c>
      <c r="K43" s="5" t="s">
        <v>489</v>
      </c>
      <c r="L43" s="5" t="s">
        <v>490</v>
      </c>
      <c r="M43" s="5" t="s">
        <v>491</v>
      </c>
      <c r="N43" s="5" t="s">
        <v>209</v>
      </c>
    </row>
  </sheetData>
  <mergeCells count="2">
    <mergeCell ref="A1:N1"/>
    <mergeCell ref="A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8"/>
  <sheetViews>
    <sheetView showGridLines="0" workbookViewId="0">
      <pane ySplit="3" topLeftCell="A4" activePane="bottomLeft" state="frozen"/>
      <selection pane="bottomLeft" sqref="A1:J1"/>
    </sheetView>
  </sheetViews>
  <sheetFormatPr defaultColWidth="9" defaultRowHeight="14.4"/>
  <cols>
    <col min="1" max="1" width="20" customWidth="1"/>
    <col min="2" max="2" width="13" customWidth="1"/>
    <col min="3" max="3" width="17" customWidth="1"/>
    <col min="4" max="4" width="24" customWidth="1"/>
    <col min="5" max="5" width="11" customWidth="1"/>
    <col min="6" max="6" width="100" customWidth="1"/>
    <col min="7" max="7" width="48" customWidth="1"/>
    <col min="8" max="8" width="13" customWidth="1"/>
    <col min="9" max="9" width="35" customWidth="1"/>
    <col min="10" max="10" width="62" customWidth="1"/>
  </cols>
  <sheetData>
    <row r="1" spans="1:10" ht="34.049999999999997" customHeight="1">
      <c r="A1" s="9" t="s">
        <v>1105</v>
      </c>
      <c r="B1" s="9"/>
      <c r="C1" s="9"/>
      <c r="D1" s="9"/>
      <c r="E1" s="9"/>
      <c r="F1" s="9"/>
      <c r="G1" s="9"/>
      <c r="H1" s="9"/>
      <c r="I1" s="9"/>
      <c r="J1" s="9"/>
    </row>
    <row r="2" spans="1:10" ht="31.95" customHeight="1">
      <c r="A2" s="10" t="s">
        <v>1106</v>
      </c>
      <c r="B2" s="10"/>
      <c r="C2" s="10"/>
      <c r="D2" s="10"/>
      <c r="E2" s="10"/>
      <c r="F2" s="10"/>
      <c r="G2" s="10"/>
      <c r="H2" s="10"/>
      <c r="I2" s="10"/>
      <c r="J2" s="10"/>
    </row>
    <row r="3" spans="1:10" ht="28.05" customHeight="1">
      <c r="A3" s="3" t="s">
        <v>492</v>
      </c>
      <c r="B3" s="3" t="s">
        <v>23</v>
      </c>
      <c r="C3" s="3" t="s">
        <v>493</v>
      </c>
      <c r="D3" s="3" t="s">
        <v>494</v>
      </c>
      <c r="E3" s="3" t="s">
        <v>495</v>
      </c>
      <c r="F3" s="3" t="s">
        <v>496</v>
      </c>
      <c r="G3" s="3" t="s">
        <v>497</v>
      </c>
      <c r="H3" s="3" t="s">
        <v>498</v>
      </c>
      <c r="I3" s="3" t="s">
        <v>499</v>
      </c>
      <c r="J3" s="3" t="s">
        <v>500</v>
      </c>
    </row>
    <row r="4" spans="1:10" ht="37.950000000000003" customHeight="1">
      <c r="A4" s="4" t="s">
        <v>501</v>
      </c>
      <c r="B4" s="4" t="s">
        <v>502</v>
      </c>
      <c r="C4" s="4" t="s">
        <v>503</v>
      </c>
      <c r="D4" s="4" t="s">
        <v>504</v>
      </c>
      <c r="E4" s="4" t="s">
        <v>79</v>
      </c>
      <c r="F4" s="4" t="s">
        <v>505</v>
      </c>
      <c r="G4" s="4" t="s">
        <v>506</v>
      </c>
      <c r="H4" s="4" t="s">
        <v>80</v>
      </c>
      <c r="I4" s="4" t="s">
        <v>507</v>
      </c>
      <c r="J4" s="4" t="s">
        <v>508</v>
      </c>
    </row>
    <row r="5" spans="1:10" ht="37.950000000000003" customHeight="1">
      <c r="A5" s="5" t="s">
        <v>509</v>
      </c>
      <c r="B5" s="5" t="s">
        <v>510</v>
      </c>
      <c r="C5" s="5" t="s">
        <v>511</v>
      </c>
      <c r="D5" s="5" t="s">
        <v>512</v>
      </c>
      <c r="E5" s="5" t="s">
        <v>55</v>
      </c>
      <c r="F5" s="5" t="s">
        <v>513</v>
      </c>
      <c r="G5" s="5" t="s">
        <v>514</v>
      </c>
      <c r="H5" s="5" t="s">
        <v>80</v>
      </c>
      <c r="I5" s="5" t="s">
        <v>507</v>
      </c>
      <c r="J5" s="5" t="s">
        <v>515</v>
      </c>
    </row>
    <row r="6" spans="1:10" ht="37.950000000000003" customHeight="1">
      <c r="A6" s="4" t="s">
        <v>516</v>
      </c>
      <c r="B6" s="4" t="s">
        <v>517</v>
      </c>
      <c r="C6" s="4" t="s">
        <v>518</v>
      </c>
      <c r="D6" s="4" t="s">
        <v>519</v>
      </c>
      <c r="E6" s="4" t="s">
        <v>79</v>
      </c>
      <c r="F6" s="4" t="s">
        <v>520</v>
      </c>
      <c r="G6" s="4" t="s">
        <v>506</v>
      </c>
      <c r="H6" s="4" t="s">
        <v>80</v>
      </c>
      <c r="I6" s="4" t="s">
        <v>507</v>
      </c>
      <c r="J6" s="4" t="s">
        <v>521</v>
      </c>
    </row>
    <row r="7" spans="1:10" ht="37.950000000000003" customHeight="1">
      <c r="A7" s="5" t="s">
        <v>522</v>
      </c>
      <c r="B7" s="5" t="s">
        <v>523</v>
      </c>
      <c r="C7" s="5" t="s">
        <v>524</v>
      </c>
      <c r="D7" s="5" t="s">
        <v>525</v>
      </c>
      <c r="E7" s="5" t="s">
        <v>526</v>
      </c>
      <c r="F7" s="5" t="s">
        <v>527</v>
      </c>
      <c r="G7" s="5" t="s">
        <v>528</v>
      </c>
      <c r="H7" s="5" t="s">
        <v>529</v>
      </c>
      <c r="I7" s="5" t="s">
        <v>507</v>
      </c>
      <c r="J7" s="5" t="s">
        <v>530</v>
      </c>
    </row>
    <row r="8" spans="1:10" ht="37.950000000000003" customHeight="1">
      <c r="A8" s="4" t="s">
        <v>531</v>
      </c>
      <c r="B8" s="4" t="s">
        <v>532</v>
      </c>
      <c r="C8" s="4" t="s">
        <v>533</v>
      </c>
      <c r="D8" s="4" t="s">
        <v>534</v>
      </c>
      <c r="E8" s="4" t="s">
        <v>55</v>
      </c>
      <c r="F8" s="4" t="s">
        <v>535</v>
      </c>
      <c r="G8" s="4" t="s">
        <v>536</v>
      </c>
      <c r="H8" s="4" t="s">
        <v>529</v>
      </c>
      <c r="I8" s="4" t="s">
        <v>507</v>
      </c>
      <c r="J8" s="4" t="s">
        <v>537</v>
      </c>
    </row>
  </sheetData>
  <mergeCells count="2">
    <mergeCell ref="A1:J1"/>
    <mergeCell ref="A2:J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1"/>
  <sheetViews>
    <sheetView showGridLines="0" workbookViewId="0">
      <pane ySplit="3" topLeftCell="A10" activePane="bottomLeft" state="frozen"/>
      <selection pane="bottomLeft" activeCell="D12" sqref="D12"/>
    </sheetView>
  </sheetViews>
  <sheetFormatPr defaultColWidth="9" defaultRowHeight="14.4"/>
  <cols>
    <col min="1" max="1" width="18" customWidth="1"/>
    <col min="2" max="2" width="13" customWidth="1"/>
    <col min="3" max="3" width="30" customWidth="1"/>
    <col min="4" max="4" width="110" customWidth="1"/>
    <col min="5" max="5" width="34" customWidth="1"/>
    <col min="6" max="6" width="26" customWidth="1"/>
  </cols>
  <sheetData>
    <row r="1" spans="1:6" ht="34.049999999999997" customHeight="1">
      <c r="A1" s="9" t="s">
        <v>538</v>
      </c>
      <c r="B1" s="9"/>
      <c r="C1" s="9"/>
      <c r="D1" s="9"/>
      <c r="E1" s="9"/>
      <c r="F1" s="9"/>
    </row>
    <row r="2" spans="1:6" ht="31.95" customHeight="1">
      <c r="A2" s="10" t="s">
        <v>539</v>
      </c>
      <c r="B2" s="10"/>
      <c r="C2" s="10"/>
      <c r="D2" s="10"/>
      <c r="E2" s="10"/>
      <c r="F2" s="10"/>
    </row>
    <row r="3" spans="1:6" ht="28.05" customHeight="1">
      <c r="A3" s="3" t="s">
        <v>540</v>
      </c>
      <c r="B3" s="3" t="s">
        <v>541</v>
      </c>
      <c r="C3" s="3" t="s">
        <v>23</v>
      </c>
      <c r="D3" s="3" t="s">
        <v>542</v>
      </c>
      <c r="E3" s="3" t="s">
        <v>199</v>
      </c>
      <c r="F3" s="3" t="s">
        <v>543</v>
      </c>
    </row>
    <row r="4" spans="1:6" ht="37.950000000000003" customHeight="1">
      <c r="A4" s="4" t="s">
        <v>544</v>
      </c>
      <c r="B4" s="4">
        <v>1</v>
      </c>
      <c r="C4" s="4" t="s">
        <v>545</v>
      </c>
      <c r="D4" s="4" t="s">
        <v>546</v>
      </c>
      <c r="E4" s="4" t="s">
        <v>547</v>
      </c>
      <c r="F4" s="4" t="s">
        <v>548</v>
      </c>
    </row>
    <row r="5" spans="1:6" ht="37.950000000000003" customHeight="1">
      <c r="A5" s="5" t="s">
        <v>544</v>
      </c>
      <c r="B5" s="5">
        <v>3</v>
      </c>
      <c r="C5" s="5" t="s">
        <v>549</v>
      </c>
      <c r="D5" s="5" t="s">
        <v>550</v>
      </c>
      <c r="E5" s="5" t="s">
        <v>547</v>
      </c>
      <c r="F5" s="5" t="s">
        <v>551</v>
      </c>
    </row>
    <row r="6" spans="1:6" ht="37.950000000000003" customHeight="1">
      <c r="A6" s="4" t="s">
        <v>544</v>
      </c>
      <c r="B6" s="4">
        <v>7</v>
      </c>
      <c r="C6" s="4" t="s">
        <v>552</v>
      </c>
      <c r="D6" s="4" t="s">
        <v>553</v>
      </c>
      <c r="E6" s="4" t="s">
        <v>547</v>
      </c>
      <c r="F6" s="4" t="s">
        <v>554</v>
      </c>
    </row>
    <row r="7" spans="1:6" ht="37.950000000000003" customHeight="1">
      <c r="A7" s="5" t="s">
        <v>555</v>
      </c>
      <c r="B7" s="5">
        <v>1</v>
      </c>
      <c r="C7" s="5" t="s">
        <v>556</v>
      </c>
      <c r="D7" s="5" t="s">
        <v>557</v>
      </c>
      <c r="E7" s="5" t="s">
        <v>547</v>
      </c>
      <c r="F7" s="5" t="s">
        <v>558</v>
      </c>
    </row>
    <row r="8" spans="1:6" ht="37.950000000000003" customHeight="1">
      <c r="A8" s="4" t="s">
        <v>555</v>
      </c>
      <c r="B8" s="4">
        <v>2</v>
      </c>
      <c r="C8" s="4" t="s">
        <v>559</v>
      </c>
      <c r="D8" s="4" t="s">
        <v>560</v>
      </c>
      <c r="E8" s="4" t="s">
        <v>547</v>
      </c>
      <c r="F8" s="4" t="s">
        <v>561</v>
      </c>
    </row>
    <row r="9" spans="1:6" ht="37.950000000000003" customHeight="1">
      <c r="A9" s="5" t="s">
        <v>555</v>
      </c>
      <c r="B9" s="5">
        <v>5</v>
      </c>
      <c r="C9" s="5" t="s">
        <v>562</v>
      </c>
      <c r="D9" s="5" t="s">
        <v>563</v>
      </c>
      <c r="E9" s="5" t="s">
        <v>547</v>
      </c>
      <c r="F9" s="5" t="s">
        <v>564</v>
      </c>
    </row>
    <row r="10" spans="1:6" ht="37.950000000000003" customHeight="1">
      <c r="A10" s="4" t="s">
        <v>555</v>
      </c>
      <c r="B10" s="4">
        <v>7</v>
      </c>
      <c r="C10" s="4" t="s">
        <v>565</v>
      </c>
      <c r="D10" s="4" t="s">
        <v>566</v>
      </c>
      <c r="E10" s="4" t="s">
        <v>547</v>
      </c>
      <c r="F10" s="4" t="s">
        <v>567</v>
      </c>
    </row>
    <row r="11" spans="1:6" ht="37.950000000000003" customHeight="1">
      <c r="A11" s="5" t="s">
        <v>568</v>
      </c>
      <c r="B11" s="5">
        <v>1</v>
      </c>
      <c r="C11" s="5" t="s">
        <v>569</v>
      </c>
      <c r="D11" s="5" t="s">
        <v>570</v>
      </c>
      <c r="E11" s="5" t="s">
        <v>547</v>
      </c>
      <c r="F11" s="5" t="s">
        <v>571</v>
      </c>
    </row>
    <row r="12" spans="1:6" ht="37.950000000000003" customHeight="1">
      <c r="A12" s="4" t="s">
        <v>568</v>
      </c>
      <c r="B12" s="4">
        <v>2</v>
      </c>
      <c r="C12" s="4" t="s">
        <v>572</v>
      </c>
      <c r="D12" s="4" t="s">
        <v>573</v>
      </c>
      <c r="E12" s="4" t="s">
        <v>547</v>
      </c>
      <c r="F12" s="4" t="s">
        <v>574</v>
      </c>
    </row>
    <row r="13" spans="1:6" ht="37.950000000000003" customHeight="1">
      <c r="A13" s="5" t="s">
        <v>568</v>
      </c>
      <c r="B13" s="5">
        <v>4</v>
      </c>
      <c r="C13" s="5" t="s">
        <v>575</v>
      </c>
      <c r="D13" s="5" t="s">
        <v>576</v>
      </c>
      <c r="E13" s="5" t="s">
        <v>547</v>
      </c>
      <c r="F13" s="5" t="s">
        <v>574</v>
      </c>
    </row>
    <row r="14" spans="1:6" ht="37.950000000000003" customHeight="1">
      <c r="A14" s="4" t="s">
        <v>568</v>
      </c>
      <c r="B14" s="4">
        <v>7</v>
      </c>
      <c r="C14" s="4" t="s">
        <v>577</v>
      </c>
      <c r="D14" s="4" t="s">
        <v>578</v>
      </c>
      <c r="E14" s="4" t="s">
        <v>547</v>
      </c>
      <c r="F14" s="4" t="s">
        <v>579</v>
      </c>
    </row>
    <row r="15" spans="1:6" ht="37.950000000000003" customHeight="1">
      <c r="A15" s="5" t="s">
        <v>580</v>
      </c>
      <c r="B15" s="5">
        <v>1</v>
      </c>
      <c r="C15" s="5" t="s">
        <v>581</v>
      </c>
      <c r="D15" s="5" t="s">
        <v>582</v>
      </c>
      <c r="E15" s="5" t="s">
        <v>547</v>
      </c>
      <c r="F15" s="5" t="s">
        <v>583</v>
      </c>
    </row>
    <row r="16" spans="1:6" ht="37.950000000000003" customHeight="1">
      <c r="A16" s="4" t="s">
        <v>580</v>
      </c>
      <c r="B16" s="4">
        <v>2</v>
      </c>
      <c r="C16" s="4" t="s">
        <v>584</v>
      </c>
      <c r="D16" s="4" t="s">
        <v>585</v>
      </c>
      <c r="E16" s="4" t="s">
        <v>547</v>
      </c>
      <c r="F16" s="4" t="s">
        <v>586</v>
      </c>
    </row>
    <row r="17" spans="1:6" ht="37.950000000000003" customHeight="1">
      <c r="A17" s="5" t="s">
        <v>580</v>
      </c>
      <c r="B17" s="5">
        <v>7</v>
      </c>
      <c r="C17" s="5" t="s">
        <v>587</v>
      </c>
      <c r="D17" s="5" t="s">
        <v>588</v>
      </c>
      <c r="E17" s="5" t="s">
        <v>547</v>
      </c>
      <c r="F17" s="5" t="s">
        <v>589</v>
      </c>
    </row>
    <row r="18" spans="1:6" ht="37.950000000000003" customHeight="1">
      <c r="A18" s="4" t="s">
        <v>162</v>
      </c>
      <c r="B18" s="4">
        <v>1</v>
      </c>
      <c r="C18" s="4" t="s">
        <v>590</v>
      </c>
      <c r="D18" s="4" t="s">
        <v>591</v>
      </c>
      <c r="E18" s="4" t="s">
        <v>547</v>
      </c>
      <c r="F18" s="4" t="s">
        <v>592</v>
      </c>
    </row>
    <row r="19" spans="1:6" ht="37.950000000000003" customHeight="1">
      <c r="A19" s="5" t="s">
        <v>162</v>
      </c>
      <c r="B19" s="5">
        <v>2</v>
      </c>
      <c r="C19" s="5" t="s">
        <v>593</v>
      </c>
      <c r="D19" s="5" t="s">
        <v>594</v>
      </c>
      <c r="E19" s="5" t="s">
        <v>547</v>
      </c>
      <c r="F19" s="5" t="s">
        <v>595</v>
      </c>
    </row>
    <row r="20" spans="1:6" ht="37.950000000000003" customHeight="1">
      <c r="A20" s="4" t="s">
        <v>162</v>
      </c>
      <c r="B20" s="4">
        <v>4</v>
      </c>
      <c r="C20" s="4" t="s">
        <v>596</v>
      </c>
      <c r="D20" s="4" t="s">
        <v>597</v>
      </c>
      <c r="E20" s="4" t="s">
        <v>547</v>
      </c>
      <c r="F20" s="4" t="s">
        <v>598</v>
      </c>
    </row>
    <row r="21" spans="1:6" ht="37.950000000000003" customHeight="1">
      <c r="A21" s="5" t="s">
        <v>162</v>
      </c>
      <c r="B21" s="5">
        <v>7</v>
      </c>
      <c r="C21" s="5" t="s">
        <v>599</v>
      </c>
      <c r="D21" s="5" t="s">
        <v>600</v>
      </c>
      <c r="E21" s="5" t="s">
        <v>547</v>
      </c>
      <c r="F21" s="5" t="s">
        <v>601</v>
      </c>
    </row>
  </sheetData>
  <mergeCells count="2">
    <mergeCell ref="A1:F1"/>
    <mergeCell ref="A2:F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T19"/>
  <sheetViews>
    <sheetView showGridLines="0" workbookViewId="0">
      <pane ySplit="3" topLeftCell="A4" activePane="bottomLeft" state="frozen"/>
      <selection pane="bottomLeft" sqref="A1:T1"/>
    </sheetView>
  </sheetViews>
  <sheetFormatPr defaultColWidth="9" defaultRowHeight="14.4"/>
  <cols>
    <col min="1" max="1" width="23" customWidth="1"/>
    <col min="2" max="2" width="16" customWidth="1"/>
    <col min="3" max="3" width="12" customWidth="1"/>
    <col min="4" max="4" width="11" customWidth="1"/>
    <col min="5" max="9" width="12" customWidth="1"/>
    <col min="10" max="10" width="15" customWidth="1"/>
    <col min="11" max="11" width="13" customWidth="1"/>
    <col min="12" max="12" width="17" customWidth="1"/>
    <col min="13" max="13" width="13" customWidth="1"/>
    <col min="14" max="14" width="24" customWidth="1"/>
    <col min="15" max="15" width="19" customWidth="1"/>
    <col min="16" max="16" width="23" customWidth="1"/>
    <col min="17" max="17" width="25" customWidth="1"/>
    <col min="18" max="18" width="26" customWidth="1"/>
    <col min="19" max="19" width="15" customWidth="1"/>
    <col min="20" max="20" width="60" customWidth="1"/>
  </cols>
  <sheetData>
    <row r="1" spans="1:20" ht="34.049999999999997" customHeight="1">
      <c r="A1" s="9" t="s">
        <v>602</v>
      </c>
      <c r="B1" s="9"/>
      <c r="C1" s="9"/>
      <c r="D1" s="9"/>
      <c r="E1" s="9"/>
      <c r="F1" s="9"/>
      <c r="G1" s="9"/>
      <c r="H1" s="9"/>
      <c r="I1" s="9"/>
      <c r="J1" s="9"/>
      <c r="K1" s="9"/>
      <c r="L1" s="9"/>
      <c r="M1" s="9"/>
      <c r="N1" s="9"/>
      <c r="O1" s="9"/>
      <c r="P1" s="9"/>
      <c r="Q1" s="9"/>
      <c r="R1" s="9"/>
      <c r="S1" s="9"/>
      <c r="T1" s="9"/>
    </row>
    <row r="2" spans="1:20" ht="31.95" customHeight="1">
      <c r="A2" s="10" t="s">
        <v>603</v>
      </c>
      <c r="B2" s="10"/>
      <c r="C2" s="10"/>
      <c r="D2" s="10"/>
      <c r="E2" s="10"/>
      <c r="F2" s="10"/>
      <c r="G2" s="10"/>
      <c r="H2" s="10"/>
      <c r="I2" s="10"/>
      <c r="J2" s="10"/>
      <c r="K2" s="10"/>
      <c r="L2" s="10"/>
      <c r="M2" s="10"/>
      <c r="N2" s="10"/>
      <c r="O2" s="10"/>
      <c r="P2" s="10"/>
      <c r="Q2" s="10"/>
      <c r="R2" s="10"/>
      <c r="S2" s="10"/>
      <c r="T2" s="10"/>
    </row>
    <row r="3" spans="1:20" ht="28.05" customHeight="1">
      <c r="A3" s="3" t="s">
        <v>22</v>
      </c>
      <c r="B3" s="3" t="s">
        <v>23</v>
      </c>
      <c r="C3" s="3" t="s">
        <v>604</v>
      </c>
      <c r="D3" s="3" t="s">
        <v>25</v>
      </c>
      <c r="E3" s="3" t="s">
        <v>605</v>
      </c>
      <c r="F3" s="3" t="s">
        <v>606</v>
      </c>
      <c r="G3" s="3" t="s">
        <v>607</v>
      </c>
      <c r="H3" s="3" t="s">
        <v>40</v>
      </c>
      <c r="I3" s="3" t="s">
        <v>42</v>
      </c>
      <c r="J3" s="3" t="s">
        <v>44</v>
      </c>
      <c r="K3" s="3" t="s">
        <v>608</v>
      </c>
      <c r="L3" s="3" t="s">
        <v>609</v>
      </c>
      <c r="M3" s="3" t="s">
        <v>610</v>
      </c>
      <c r="N3" s="3" t="s">
        <v>611</v>
      </c>
      <c r="O3" s="3" t="s">
        <v>612</v>
      </c>
      <c r="P3" s="3" t="s">
        <v>613</v>
      </c>
      <c r="Q3" s="3" t="s">
        <v>614</v>
      </c>
      <c r="R3" s="3" t="s">
        <v>615</v>
      </c>
      <c r="S3" s="3" t="s">
        <v>616</v>
      </c>
      <c r="T3" s="3" t="s">
        <v>617</v>
      </c>
    </row>
    <row r="4" spans="1:20" ht="37.950000000000003" customHeight="1">
      <c r="A4" s="4" t="s">
        <v>618</v>
      </c>
      <c r="B4" s="4" t="s">
        <v>619</v>
      </c>
      <c r="C4" s="4" t="s">
        <v>620</v>
      </c>
      <c r="D4" s="4" t="s">
        <v>60</v>
      </c>
      <c r="E4" s="4">
        <v>660</v>
      </c>
      <c r="F4" s="4">
        <v>35</v>
      </c>
      <c r="G4" s="4">
        <v>3</v>
      </c>
      <c r="H4" s="4">
        <v>1.1499999999999999</v>
      </c>
      <c r="I4" s="4">
        <v>32</v>
      </c>
      <c r="J4" s="4">
        <v>192.5</v>
      </c>
      <c r="K4" s="4">
        <v>40.299999999999997</v>
      </c>
      <c r="L4" s="4">
        <v>420</v>
      </c>
      <c r="M4" s="4">
        <v>680</v>
      </c>
      <c r="N4" s="4" t="s">
        <v>621</v>
      </c>
      <c r="O4" s="4" t="s">
        <v>622</v>
      </c>
      <c r="P4" s="4" t="s">
        <v>623</v>
      </c>
      <c r="Q4" s="4" t="s">
        <v>624</v>
      </c>
      <c r="R4" s="4" t="s">
        <v>625</v>
      </c>
      <c r="S4" s="4" t="s">
        <v>626</v>
      </c>
      <c r="T4" s="4" t="s">
        <v>392</v>
      </c>
    </row>
    <row r="5" spans="1:20" ht="37.950000000000003" customHeight="1">
      <c r="A5" s="5" t="s">
        <v>627</v>
      </c>
      <c r="B5" s="5" t="s">
        <v>628</v>
      </c>
      <c r="C5" s="5" t="s">
        <v>620</v>
      </c>
      <c r="D5" s="5" t="s">
        <v>60</v>
      </c>
      <c r="E5" s="5">
        <v>600</v>
      </c>
      <c r="F5" s="5">
        <v>26</v>
      </c>
      <c r="G5" s="5">
        <v>4</v>
      </c>
      <c r="H5" s="5">
        <v>1.05</v>
      </c>
      <c r="I5" s="5">
        <v>248</v>
      </c>
      <c r="J5" s="5">
        <v>176</v>
      </c>
      <c r="K5" s="5">
        <v>27.3</v>
      </c>
      <c r="L5" s="5">
        <v>260</v>
      </c>
      <c r="M5" s="5">
        <v>624</v>
      </c>
      <c r="N5" s="5" t="s">
        <v>629</v>
      </c>
      <c r="O5" s="5" t="s">
        <v>622</v>
      </c>
      <c r="P5" s="5" t="s">
        <v>623</v>
      </c>
      <c r="Q5" s="5" t="s">
        <v>624</v>
      </c>
      <c r="R5" s="5" t="s">
        <v>625</v>
      </c>
      <c r="S5" s="5" t="s">
        <v>626</v>
      </c>
      <c r="T5" s="5" t="s">
        <v>392</v>
      </c>
    </row>
    <row r="6" spans="1:20" ht="37.950000000000003" customHeight="1">
      <c r="A6" s="4" t="s">
        <v>630</v>
      </c>
      <c r="B6" s="4" t="s">
        <v>631</v>
      </c>
      <c r="C6" s="4" t="s">
        <v>620</v>
      </c>
      <c r="D6" s="4" t="s">
        <v>60</v>
      </c>
      <c r="E6" s="4">
        <v>520</v>
      </c>
      <c r="F6" s="4">
        <v>20</v>
      </c>
      <c r="G6" s="4">
        <v>6</v>
      </c>
      <c r="H6" s="4">
        <v>1</v>
      </c>
      <c r="I6" s="4">
        <v>248</v>
      </c>
      <c r="J6" s="4">
        <v>176</v>
      </c>
      <c r="K6" s="4">
        <v>20</v>
      </c>
      <c r="L6" s="4">
        <v>200</v>
      </c>
      <c r="M6" s="4">
        <v>551</v>
      </c>
      <c r="N6" s="4" t="s">
        <v>632</v>
      </c>
      <c r="O6" s="4" t="s">
        <v>622</v>
      </c>
      <c r="P6" s="4" t="s">
        <v>623</v>
      </c>
      <c r="Q6" s="4" t="s">
        <v>624</v>
      </c>
      <c r="R6" s="4" t="s">
        <v>625</v>
      </c>
      <c r="S6" s="4" t="s">
        <v>626</v>
      </c>
      <c r="T6" s="4" t="s">
        <v>392</v>
      </c>
    </row>
    <row r="7" spans="1:20" ht="37.950000000000003" customHeight="1">
      <c r="A7" s="5" t="s">
        <v>633</v>
      </c>
      <c r="B7" s="5" t="s">
        <v>634</v>
      </c>
      <c r="C7" s="5" t="s">
        <v>620</v>
      </c>
      <c r="D7" s="5" t="s">
        <v>60</v>
      </c>
      <c r="E7" s="5">
        <v>1040</v>
      </c>
      <c r="F7" s="5">
        <v>44</v>
      </c>
      <c r="G7" s="5">
        <v>10</v>
      </c>
      <c r="H7" s="5">
        <v>0.85</v>
      </c>
      <c r="I7" s="5">
        <v>32</v>
      </c>
      <c r="J7" s="5">
        <v>165</v>
      </c>
      <c r="K7" s="5">
        <v>37.4</v>
      </c>
      <c r="L7" s="5">
        <v>396</v>
      </c>
      <c r="M7" s="5">
        <v>1144</v>
      </c>
      <c r="N7" s="5" t="s">
        <v>635</v>
      </c>
      <c r="O7" s="5" t="s">
        <v>622</v>
      </c>
      <c r="P7" s="5" t="s">
        <v>623</v>
      </c>
      <c r="Q7" s="5" t="s">
        <v>624</v>
      </c>
      <c r="R7" s="5" t="s">
        <v>625</v>
      </c>
      <c r="S7" s="5" t="s">
        <v>626</v>
      </c>
      <c r="T7" s="5" t="s">
        <v>392</v>
      </c>
    </row>
    <row r="8" spans="1:20" ht="37.950000000000003" customHeight="1">
      <c r="A8" s="4" t="s">
        <v>636</v>
      </c>
      <c r="B8" s="4" t="s">
        <v>637</v>
      </c>
      <c r="C8" s="4" t="s">
        <v>620</v>
      </c>
      <c r="D8" s="4" t="s">
        <v>60</v>
      </c>
      <c r="E8" s="4">
        <v>660</v>
      </c>
      <c r="F8" s="4">
        <v>73</v>
      </c>
      <c r="G8" s="4">
        <v>4</v>
      </c>
      <c r="H8" s="4">
        <v>1.2</v>
      </c>
      <c r="I8" s="4">
        <v>248</v>
      </c>
      <c r="J8" s="4">
        <v>181.5</v>
      </c>
      <c r="K8" s="4">
        <v>87.6</v>
      </c>
      <c r="L8" s="4">
        <v>876</v>
      </c>
      <c r="M8" s="4">
        <v>686</v>
      </c>
      <c r="N8" s="4" t="s">
        <v>638</v>
      </c>
      <c r="O8" s="4" t="s">
        <v>622</v>
      </c>
      <c r="P8" s="4" t="s">
        <v>623</v>
      </c>
      <c r="Q8" s="4" t="s">
        <v>624</v>
      </c>
      <c r="R8" s="4" t="s">
        <v>625</v>
      </c>
      <c r="S8" s="4" t="s">
        <v>626</v>
      </c>
      <c r="T8" s="4" t="s">
        <v>392</v>
      </c>
    </row>
    <row r="9" spans="1:20" ht="37.950000000000003" customHeight="1">
      <c r="A9" s="5" t="s">
        <v>639</v>
      </c>
      <c r="B9" s="5" t="s">
        <v>640</v>
      </c>
      <c r="C9" s="5" t="s">
        <v>620</v>
      </c>
      <c r="D9" s="5" t="s">
        <v>60</v>
      </c>
      <c r="E9" s="5">
        <v>720</v>
      </c>
      <c r="F9" s="5">
        <v>26</v>
      </c>
      <c r="G9" s="5">
        <v>5</v>
      </c>
      <c r="H9" s="5">
        <v>1</v>
      </c>
      <c r="I9" s="5">
        <v>248</v>
      </c>
      <c r="J9" s="5">
        <v>176</v>
      </c>
      <c r="K9" s="5">
        <v>26</v>
      </c>
      <c r="L9" s="5">
        <v>260</v>
      </c>
      <c r="M9" s="5">
        <v>756</v>
      </c>
      <c r="N9" s="5" t="s">
        <v>641</v>
      </c>
      <c r="O9" s="5" t="s">
        <v>622</v>
      </c>
      <c r="P9" s="5" t="s">
        <v>623</v>
      </c>
      <c r="Q9" s="5" t="s">
        <v>624</v>
      </c>
      <c r="R9" s="5" t="s">
        <v>625</v>
      </c>
      <c r="S9" s="5" t="s">
        <v>626</v>
      </c>
      <c r="T9" s="5" t="s">
        <v>392</v>
      </c>
    </row>
    <row r="10" spans="1:20" ht="37.950000000000003" customHeight="1">
      <c r="A10" s="4" t="s">
        <v>642</v>
      </c>
      <c r="B10" s="4" t="s">
        <v>643</v>
      </c>
      <c r="C10" s="4" t="s">
        <v>644</v>
      </c>
      <c r="D10" s="4" t="s">
        <v>64</v>
      </c>
      <c r="E10" s="4">
        <v>840</v>
      </c>
      <c r="F10" s="4">
        <v>31</v>
      </c>
      <c r="G10" s="4">
        <v>16</v>
      </c>
      <c r="H10" s="4">
        <v>0.8</v>
      </c>
      <c r="I10" s="4">
        <v>32</v>
      </c>
      <c r="J10" s="4">
        <v>159.5</v>
      </c>
      <c r="K10" s="4">
        <v>24.8</v>
      </c>
      <c r="L10" s="4">
        <v>248</v>
      </c>
      <c r="M10" s="4">
        <v>974</v>
      </c>
      <c r="N10" s="4" t="s">
        <v>645</v>
      </c>
      <c r="O10" s="4" t="s">
        <v>622</v>
      </c>
      <c r="P10" s="4" t="s">
        <v>623</v>
      </c>
      <c r="Q10" s="4" t="s">
        <v>624</v>
      </c>
      <c r="R10" s="4" t="s">
        <v>625</v>
      </c>
      <c r="S10" s="4" t="s">
        <v>626</v>
      </c>
      <c r="T10" s="4" t="s">
        <v>392</v>
      </c>
    </row>
    <row r="11" spans="1:20" ht="37.950000000000003" customHeight="1">
      <c r="A11" s="5" t="s">
        <v>646</v>
      </c>
      <c r="B11" s="5" t="s">
        <v>647</v>
      </c>
      <c r="C11" s="5" t="s">
        <v>644</v>
      </c>
      <c r="D11" s="5" t="s">
        <v>64</v>
      </c>
      <c r="E11" s="5">
        <v>760</v>
      </c>
      <c r="F11" s="5">
        <v>33</v>
      </c>
      <c r="G11" s="5">
        <v>12</v>
      </c>
      <c r="H11" s="5">
        <v>0.85</v>
      </c>
      <c r="I11" s="5">
        <v>32</v>
      </c>
      <c r="J11" s="5">
        <v>154</v>
      </c>
      <c r="K11" s="5">
        <v>28.1</v>
      </c>
      <c r="L11" s="5">
        <v>297</v>
      </c>
      <c r="M11" s="5">
        <v>851</v>
      </c>
      <c r="N11" s="5" t="s">
        <v>648</v>
      </c>
      <c r="O11" s="5" t="s">
        <v>622</v>
      </c>
      <c r="P11" s="5" t="s">
        <v>623</v>
      </c>
      <c r="Q11" s="5" t="s">
        <v>624</v>
      </c>
      <c r="R11" s="5" t="s">
        <v>625</v>
      </c>
      <c r="S11" s="5" t="s">
        <v>626</v>
      </c>
      <c r="T11" s="5" t="s">
        <v>392</v>
      </c>
    </row>
    <row r="12" spans="1:20" ht="37.950000000000003" customHeight="1">
      <c r="A12" s="4" t="s">
        <v>649</v>
      </c>
      <c r="B12" s="4" t="s">
        <v>650</v>
      </c>
      <c r="C12" s="4" t="s">
        <v>644</v>
      </c>
      <c r="D12" s="4" t="s">
        <v>64</v>
      </c>
      <c r="E12" s="4">
        <v>680</v>
      </c>
      <c r="F12" s="4">
        <v>57</v>
      </c>
      <c r="G12" s="4">
        <v>8</v>
      </c>
      <c r="H12" s="4">
        <v>1</v>
      </c>
      <c r="I12" s="4">
        <v>32</v>
      </c>
      <c r="J12" s="4">
        <v>170.5</v>
      </c>
      <c r="K12" s="4">
        <v>57</v>
      </c>
      <c r="L12" s="4">
        <v>570</v>
      </c>
      <c r="M12" s="4">
        <v>734</v>
      </c>
      <c r="N12" s="4" t="s">
        <v>651</v>
      </c>
      <c r="O12" s="4" t="s">
        <v>622</v>
      </c>
      <c r="P12" s="4" t="s">
        <v>623</v>
      </c>
      <c r="Q12" s="4" t="s">
        <v>624</v>
      </c>
      <c r="R12" s="4" t="s">
        <v>625</v>
      </c>
      <c r="S12" s="4" t="s">
        <v>626</v>
      </c>
      <c r="T12" s="4" t="s">
        <v>392</v>
      </c>
    </row>
    <row r="13" spans="1:20" ht="37.950000000000003" customHeight="1">
      <c r="A13" s="5" t="s">
        <v>652</v>
      </c>
      <c r="B13" s="5" t="s">
        <v>653</v>
      </c>
      <c r="C13" s="5" t="s">
        <v>644</v>
      </c>
      <c r="D13" s="5" t="s">
        <v>64</v>
      </c>
      <c r="E13" s="5">
        <v>900</v>
      </c>
      <c r="F13" s="5">
        <v>31</v>
      </c>
      <c r="G13" s="5">
        <v>18</v>
      </c>
      <c r="H13" s="5">
        <v>0.75</v>
      </c>
      <c r="I13" s="5">
        <v>32</v>
      </c>
      <c r="J13" s="5">
        <v>148.5</v>
      </c>
      <c r="K13" s="5">
        <v>23.3</v>
      </c>
      <c r="L13" s="5">
        <v>248</v>
      </c>
      <c r="M13" s="5">
        <v>1062</v>
      </c>
      <c r="N13" s="5" t="s">
        <v>654</v>
      </c>
      <c r="O13" s="5" t="s">
        <v>622</v>
      </c>
      <c r="P13" s="5" t="s">
        <v>623</v>
      </c>
      <c r="Q13" s="5" t="s">
        <v>624</v>
      </c>
      <c r="R13" s="5" t="s">
        <v>625</v>
      </c>
      <c r="S13" s="5" t="s">
        <v>626</v>
      </c>
      <c r="T13" s="5" t="s">
        <v>392</v>
      </c>
    </row>
    <row r="14" spans="1:20" ht="37.950000000000003" customHeight="1">
      <c r="A14" s="4" t="s">
        <v>655</v>
      </c>
      <c r="B14" s="4" t="s">
        <v>656</v>
      </c>
      <c r="C14" s="4" t="s">
        <v>644</v>
      </c>
      <c r="D14" s="4" t="s">
        <v>64</v>
      </c>
      <c r="E14" s="4">
        <v>1120</v>
      </c>
      <c r="F14" s="4">
        <v>26</v>
      </c>
      <c r="G14" s="4">
        <v>16</v>
      </c>
      <c r="H14" s="4">
        <v>0.8</v>
      </c>
      <c r="I14" s="4">
        <v>248</v>
      </c>
      <c r="J14" s="4">
        <v>143</v>
      </c>
      <c r="K14" s="4">
        <v>20.8</v>
      </c>
      <c r="L14" s="4">
        <v>208</v>
      </c>
      <c r="M14" s="4">
        <v>1299</v>
      </c>
      <c r="N14" s="4" t="s">
        <v>657</v>
      </c>
      <c r="O14" s="4" t="s">
        <v>622</v>
      </c>
      <c r="P14" s="4" t="s">
        <v>623</v>
      </c>
      <c r="Q14" s="4" t="s">
        <v>624</v>
      </c>
      <c r="R14" s="4" t="s">
        <v>625</v>
      </c>
      <c r="S14" s="4" t="s">
        <v>626</v>
      </c>
      <c r="T14" s="4" t="s">
        <v>392</v>
      </c>
    </row>
    <row r="15" spans="1:20" ht="37.950000000000003" customHeight="1">
      <c r="A15" s="5" t="s">
        <v>658</v>
      </c>
      <c r="B15" s="5" t="s">
        <v>659</v>
      </c>
      <c r="C15" s="5" t="s">
        <v>644</v>
      </c>
      <c r="D15" s="5" t="s">
        <v>64</v>
      </c>
      <c r="E15" s="5">
        <v>1400</v>
      </c>
      <c r="F15" s="5">
        <v>44</v>
      </c>
      <c r="G15" s="5">
        <v>20</v>
      </c>
      <c r="H15" s="5">
        <v>0.7</v>
      </c>
      <c r="I15" s="5">
        <v>32</v>
      </c>
      <c r="J15" s="5">
        <v>137.5</v>
      </c>
      <c r="K15" s="5">
        <v>30.8</v>
      </c>
      <c r="L15" s="5">
        <v>308</v>
      </c>
      <c r="M15" s="5">
        <v>1680</v>
      </c>
      <c r="N15" s="5" t="s">
        <v>660</v>
      </c>
      <c r="O15" s="5" t="s">
        <v>622</v>
      </c>
      <c r="P15" s="5" t="s">
        <v>623</v>
      </c>
      <c r="Q15" s="5" t="s">
        <v>624</v>
      </c>
      <c r="R15" s="5" t="s">
        <v>625</v>
      </c>
      <c r="S15" s="5" t="s">
        <v>626</v>
      </c>
      <c r="T15" s="5" t="s">
        <v>392</v>
      </c>
    </row>
    <row r="16" spans="1:20" ht="37.950000000000003" customHeight="1">
      <c r="A16" s="4" t="s">
        <v>661</v>
      </c>
      <c r="B16" s="4" t="s">
        <v>662</v>
      </c>
      <c r="C16" s="4" t="s">
        <v>663</v>
      </c>
      <c r="D16" s="4" t="s">
        <v>54</v>
      </c>
      <c r="E16" s="4">
        <v>480</v>
      </c>
      <c r="F16" s="4">
        <v>37</v>
      </c>
      <c r="G16" s="4">
        <v>4</v>
      </c>
      <c r="H16" s="4">
        <v>1.2</v>
      </c>
      <c r="I16" s="4">
        <v>32</v>
      </c>
      <c r="J16" s="4">
        <v>198</v>
      </c>
      <c r="K16" s="4">
        <v>44.4</v>
      </c>
      <c r="L16" s="4">
        <v>444</v>
      </c>
      <c r="M16" s="4">
        <v>499</v>
      </c>
      <c r="N16" s="4" t="s">
        <v>664</v>
      </c>
      <c r="O16" s="4" t="s">
        <v>622</v>
      </c>
      <c r="P16" s="4" t="s">
        <v>623</v>
      </c>
      <c r="Q16" s="4" t="s">
        <v>624</v>
      </c>
      <c r="R16" s="4" t="s">
        <v>625</v>
      </c>
      <c r="S16" s="4" t="s">
        <v>626</v>
      </c>
      <c r="T16" s="4" t="s">
        <v>392</v>
      </c>
    </row>
    <row r="17" spans="1:20" ht="37.950000000000003" customHeight="1">
      <c r="A17" s="5" t="s">
        <v>665</v>
      </c>
      <c r="B17" s="5" t="s">
        <v>666</v>
      </c>
      <c r="C17" s="5" t="s">
        <v>663</v>
      </c>
      <c r="D17" s="5" t="s">
        <v>54</v>
      </c>
      <c r="E17" s="5">
        <v>560</v>
      </c>
      <c r="F17" s="5">
        <v>31</v>
      </c>
      <c r="G17" s="5">
        <v>5</v>
      </c>
      <c r="H17" s="5">
        <v>1</v>
      </c>
      <c r="I17" s="5">
        <v>248</v>
      </c>
      <c r="J17" s="5">
        <v>176</v>
      </c>
      <c r="K17" s="5">
        <v>31</v>
      </c>
      <c r="L17" s="5">
        <v>310</v>
      </c>
      <c r="M17" s="5">
        <v>588</v>
      </c>
      <c r="N17" s="5" t="s">
        <v>667</v>
      </c>
      <c r="O17" s="5" t="s">
        <v>622</v>
      </c>
      <c r="P17" s="5" t="s">
        <v>623</v>
      </c>
      <c r="Q17" s="5" t="s">
        <v>624</v>
      </c>
      <c r="R17" s="5" t="s">
        <v>625</v>
      </c>
      <c r="S17" s="5" t="s">
        <v>626</v>
      </c>
      <c r="T17" s="5" t="s">
        <v>392</v>
      </c>
    </row>
    <row r="18" spans="1:20" ht="37.950000000000003" customHeight="1">
      <c r="A18" s="4" t="s">
        <v>668</v>
      </c>
      <c r="B18" s="4" t="s">
        <v>669</v>
      </c>
      <c r="C18" s="4" t="s">
        <v>663</v>
      </c>
      <c r="D18" s="4" t="s">
        <v>54</v>
      </c>
      <c r="E18" s="4">
        <v>640</v>
      </c>
      <c r="F18" s="4">
        <v>35</v>
      </c>
      <c r="G18" s="4">
        <v>10</v>
      </c>
      <c r="H18" s="4">
        <v>0.95</v>
      </c>
      <c r="I18" s="4">
        <v>32</v>
      </c>
      <c r="J18" s="4">
        <v>170.5</v>
      </c>
      <c r="K18" s="4">
        <v>33.299999999999997</v>
      </c>
      <c r="L18" s="4">
        <v>350</v>
      </c>
      <c r="M18" s="4">
        <v>704</v>
      </c>
      <c r="N18" s="4" t="s">
        <v>670</v>
      </c>
      <c r="O18" s="4" t="s">
        <v>622</v>
      </c>
      <c r="P18" s="4" t="s">
        <v>623</v>
      </c>
      <c r="Q18" s="4" t="s">
        <v>624</v>
      </c>
      <c r="R18" s="4" t="s">
        <v>625</v>
      </c>
      <c r="S18" s="4" t="s">
        <v>626</v>
      </c>
      <c r="T18" s="4" t="s">
        <v>392</v>
      </c>
    </row>
    <row r="19" spans="1:20" ht="37.950000000000003" customHeight="1">
      <c r="A19" s="5" t="s">
        <v>671</v>
      </c>
      <c r="B19" s="5" t="s">
        <v>672</v>
      </c>
      <c r="C19" s="5" t="s">
        <v>663</v>
      </c>
      <c r="D19" s="5" t="s">
        <v>54</v>
      </c>
      <c r="E19" s="5">
        <v>780</v>
      </c>
      <c r="F19" s="5">
        <v>42</v>
      </c>
      <c r="G19" s="5">
        <v>6</v>
      </c>
      <c r="H19" s="5">
        <v>1</v>
      </c>
      <c r="I19" s="5">
        <v>248</v>
      </c>
      <c r="J19" s="5">
        <v>170.5</v>
      </c>
      <c r="K19" s="5">
        <v>42</v>
      </c>
      <c r="L19" s="5">
        <v>420</v>
      </c>
      <c r="M19" s="5">
        <v>827</v>
      </c>
      <c r="N19" s="5" t="s">
        <v>143</v>
      </c>
      <c r="O19" s="5" t="s">
        <v>622</v>
      </c>
      <c r="P19" s="5" t="s">
        <v>623</v>
      </c>
      <c r="Q19" s="5" t="s">
        <v>624</v>
      </c>
      <c r="R19" s="5" t="s">
        <v>625</v>
      </c>
      <c r="S19" s="5" t="s">
        <v>626</v>
      </c>
      <c r="T19" s="5" t="s">
        <v>392</v>
      </c>
    </row>
  </sheetData>
  <mergeCells count="2">
    <mergeCell ref="A1:T1"/>
    <mergeCell ref="A2:T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C51"/>
  <sheetViews>
    <sheetView showGridLines="0" topLeftCell="U1" workbookViewId="0">
      <pane ySplit="3" topLeftCell="A4" activePane="bottomLeft" state="frozen"/>
      <selection pane="bottomLeft" activeCell="W14" sqref="W14"/>
    </sheetView>
  </sheetViews>
  <sheetFormatPr defaultColWidth="9" defaultRowHeight="14.4"/>
  <cols>
    <col min="1" max="1" width="23" customWidth="1"/>
    <col min="2" max="2" width="27" customWidth="1"/>
    <col min="3" max="3" width="31" customWidth="1"/>
    <col min="4" max="4" width="19" customWidth="1"/>
    <col min="5" max="5" width="38" customWidth="1"/>
    <col min="6" max="19" width="13" customWidth="1"/>
    <col min="20" max="22" width="12" customWidth="1"/>
    <col min="23" max="23" width="16" customWidth="1"/>
    <col min="24" max="24" width="23" customWidth="1"/>
    <col min="25" max="25" width="24" customWidth="1"/>
    <col min="26" max="26" width="22" customWidth="1"/>
    <col min="27" max="28" width="15" customWidth="1"/>
    <col min="29" max="29" width="60" customWidth="1"/>
    <col min="30" max="30" width="95" customWidth="1"/>
  </cols>
  <sheetData>
    <row r="1" spans="1:29" ht="34.049999999999997" customHeight="1">
      <c r="A1" s="9" t="s">
        <v>673</v>
      </c>
      <c r="B1" s="9"/>
      <c r="C1" s="9"/>
      <c r="D1" s="9"/>
      <c r="E1" s="9"/>
      <c r="F1" s="9"/>
      <c r="G1" s="9"/>
      <c r="H1" s="9"/>
      <c r="I1" s="9"/>
      <c r="J1" s="9"/>
      <c r="K1" s="9"/>
      <c r="L1" s="9"/>
      <c r="M1" s="9"/>
      <c r="N1" s="9"/>
      <c r="O1" s="9"/>
      <c r="P1" s="9"/>
      <c r="Q1" s="9"/>
      <c r="R1" s="9"/>
      <c r="S1" s="9"/>
      <c r="T1" s="9"/>
      <c r="U1" s="9"/>
      <c r="V1" s="9"/>
      <c r="W1" s="9"/>
      <c r="X1" s="9"/>
      <c r="Y1" s="9"/>
      <c r="Z1" s="9"/>
      <c r="AA1" s="9"/>
      <c r="AB1" s="9"/>
      <c r="AC1" s="9"/>
    </row>
    <row r="2" spans="1:29" ht="31.95" customHeight="1">
      <c r="A2" s="10" t="s">
        <v>1107</v>
      </c>
      <c r="B2" s="10"/>
      <c r="C2" s="10"/>
      <c r="D2" s="10"/>
      <c r="E2" s="10"/>
      <c r="F2" s="10"/>
      <c r="G2" s="10"/>
      <c r="H2" s="10"/>
      <c r="I2" s="10"/>
      <c r="J2" s="10"/>
      <c r="K2" s="10"/>
      <c r="L2" s="10"/>
      <c r="M2" s="10"/>
      <c r="N2" s="10"/>
      <c r="O2" s="10"/>
      <c r="P2" s="10"/>
      <c r="Q2" s="10"/>
      <c r="R2" s="10"/>
      <c r="S2" s="10"/>
      <c r="T2" s="10"/>
      <c r="U2" s="10"/>
      <c r="V2" s="10"/>
      <c r="W2" s="10"/>
      <c r="X2" s="10"/>
      <c r="Y2" s="10"/>
      <c r="Z2" s="10"/>
      <c r="AA2" s="10"/>
      <c r="AB2" s="10"/>
      <c r="AC2" s="10"/>
    </row>
    <row r="3" spans="1:29" ht="28.05" customHeight="1">
      <c r="A3" s="3" t="s">
        <v>22</v>
      </c>
      <c r="B3" s="3" t="s">
        <v>23</v>
      </c>
      <c r="C3" s="3" t="s">
        <v>25</v>
      </c>
      <c r="D3" s="3" t="s">
        <v>674</v>
      </c>
      <c r="E3" s="3" t="s">
        <v>675</v>
      </c>
      <c r="F3" s="3" t="s">
        <v>676</v>
      </c>
      <c r="G3" s="3" t="s">
        <v>677</v>
      </c>
      <c r="H3" s="3" t="s">
        <v>678</v>
      </c>
      <c r="I3" s="3" t="s">
        <v>679</v>
      </c>
      <c r="J3" s="3" t="s">
        <v>680</v>
      </c>
      <c r="K3" s="3" t="s">
        <v>681</v>
      </c>
      <c r="L3" s="3" t="s">
        <v>682</v>
      </c>
      <c r="M3" s="3" t="s">
        <v>683</v>
      </c>
      <c r="N3" s="3" t="s">
        <v>684</v>
      </c>
      <c r="O3" s="3" t="s">
        <v>685</v>
      </c>
      <c r="P3" s="3" t="s">
        <v>686</v>
      </c>
      <c r="Q3" s="3" t="s">
        <v>687</v>
      </c>
      <c r="R3" s="3" t="s">
        <v>688</v>
      </c>
      <c r="S3" s="3" t="s">
        <v>40</v>
      </c>
      <c r="T3" s="3" t="s">
        <v>42</v>
      </c>
      <c r="U3" s="3" t="s">
        <v>689</v>
      </c>
      <c r="V3" s="3" t="s">
        <v>609</v>
      </c>
      <c r="W3" s="3" t="s">
        <v>189</v>
      </c>
      <c r="X3" s="3" t="s">
        <v>50</v>
      </c>
      <c r="Y3" s="3" t="s">
        <v>190</v>
      </c>
      <c r="Z3" s="3" t="s">
        <v>690</v>
      </c>
      <c r="AA3" s="3" t="s">
        <v>691</v>
      </c>
      <c r="AB3" s="3" t="s">
        <v>692</v>
      </c>
      <c r="AC3" s="3" t="s">
        <v>192</v>
      </c>
    </row>
    <row r="4" spans="1:29" ht="37.950000000000003" customHeight="1">
      <c r="A4" s="4" t="s">
        <v>693</v>
      </c>
      <c r="B4" s="4" t="s">
        <v>694</v>
      </c>
      <c r="C4" s="4" t="s">
        <v>60</v>
      </c>
      <c r="D4" s="4">
        <v>3300</v>
      </c>
      <c r="E4" s="4">
        <v>113</v>
      </c>
      <c r="F4" s="4">
        <f t="shared" ref="F4:F12" si="0">O4</f>
        <v>15</v>
      </c>
      <c r="G4" s="4">
        <f t="shared" ref="G4:G12" si="1">D4</f>
        <v>3300</v>
      </c>
      <c r="H4" s="4">
        <f t="shared" ref="H4:H12" si="2">ROUND(ROUND(D4/1.5,0)*1.5*1.45,0)</f>
        <v>4785</v>
      </c>
      <c r="I4" s="4">
        <f t="shared" ref="I4:I12" si="3">ROUND(ROUND(D4/1.5,0)*1.5*2.1025,0)</f>
        <v>6938</v>
      </c>
      <c r="J4" s="4">
        <f t="shared" ref="J4:J12" si="4">ROUND(ROUND(D4/1.5,0)*1.5*3.048625,0)</f>
        <v>10060</v>
      </c>
      <c r="K4" s="4">
        <f t="shared" ref="K4:K12" si="5">E4</f>
        <v>113</v>
      </c>
      <c r="L4" s="4">
        <f t="shared" ref="L4:L12" si="6">ROUND(ROUND(E4/1.5,0)*1.5*1.35,0)</f>
        <v>152</v>
      </c>
      <c r="M4" s="4">
        <f t="shared" ref="M4:M12" si="7">ROUND(ROUND(E4/1.5,0)*1.5*1.8225,0)</f>
        <v>205</v>
      </c>
      <c r="N4" s="4">
        <f t="shared" ref="N4:N12" si="8">ROUND(ROUND(E4/1.5,0)*1.5*2.460375,0)</f>
        <v>277</v>
      </c>
      <c r="O4" s="4">
        <v>15</v>
      </c>
      <c r="P4" s="4">
        <f t="shared" ref="P4:P12" si="9">ROUND(ROUND(O4/1.5,0)*1.5*1.3,0)</f>
        <v>20</v>
      </c>
      <c r="Q4" s="4">
        <f t="shared" ref="Q4:Q12" si="10">ROUND(ROUND(O4/1.5,0)*1.5*1.69,0)</f>
        <v>25</v>
      </c>
      <c r="R4" s="4">
        <f t="shared" ref="R4:R12" si="11">ROUND(ROUND(O4/1.5,0)*1.5*2.197,0)</f>
        <v>33</v>
      </c>
      <c r="S4" s="4">
        <v>0.85</v>
      </c>
      <c r="T4" s="4">
        <v>248</v>
      </c>
      <c r="U4" s="4">
        <v>2</v>
      </c>
      <c r="V4" s="4">
        <v>1794</v>
      </c>
      <c r="W4" s="4" t="s">
        <v>695</v>
      </c>
      <c r="X4" s="4" t="s">
        <v>696</v>
      </c>
      <c r="Y4" s="4" t="s">
        <v>211</v>
      </c>
      <c r="Z4" s="4" t="s">
        <v>697</v>
      </c>
      <c r="AA4" s="4">
        <v>10</v>
      </c>
      <c r="AB4" s="4" t="s">
        <v>1108</v>
      </c>
      <c r="AC4" s="4" t="s">
        <v>1109</v>
      </c>
    </row>
    <row r="5" spans="1:29" ht="37.950000000000003" customHeight="1">
      <c r="A5" s="5" t="s">
        <v>698</v>
      </c>
      <c r="B5" s="5" t="s">
        <v>699</v>
      </c>
      <c r="C5" s="5" t="s">
        <v>60</v>
      </c>
      <c r="D5" s="5">
        <v>3750</v>
      </c>
      <c r="E5" s="5">
        <v>92</v>
      </c>
      <c r="F5" s="5">
        <f t="shared" si="0"/>
        <v>23</v>
      </c>
      <c r="G5" s="5">
        <f t="shared" si="1"/>
        <v>3750</v>
      </c>
      <c r="H5" s="5">
        <f t="shared" si="2"/>
        <v>5438</v>
      </c>
      <c r="I5" s="5">
        <f t="shared" si="3"/>
        <v>7884</v>
      </c>
      <c r="J5" s="5">
        <f t="shared" si="4"/>
        <v>11432</v>
      </c>
      <c r="K5" s="5">
        <f t="shared" si="5"/>
        <v>92</v>
      </c>
      <c r="L5" s="5">
        <f t="shared" si="6"/>
        <v>124</v>
      </c>
      <c r="M5" s="5">
        <f t="shared" si="7"/>
        <v>167</v>
      </c>
      <c r="N5" s="5">
        <f t="shared" si="8"/>
        <v>225</v>
      </c>
      <c r="O5" s="5">
        <v>23</v>
      </c>
      <c r="P5" s="5">
        <f t="shared" si="9"/>
        <v>29</v>
      </c>
      <c r="Q5" s="5">
        <f t="shared" si="10"/>
        <v>38</v>
      </c>
      <c r="R5" s="5">
        <f t="shared" si="11"/>
        <v>49</v>
      </c>
      <c r="S5" s="5">
        <v>0.75</v>
      </c>
      <c r="T5" s="5">
        <v>248</v>
      </c>
      <c r="U5" s="5">
        <v>2</v>
      </c>
      <c r="V5" s="5">
        <v>736</v>
      </c>
      <c r="W5" s="5" t="s">
        <v>700</v>
      </c>
      <c r="X5" s="5" t="s">
        <v>701</v>
      </c>
      <c r="Y5" s="5" t="s">
        <v>702</v>
      </c>
      <c r="Z5" s="5" t="s">
        <v>697</v>
      </c>
      <c r="AA5" s="5">
        <v>0</v>
      </c>
      <c r="AB5" s="5" t="s">
        <v>1110</v>
      </c>
      <c r="AC5" s="5" t="s">
        <v>1111</v>
      </c>
    </row>
    <row r="6" spans="1:29" ht="37.950000000000003" customHeight="1">
      <c r="A6" s="4" t="s">
        <v>703</v>
      </c>
      <c r="B6" s="4" t="s">
        <v>704</v>
      </c>
      <c r="C6" s="4" t="s">
        <v>54</v>
      </c>
      <c r="D6" s="4">
        <v>2700</v>
      </c>
      <c r="E6" s="4">
        <v>116</v>
      </c>
      <c r="F6" s="4">
        <f t="shared" si="0"/>
        <v>12</v>
      </c>
      <c r="G6" s="4">
        <f t="shared" si="1"/>
        <v>2700</v>
      </c>
      <c r="H6" s="4">
        <f t="shared" si="2"/>
        <v>3915</v>
      </c>
      <c r="I6" s="4">
        <f t="shared" si="3"/>
        <v>5677</v>
      </c>
      <c r="J6" s="4">
        <f t="shared" si="4"/>
        <v>8231</v>
      </c>
      <c r="K6" s="4">
        <f t="shared" si="5"/>
        <v>116</v>
      </c>
      <c r="L6" s="4">
        <f t="shared" si="6"/>
        <v>156</v>
      </c>
      <c r="M6" s="4">
        <f t="shared" si="7"/>
        <v>210</v>
      </c>
      <c r="N6" s="4">
        <f t="shared" si="8"/>
        <v>284</v>
      </c>
      <c r="O6" s="4">
        <v>12</v>
      </c>
      <c r="P6" s="4">
        <f t="shared" si="9"/>
        <v>16</v>
      </c>
      <c r="Q6" s="4">
        <f t="shared" si="10"/>
        <v>20</v>
      </c>
      <c r="R6" s="4">
        <f t="shared" si="11"/>
        <v>26</v>
      </c>
      <c r="S6" s="4">
        <v>1.4</v>
      </c>
      <c r="T6" s="4">
        <v>32</v>
      </c>
      <c r="U6" s="4">
        <v>2</v>
      </c>
      <c r="V6" s="4">
        <v>1160</v>
      </c>
      <c r="W6" s="4" t="s">
        <v>705</v>
      </c>
      <c r="X6" s="4" t="s">
        <v>706</v>
      </c>
      <c r="Y6" s="4" t="s">
        <v>707</v>
      </c>
      <c r="Z6" s="4" t="s">
        <v>697</v>
      </c>
      <c r="AA6" s="4">
        <v>59</v>
      </c>
      <c r="AB6" s="4" t="s">
        <v>1112</v>
      </c>
      <c r="AC6" s="4" t="s">
        <v>1113</v>
      </c>
    </row>
    <row r="7" spans="1:29" ht="37.950000000000003" customHeight="1">
      <c r="A7" s="5" t="s">
        <v>708</v>
      </c>
      <c r="B7" s="5" t="s">
        <v>709</v>
      </c>
      <c r="C7" s="5" t="s">
        <v>54</v>
      </c>
      <c r="D7" s="5">
        <v>3000</v>
      </c>
      <c r="E7" s="5">
        <v>75</v>
      </c>
      <c r="F7" s="5">
        <f t="shared" si="0"/>
        <v>15</v>
      </c>
      <c r="G7" s="5">
        <f t="shared" si="1"/>
        <v>3000</v>
      </c>
      <c r="H7" s="5">
        <f t="shared" si="2"/>
        <v>4350</v>
      </c>
      <c r="I7" s="5">
        <f t="shared" si="3"/>
        <v>6308</v>
      </c>
      <c r="J7" s="5">
        <f t="shared" si="4"/>
        <v>9146</v>
      </c>
      <c r="K7" s="5">
        <f t="shared" si="5"/>
        <v>75</v>
      </c>
      <c r="L7" s="5">
        <f t="shared" si="6"/>
        <v>101</v>
      </c>
      <c r="M7" s="5">
        <f t="shared" si="7"/>
        <v>137</v>
      </c>
      <c r="N7" s="5">
        <f t="shared" si="8"/>
        <v>185</v>
      </c>
      <c r="O7" s="5">
        <v>15</v>
      </c>
      <c r="P7" s="5">
        <f t="shared" si="9"/>
        <v>20</v>
      </c>
      <c r="Q7" s="5">
        <f t="shared" si="10"/>
        <v>25</v>
      </c>
      <c r="R7" s="5">
        <f t="shared" si="11"/>
        <v>33</v>
      </c>
      <c r="S7" s="5">
        <v>0.8</v>
      </c>
      <c r="T7" s="5">
        <v>248</v>
      </c>
      <c r="U7" s="5">
        <v>2</v>
      </c>
      <c r="V7" s="5">
        <v>600</v>
      </c>
      <c r="W7" s="5" t="s">
        <v>710</v>
      </c>
      <c r="X7" s="5" t="s">
        <v>711</v>
      </c>
      <c r="Y7" s="5" t="s">
        <v>211</v>
      </c>
      <c r="Z7" s="5" t="s">
        <v>697</v>
      </c>
      <c r="AA7" s="5">
        <v>8</v>
      </c>
      <c r="AB7" s="5" t="s">
        <v>1114</v>
      </c>
      <c r="AC7" s="5" t="s">
        <v>1115</v>
      </c>
    </row>
    <row r="8" spans="1:29" ht="37.950000000000003" customHeight="1">
      <c r="A8" s="4" t="s">
        <v>712</v>
      </c>
      <c r="B8" s="4" t="s">
        <v>713</v>
      </c>
      <c r="C8" s="4" t="s">
        <v>64</v>
      </c>
      <c r="D8" s="4">
        <v>3450</v>
      </c>
      <c r="E8" s="4">
        <v>83</v>
      </c>
      <c r="F8" s="4">
        <f t="shared" si="0"/>
        <v>8</v>
      </c>
      <c r="G8" s="4">
        <f t="shared" si="1"/>
        <v>3450</v>
      </c>
      <c r="H8" s="4">
        <f t="shared" si="2"/>
        <v>5003</v>
      </c>
      <c r="I8" s="4">
        <f t="shared" si="3"/>
        <v>7254</v>
      </c>
      <c r="J8" s="4">
        <f t="shared" si="4"/>
        <v>10518</v>
      </c>
      <c r="K8" s="4">
        <f t="shared" si="5"/>
        <v>83</v>
      </c>
      <c r="L8" s="4">
        <f t="shared" si="6"/>
        <v>111</v>
      </c>
      <c r="M8" s="4">
        <f t="shared" si="7"/>
        <v>150</v>
      </c>
      <c r="N8" s="4">
        <f t="shared" si="8"/>
        <v>203</v>
      </c>
      <c r="O8" s="4">
        <v>8</v>
      </c>
      <c r="P8" s="4">
        <f t="shared" si="9"/>
        <v>10</v>
      </c>
      <c r="Q8" s="4">
        <f t="shared" si="10"/>
        <v>13</v>
      </c>
      <c r="R8" s="4">
        <f t="shared" si="11"/>
        <v>16</v>
      </c>
      <c r="S8" s="4">
        <v>1</v>
      </c>
      <c r="T8" s="4">
        <v>32</v>
      </c>
      <c r="U8" s="4">
        <v>2</v>
      </c>
      <c r="V8" s="4">
        <v>1183</v>
      </c>
      <c r="W8" s="4" t="s">
        <v>714</v>
      </c>
      <c r="X8" s="4" t="s">
        <v>715</v>
      </c>
      <c r="Y8" s="4" t="s">
        <v>716</v>
      </c>
      <c r="Z8" s="4" t="s">
        <v>697</v>
      </c>
      <c r="AA8" s="4">
        <v>0</v>
      </c>
      <c r="AB8" s="4" t="s">
        <v>1116</v>
      </c>
      <c r="AC8" s="4" t="s">
        <v>1117</v>
      </c>
    </row>
    <row r="9" spans="1:29" ht="37.950000000000003" customHeight="1">
      <c r="A9" s="5" t="s">
        <v>717</v>
      </c>
      <c r="B9" s="5" t="s">
        <v>718</v>
      </c>
      <c r="C9" s="5" t="s">
        <v>54</v>
      </c>
      <c r="D9" s="5">
        <v>3450</v>
      </c>
      <c r="E9" s="5">
        <v>92</v>
      </c>
      <c r="F9" s="5">
        <f t="shared" si="0"/>
        <v>18</v>
      </c>
      <c r="G9" s="5">
        <f t="shared" si="1"/>
        <v>3450</v>
      </c>
      <c r="H9" s="5">
        <f t="shared" si="2"/>
        <v>5003</v>
      </c>
      <c r="I9" s="5">
        <f t="shared" si="3"/>
        <v>7254</v>
      </c>
      <c r="J9" s="5">
        <f t="shared" si="4"/>
        <v>10518</v>
      </c>
      <c r="K9" s="5">
        <f t="shared" si="5"/>
        <v>92</v>
      </c>
      <c r="L9" s="5">
        <f t="shared" si="6"/>
        <v>124</v>
      </c>
      <c r="M9" s="5">
        <f t="shared" si="7"/>
        <v>167</v>
      </c>
      <c r="N9" s="5">
        <f t="shared" si="8"/>
        <v>225</v>
      </c>
      <c r="O9" s="5">
        <v>18</v>
      </c>
      <c r="P9" s="5">
        <f t="shared" si="9"/>
        <v>23</v>
      </c>
      <c r="Q9" s="5">
        <f t="shared" si="10"/>
        <v>30</v>
      </c>
      <c r="R9" s="5">
        <f t="shared" si="11"/>
        <v>40</v>
      </c>
      <c r="S9" s="5">
        <v>0.85</v>
      </c>
      <c r="T9" s="5">
        <v>32</v>
      </c>
      <c r="U9" s="5">
        <v>2</v>
      </c>
      <c r="V9" s="5">
        <v>828</v>
      </c>
      <c r="W9" s="5" t="s">
        <v>719</v>
      </c>
      <c r="X9" s="5" t="s">
        <v>720</v>
      </c>
      <c r="Y9" s="5" t="s">
        <v>721</v>
      </c>
      <c r="Z9" s="5" t="s">
        <v>697</v>
      </c>
      <c r="AA9" s="5">
        <v>0</v>
      </c>
      <c r="AB9" s="5" t="s">
        <v>1118</v>
      </c>
      <c r="AC9" s="5" t="s">
        <v>1119</v>
      </c>
    </row>
    <row r="10" spans="1:29" ht="37.950000000000003" customHeight="1">
      <c r="A10" s="4" t="s">
        <v>722</v>
      </c>
      <c r="B10" s="4" t="s">
        <v>723</v>
      </c>
      <c r="C10" s="4" t="s">
        <v>54</v>
      </c>
      <c r="D10" s="4">
        <v>3150</v>
      </c>
      <c r="E10" s="4">
        <v>119</v>
      </c>
      <c r="F10" s="4">
        <f t="shared" si="0"/>
        <v>15</v>
      </c>
      <c r="G10" s="4">
        <f t="shared" si="1"/>
        <v>3150</v>
      </c>
      <c r="H10" s="4">
        <f t="shared" si="2"/>
        <v>4568</v>
      </c>
      <c r="I10" s="4">
        <f t="shared" si="3"/>
        <v>6623</v>
      </c>
      <c r="J10" s="4">
        <f t="shared" si="4"/>
        <v>9603</v>
      </c>
      <c r="K10" s="4">
        <f t="shared" si="5"/>
        <v>119</v>
      </c>
      <c r="L10" s="4">
        <f t="shared" si="6"/>
        <v>160</v>
      </c>
      <c r="M10" s="4">
        <f t="shared" si="7"/>
        <v>216</v>
      </c>
      <c r="N10" s="4">
        <f t="shared" si="8"/>
        <v>292</v>
      </c>
      <c r="O10" s="4">
        <v>15</v>
      </c>
      <c r="P10" s="4">
        <f t="shared" si="9"/>
        <v>20</v>
      </c>
      <c r="Q10" s="4">
        <f t="shared" si="10"/>
        <v>25</v>
      </c>
      <c r="R10" s="4">
        <f t="shared" si="11"/>
        <v>33</v>
      </c>
      <c r="S10" s="4">
        <v>1.3</v>
      </c>
      <c r="T10" s="4">
        <v>32</v>
      </c>
      <c r="U10" s="4">
        <v>2</v>
      </c>
      <c r="V10" s="4">
        <v>1071</v>
      </c>
      <c r="W10" s="4" t="s">
        <v>724</v>
      </c>
      <c r="X10" s="4" t="s">
        <v>725</v>
      </c>
      <c r="Y10" s="4" t="s">
        <v>726</v>
      </c>
      <c r="Z10" s="4" t="s">
        <v>697</v>
      </c>
      <c r="AA10" s="4">
        <v>0</v>
      </c>
      <c r="AB10" s="4" t="s">
        <v>1120</v>
      </c>
      <c r="AC10" s="4" t="s">
        <v>1121</v>
      </c>
    </row>
    <row r="11" spans="1:29" ht="37.950000000000003" customHeight="1">
      <c r="A11" s="5" t="s">
        <v>727</v>
      </c>
      <c r="B11" s="5" t="s">
        <v>728</v>
      </c>
      <c r="C11" s="5" t="s">
        <v>64</v>
      </c>
      <c r="D11" s="5">
        <v>2700</v>
      </c>
      <c r="E11" s="5">
        <v>96</v>
      </c>
      <c r="F11" s="5">
        <f t="shared" si="0"/>
        <v>20</v>
      </c>
      <c r="G11" s="5">
        <f t="shared" si="1"/>
        <v>2700</v>
      </c>
      <c r="H11" s="5">
        <f t="shared" si="2"/>
        <v>3915</v>
      </c>
      <c r="I11" s="5">
        <f t="shared" si="3"/>
        <v>5677</v>
      </c>
      <c r="J11" s="5">
        <f t="shared" si="4"/>
        <v>8231</v>
      </c>
      <c r="K11" s="5">
        <f t="shared" si="5"/>
        <v>96</v>
      </c>
      <c r="L11" s="5">
        <f t="shared" si="6"/>
        <v>130</v>
      </c>
      <c r="M11" s="5">
        <f t="shared" si="7"/>
        <v>175</v>
      </c>
      <c r="N11" s="5">
        <f t="shared" si="8"/>
        <v>236</v>
      </c>
      <c r="O11" s="5">
        <v>20</v>
      </c>
      <c r="P11" s="5">
        <f t="shared" si="9"/>
        <v>25</v>
      </c>
      <c r="Q11" s="5">
        <f t="shared" si="10"/>
        <v>33</v>
      </c>
      <c r="R11" s="5">
        <f t="shared" si="11"/>
        <v>43</v>
      </c>
      <c r="S11" s="5">
        <v>0.9</v>
      </c>
      <c r="T11" s="5">
        <v>32</v>
      </c>
      <c r="U11" s="5">
        <v>2</v>
      </c>
      <c r="V11" s="5">
        <v>864</v>
      </c>
      <c r="W11" s="5" t="s">
        <v>729</v>
      </c>
      <c r="X11" s="5" t="s">
        <v>730</v>
      </c>
      <c r="Y11" s="5" t="s">
        <v>731</v>
      </c>
      <c r="Z11" s="5" t="s">
        <v>697</v>
      </c>
      <c r="AA11" s="5">
        <v>0</v>
      </c>
      <c r="AB11" s="5" t="s">
        <v>1122</v>
      </c>
      <c r="AC11" s="5" t="s">
        <v>1123</v>
      </c>
    </row>
    <row r="12" spans="1:29" ht="37.950000000000003" customHeight="1">
      <c r="A12" s="4" t="s">
        <v>732</v>
      </c>
      <c r="B12" s="4" t="s">
        <v>733</v>
      </c>
      <c r="C12" s="4" t="s">
        <v>60</v>
      </c>
      <c r="D12" s="4">
        <v>4200</v>
      </c>
      <c r="E12" s="4">
        <v>99</v>
      </c>
      <c r="F12" s="4">
        <f t="shared" si="0"/>
        <v>21</v>
      </c>
      <c r="G12" s="4">
        <f t="shared" si="1"/>
        <v>4200</v>
      </c>
      <c r="H12" s="4">
        <f t="shared" si="2"/>
        <v>6090</v>
      </c>
      <c r="I12" s="4">
        <f t="shared" si="3"/>
        <v>8831</v>
      </c>
      <c r="J12" s="4">
        <f t="shared" si="4"/>
        <v>12804</v>
      </c>
      <c r="K12" s="4">
        <f t="shared" si="5"/>
        <v>99</v>
      </c>
      <c r="L12" s="4">
        <f t="shared" si="6"/>
        <v>134</v>
      </c>
      <c r="M12" s="4">
        <f t="shared" si="7"/>
        <v>180</v>
      </c>
      <c r="N12" s="4">
        <f t="shared" si="8"/>
        <v>244</v>
      </c>
      <c r="O12" s="4">
        <v>21</v>
      </c>
      <c r="P12" s="4">
        <f t="shared" si="9"/>
        <v>27</v>
      </c>
      <c r="Q12" s="4">
        <f t="shared" si="10"/>
        <v>35</v>
      </c>
      <c r="R12" s="4">
        <f t="shared" si="11"/>
        <v>46</v>
      </c>
      <c r="S12" s="4">
        <v>0.75</v>
      </c>
      <c r="T12" s="4">
        <v>248</v>
      </c>
      <c r="U12" s="4">
        <v>2</v>
      </c>
      <c r="V12" s="4">
        <v>1090</v>
      </c>
      <c r="W12" s="4" t="s">
        <v>734</v>
      </c>
      <c r="X12" s="4" t="s">
        <v>735</v>
      </c>
      <c r="Y12" s="4" t="s">
        <v>211</v>
      </c>
      <c r="Z12" s="4" t="s">
        <v>697</v>
      </c>
      <c r="AA12" s="4">
        <v>6</v>
      </c>
      <c r="AB12" s="4" t="s">
        <v>1124</v>
      </c>
      <c r="AC12" s="4" t="s">
        <v>1125</v>
      </c>
    </row>
    <row r="15" spans="1:29" ht="22.05" customHeight="1">
      <c r="B15" s="3" t="s">
        <v>1126</v>
      </c>
      <c r="C15" s="3" t="s">
        <v>1127</v>
      </c>
      <c r="D15" s="3" t="s">
        <v>1128</v>
      </c>
      <c r="E15" s="3" t="s">
        <v>1129</v>
      </c>
    </row>
    <row r="16" spans="1:29" ht="22.05" customHeight="1">
      <c r="B16" s="4" t="s">
        <v>693</v>
      </c>
      <c r="C16" s="4" t="s">
        <v>1130</v>
      </c>
      <c r="D16" s="8">
        <v>6</v>
      </c>
      <c r="E16" s="4" t="s">
        <v>1131</v>
      </c>
    </row>
    <row r="17" spans="2:5" ht="22.05" customHeight="1">
      <c r="B17" s="5" t="s">
        <v>693</v>
      </c>
      <c r="C17" s="5" t="s">
        <v>1132</v>
      </c>
      <c r="D17" s="8">
        <v>240</v>
      </c>
      <c r="E17" s="5" t="s">
        <v>1133</v>
      </c>
    </row>
    <row r="18" spans="2:5" ht="22.05" customHeight="1">
      <c r="B18" s="4" t="s">
        <v>693</v>
      </c>
      <c r="C18" s="4" t="s">
        <v>1134</v>
      </c>
      <c r="D18" s="8">
        <v>250</v>
      </c>
      <c r="E18" s="4" t="s">
        <v>1135</v>
      </c>
    </row>
    <row r="19" spans="2:5" ht="22.05" customHeight="1">
      <c r="B19" s="5" t="s">
        <v>698</v>
      </c>
      <c r="C19" s="5" t="s">
        <v>1136</v>
      </c>
      <c r="D19" s="8">
        <v>8</v>
      </c>
      <c r="E19" s="5" t="s">
        <v>1137</v>
      </c>
    </row>
    <row r="20" spans="2:5" ht="22.05" customHeight="1">
      <c r="B20" s="4" t="s">
        <v>698</v>
      </c>
      <c r="C20" s="4" t="s">
        <v>1132</v>
      </c>
      <c r="D20" s="8">
        <v>300</v>
      </c>
      <c r="E20" s="4" t="s">
        <v>1133</v>
      </c>
    </row>
    <row r="21" spans="2:5" ht="22.05" customHeight="1">
      <c r="B21" s="5" t="s">
        <v>698</v>
      </c>
      <c r="C21" s="5" t="s">
        <v>1138</v>
      </c>
      <c r="D21" s="8">
        <v>25</v>
      </c>
      <c r="E21" s="5" t="s">
        <v>1139</v>
      </c>
    </row>
    <row r="22" spans="2:5" ht="22.05" customHeight="1">
      <c r="B22" s="4" t="s">
        <v>698</v>
      </c>
      <c r="C22" s="4" t="s">
        <v>1140</v>
      </c>
      <c r="D22" s="8">
        <v>200</v>
      </c>
      <c r="E22" s="4" t="s">
        <v>1141</v>
      </c>
    </row>
    <row r="23" spans="2:5" ht="22.05" customHeight="1">
      <c r="B23" s="5" t="s">
        <v>698</v>
      </c>
      <c r="C23" s="5" t="s">
        <v>1142</v>
      </c>
      <c r="D23" s="8">
        <v>180</v>
      </c>
      <c r="E23" s="5" t="s">
        <v>1143</v>
      </c>
    </row>
    <row r="24" spans="2:5" ht="22.05" customHeight="1">
      <c r="B24" s="4" t="s">
        <v>703</v>
      </c>
      <c r="C24" s="4" t="s">
        <v>1144</v>
      </c>
      <c r="D24" s="8">
        <v>25</v>
      </c>
      <c r="E24" s="4" t="s">
        <v>1145</v>
      </c>
    </row>
    <row r="25" spans="2:5" ht="22.05" customHeight="1">
      <c r="B25" s="5" t="s">
        <v>703</v>
      </c>
      <c r="C25" s="5" t="s">
        <v>1146</v>
      </c>
      <c r="D25" s="8">
        <v>30</v>
      </c>
      <c r="E25" s="5" t="s">
        <v>1147</v>
      </c>
    </row>
    <row r="26" spans="2:5" ht="22.05" customHeight="1">
      <c r="B26" s="4" t="s">
        <v>703</v>
      </c>
      <c r="C26" s="4" t="s">
        <v>1148</v>
      </c>
      <c r="D26" s="8">
        <v>100</v>
      </c>
      <c r="E26" s="4" t="s">
        <v>1149</v>
      </c>
    </row>
    <row r="27" spans="2:5" ht="22.05" customHeight="1">
      <c r="B27" s="5" t="s">
        <v>703</v>
      </c>
      <c r="C27" s="5" t="s">
        <v>1150</v>
      </c>
      <c r="D27" s="8">
        <v>0</v>
      </c>
      <c r="E27" s="5" t="s">
        <v>1151</v>
      </c>
    </row>
    <row r="28" spans="2:5" ht="22.05" customHeight="1">
      <c r="B28" s="4" t="s">
        <v>708</v>
      </c>
      <c r="C28" s="4" t="s">
        <v>1130</v>
      </c>
      <c r="D28" s="8">
        <v>8</v>
      </c>
      <c r="E28" s="4" t="s">
        <v>1131</v>
      </c>
    </row>
    <row r="29" spans="2:5" ht="22.05" customHeight="1">
      <c r="B29" s="5" t="s">
        <v>708</v>
      </c>
      <c r="C29" s="5" t="s">
        <v>1152</v>
      </c>
      <c r="D29" s="8">
        <v>20</v>
      </c>
      <c r="E29" s="5" t="s">
        <v>1153</v>
      </c>
    </row>
    <row r="30" spans="2:5" ht="22.05" customHeight="1">
      <c r="B30" s="4" t="s">
        <v>708</v>
      </c>
      <c r="C30" s="4" t="s">
        <v>1154</v>
      </c>
      <c r="D30" s="8">
        <v>15</v>
      </c>
      <c r="E30" s="4" t="s">
        <v>1155</v>
      </c>
    </row>
    <row r="31" spans="2:5" ht="22.05" customHeight="1">
      <c r="B31" s="5" t="s">
        <v>712</v>
      </c>
      <c r="C31" s="5" t="s">
        <v>1156</v>
      </c>
      <c r="D31" s="8">
        <v>5</v>
      </c>
      <c r="E31" s="5" t="s">
        <v>1157</v>
      </c>
    </row>
    <row r="32" spans="2:5" ht="22.05" customHeight="1">
      <c r="B32" s="4" t="s">
        <v>712</v>
      </c>
      <c r="C32" s="4" t="s">
        <v>1158</v>
      </c>
      <c r="D32" s="8">
        <v>0.03</v>
      </c>
      <c r="E32" s="4" t="s">
        <v>1159</v>
      </c>
    </row>
    <row r="33" spans="2:5" ht="22.05" customHeight="1">
      <c r="B33" s="5" t="s">
        <v>712</v>
      </c>
      <c r="C33" s="5" t="s">
        <v>1160</v>
      </c>
      <c r="D33" s="8">
        <v>50</v>
      </c>
      <c r="E33" s="5" t="s">
        <v>1161</v>
      </c>
    </row>
    <row r="34" spans="2:5" ht="22.05" customHeight="1">
      <c r="B34" s="4" t="s">
        <v>717</v>
      </c>
      <c r="C34" s="4" t="s">
        <v>1162</v>
      </c>
      <c r="D34" s="8">
        <v>50</v>
      </c>
      <c r="E34" s="4" t="s">
        <v>1163</v>
      </c>
    </row>
    <row r="35" spans="2:5" ht="22.05" customHeight="1">
      <c r="B35" s="5" t="s">
        <v>717</v>
      </c>
      <c r="C35" s="5" t="s">
        <v>1164</v>
      </c>
      <c r="D35" s="8">
        <v>100</v>
      </c>
      <c r="E35" s="5" t="s">
        <v>1165</v>
      </c>
    </row>
    <row r="36" spans="2:5" ht="22.05" customHeight="1">
      <c r="B36" s="4" t="s">
        <v>717</v>
      </c>
      <c r="C36" s="4" t="s">
        <v>1166</v>
      </c>
      <c r="D36" s="8">
        <v>0.5</v>
      </c>
      <c r="E36" s="4" t="s">
        <v>1167</v>
      </c>
    </row>
    <row r="37" spans="2:5" ht="22.05" customHeight="1">
      <c r="B37" s="5" t="s">
        <v>717</v>
      </c>
      <c r="C37" s="5" t="s">
        <v>1168</v>
      </c>
      <c r="D37" s="8">
        <v>20</v>
      </c>
      <c r="E37" s="5" t="s">
        <v>1169</v>
      </c>
    </row>
    <row r="38" spans="2:5" ht="22.05" customHeight="1">
      <c r="B38" s="4" t="s">
        <v>722</v>
      </c>
      <c r="C38" s="4" t="s">
        <v>1170</v>
      </c>
      <c r="D38" s="8">
        <v>20</v>
      </c>
      <c r="E38" s="4" t="s">
        <v>1171</v>
      </c>
    </row>
    <row r="39" spans="2:5" ht="22.05" customHeight="1">
      <c r="B39" s="5" t="s">
        <v>722</v>
      </c>
      <c r="C39" s="5" t="s">
        <v>1172</v>
      </c>
      <c r="D39" s="8">
        <v>20</v>
      </c>
      <c r="E39" s="5" t="s">
        <v>1173</v>
      </c>
    </row>
    <row r="40" spans="2:5" ht="22.05" customHeight="1">
      <c r="B40" s="4" t="s">
        <v>722</v>
      </c>
      <c r="C40" s="4" t="s">
        <v>1174</v>
      </c>
      <c r="D40" s="8">
        <v>0.2</v>
      </c>
      <c r="E40" s="4" t="s">
        <v>1175</v>
      </c>
    </row>
    <row r="41" spans="2:5" ht="22.05" customHeight="1">
      <c r="B41" s="5" t="s">
        <v>727</v>
      </c>
      <c r="C41" s="5" t="s">
        <v>1176</v>
      </c>
      <c r="D41" s="8">
        <v>5</v>
      </c>
      <c r="E41" s="5" t="s">
        <v>1177</v>
      </c>
    </row>
    <row r="42" spans="2:5" ht="22.05" customHeight="1">
      <c r="B42" s="4" t="s">
        <v>727</v>
      </c>
      <c r="C42" s="4" t="s">
        <v>1178</v>
      </c>
      <c r="D42" s="8">
        <v>60</v>
      </c>
      <c r="E42" s="4" t="s">
        <v>1179</v>
      </c>
    </row>
    <row r="43" spans="2:5" ht="22.05" customHeight="1">
      <c r="B43" s="5" t="s">
        <v>727</v>
      </c>
      <c r="C43" s="5" t="s">
        <v>1180</v>
      </c>
      <c r="D43" s="8">
        <v>1</v>
      </c>
      <c r="E43" s="5" t="s">
        <v>1181</v>
      </c>
    </row>
    <row r="44" spans="2:5" ht="22.05" customHeight="1">
      <c r="B44" s="4" t="s">
        <v>727</v>
      </c>
      <c r="C44" s="4" t="s">
        <v>1182</v>
      </c>
      <c r="D44" s="8">
        <v>50</v>
      </c>
      <c r="E44" s="4" t="s">
        <v>1183</v>
      </c>
    </row>
    <row r="45" spans="2:5" ht="22.05" customHeight="1">
      <c r="B45" s="5" t="s">
        <v>727</v>
      </c>
      <c r="C45" s="5" t="s">
        <v>1184</v>
      </c>
      <c r="D45" s="8">
        <v>180</v>
      </c>
      <c r="E45" s="5" t="s">
        <v>1185</v>
      </c>
    </row>
    <row r="46" spans="2:5" ht="22.05" customHeight="1">
      <c r="B46" s="4" t="s">
        <v>727</v>
      </c>
      <c r="C46" s="4" t="s">
        <v>1186</v>
      </c>
      <c r="D46" s="8">
        <v>45</v>
      </c>
      <c r="E46" s="4" t="s">
        <v>1187</v>
      </c>
    </row>
    <row r="47" spans="2:5" ht="22.05" customHeight="1">
      <c r="B47" s="5" t="s">
        <v>727</v>
      </c>
      <c r="C47" s="5" t="s">
        <v>1188</v>
      </c>
      <c r="D47" s="8">
        <v>90</v>
      </c>
      <c r="E47" s="5" t="s">
        <v>1189</v>
      </c>
    </row>
    <row r="48" spans="2:5" ht="22.05" customHeight="1">
      <c r="B48" s="4" t="s">
        <v>732</v>
      </c>
      <c r="C48" s="4" t="s">
        <v>1130</v>
      </c>
      <c r="D48" s="8">
        <v>8</v>
      </c>
      <c r="E48" s="4" t="s">
        <v>1131</v>
      </c>
    </row>
    <row r="49" spans="2:5" ht="22.05" customHeight="1">
      <c r="B49" s="5" t="s">
        <v>732</v>
      </c>
      <c r="C49" s="5" t="s">
        <v>1190</v>
      </c>
      <c r="D49" s="8">
        <v>2</v>
      </c>
      <c r="E49" s="5" t="s">
        <v>1191</v>
      </c>
    </row>
    <row r="50" spans="2:5" ht="22.05" customHeight="1">
      <c r="B50" s="4" t="s">
        <v>732</v>
      </c>
      <c r="C50" s="4" t="s">
        <v>1192</v>
      </c>
      <c r="D50" s="8">
        <v>10</v>
      </c>
      <c r="E50" s="4" t="s">
        <v>1155</v>
      </c>
    </row>
    <row r="51" spans="2:5" ht="22.05" customHeight="1">
      <c r="B51" s="5" t="s">
        <v>732</v>
      </c>
      <c r="C51" s="5" t="s">
        <v>1193</v>
      </c>
      <c r="D51" s="8">
        <v>250</v>
      </c>
      <c r="E51" s="5" t="s">
        <v>1194</v>
      </c>
    </row>
  </sheetData>
  <mergeCells count="2">
    <mergeCell ref="A1:AC1"/>
    <mergeCell ref="A2:AC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X15"/>
  <sheetViews>
    <sheetView showGridLines="0" topLeftCell="I1" workbookViewId="0">
      <pane ySplit="3" topLeftCell="A10" activePane="bottomLeft" state="frozen"/>
      <selection pane="bottomLeft" activeCell="N13" sqref="N13"/>
    </sheetView>
  </sheetViews>
  <sheetFormatPr defaultColWidth="9" defaultRowHeight="14.4"/>
  <cols>
    <col min="1" max="1" width="23" customWidth="1"/>
    <col min="2" max="2" width="17" customWidth="1"/>
    <col min="3" max="5" width="12" customWidth="1"/>
    <col min="6" max="16" width="13" customWidth="1"/>
    <col min="17" max="17" width="18" customWidth="1"/>
    <col min="18" max="18" width="24" customWidth="1"/>
    <col min="19" max="19" width="21" customWidth="1"/>
    <col min="20" max="20" width="17" customWidth="1"/>
    <col min="21" max="21" width="16" customWidth="1"/>
    <col min="22" max="22" width="70" customWidth="1"/>
    <col min="23" max="23" width="65" customWidth="1"/>
    <col min="24" max="24" width="90" customWidth="1"/>
  </cols>
  <sheetData>
    <row r="1" spans="1:24" ht="34.049999999999997" customHeight="1">
      <c r="A1" s="9" t="s">
        <v>736</v>
      </c>
      <c r="B1" s="9"/>
      <c r="C1" s="9"/>
      <c r="D1" s="9"/>
      <c r="E1" s="9"/>
      <c r="F1" s="9"/>
      <c r="G1" s="9"/>
      <c r="H1" s="9"/>
      <c r="I1" s="9"/>
      <c r="J1" s="9"/>
      <c r="K1" s="9"/>
      <c r="L1" s="9"/>
      <c r="M1" s="9"/>
      <c r="N1" s="9"/>
      <c r="O1" s="9"/>
      <c r="P1" s="9"/>
      <c r="Q1" s="9"/>
      <c r="R1" s="9"/>
      <c r="S1" s="9"/>
      <c r="T1" s="9"/>
      <c r="U1" s="9"/>
      <c r="V1" s="9"/>
      <c r="W1" s="9"/>
      <c r="X1" s="9"/>
    </row>
    <row r="2" spans="1:24" ht="31.95" customHeight="1">
      <c r="A2" s="10" t="s">
        <v>737</v>
      </c>
      <c r="B2" s="10"/>
      <c r="C2" s="10"/>
      <c r="D2" s="10"/>
      <c r="E2" s="10"/>
      <c r="F2" s="10"/>
      <c r="G2" s="10"/>
      <c r="H2" s="10"/>
      <c r="I2" s="10"/>
      <c r="J2" s="10"/>
      <c r="K2" s="10"/>
      <c r="L2" s="10"/>
      <c r="M2" s="10"/>
      <c r="N2" s="10"/>
      <c r="O2" s="10"/>
      <c r="P2" s="10"/>
      <c r="Q2" s="10"/>
      <c r="R2" s="10"/>
      <c r="S2" s="10"/>
      <c r="T2" s="10"/>
      <c r="U2" s="10"/>
      <c r="V2" s="10"/>
      <c r="W2" s="10"/>
      <c r="X2" s="10"/>
    </row>
    <row r="3" spans="1:24" ht="28.05" customHeight="1">
      <c r="A3" s="3" t="s">
        <v>22</v>
      </c>
      <c r="B3" s="3" t="s">
        <v>23</v>
      </c>
      <c r="C3" s="3" t="s">
        <v>738</v>
      </c>
      <c r="D3" s="3" t="s">
        <v>739</v>
      </c>
      <c r="E3" s="3" t="s">
        <v>740</v>
      </c>
      <c r="F3" s="3" t="s">
        <v>605</v>
      </c>
      <c r="G3" s="3" t="s">
        <v>606</v>
      </c>
      <c r="H3" s="3" t="s">
        <v>607</v>
      </c>
      <c r="I3" s="3" t="s">
        <v>40</v>
      </c>
      <c r="J3" s="3" t="s">
        <v>42</v>
      </c>
      <c r="K3" s="3" t="s">
        <v>44</v>
      </c>
      <c r="L3" s="3" t="s">
        <v>45</v>
      </c>
      <c r="M3" s="3" t="s">
        <v>46</v>
      </c>
      <c r="N3" s="3" t="s">
        <v>608</v>
      </c>
      <c r="O3" s="3" t="s">
        <v>609</v>
      </c>
      <c r="P3" s="3" t="s">
        <v>610</v>
      </c>
      <c r="Q3" s="3" t="s">
        <v>189</v>
      </c>
      <c r="R3" s="3" t="s">
        <v>50</v>
      </c>
      <c r="S3" s="3" t="s">
        <v>190</v>
      </c>
      <c r="T3" s="3" t="s">
        <v>690</v>
      </c>
      <c r="U3" s="3" t="s">
        <v>691</v>
      </c>
      <c r="V3" s="3" t="s">
        <v>741</v>
      </c>
      <c r="W3" s="3" t="s">
        <v>692</v>
      </c>
      <c r="X3" s="3" t="s">
        <v>192</v>
      </c>
    </row>
    <row r="4" spans="1:24" ht="37.950000000000003" customHeight="1">
      <c r="A4" s="4" t="s">
        <v>742</v>
      </c>
      <c r="B4" s="4" t="s">
        <v>743</v>
      </c>
      <c r="C4" s="4">
        <v>3</v>
      </c>
      <c r="D4" s="4">
        <v>50</v>
      </c>
      <c r="E4" s="4">
        <v>10</v>
      </c>
      <c r="F4" s="4">
        <v>560</v>
      </c>
      <c r="G4" s="4">
        <v>23</v>
      </c>
      <c r="H4" s="4">
        <v>3</v>
      </c>
      <c r="I4" s="4">
        <v>1</v>
      </c>
      <c r="J4" s="4">
        <v>248</v>
      </c>
      <c r="K4" s="4">
        <v>165</v>
      </c>
      <c r="L4" s="6">
        <v>0.05</v>
      </c>
      <c r="M4" s="4">
        <v>1.5</v>
      </c>
      <c r="N4" s="4">
        <f t="shared" ref="N4:N15" si="0">ROUND(G4*I4*(1+L4*(M4-1)),1)</f>
        <v>23.6</v>
      </c>
      <c r="O4" s="4">
        <v>522</v>
      </c>
      <c r="P4" s="4">
        <f t="shared" ref="P4:P15" si="1">ROUND(F4*(1+H4/100),0)</f>
        <v>577</v>
      </c>
      <c r="Q4" s="4" t="s">
        <v>744</v>
      </c>
      <c r="R4" s="4" t="s">
        <v>745</v>
      </c>
      <c r="S4" s="4" t="s">
        <v>211</v>
      </c>
      <c r="T4" s="4" t="s">
        <v>697</v>
      </c>
      <c r="U4" s="4">
        <v>10</v>
      </c>
      <c r="V4" s="4" t="s">
        <v>746</v>
      </c>
      <c r="W4" s="4" t="s">
        <v>747</v>
      </c>
      <c r="X4" s="4" t="s">
        <v>748</v>
      </c>
    </row>
    <row r="5" spans="1:24" ht="37.950000000000003" customHeight="1">
      <c r="A5" s="5" t="s">
        <v>749</v>
      </c>
      <c r="B5" s="5" t="s">
        <v>750</v>
      </c>
      <c r="C5" s="5">
        <v>6</v>
      </c>
      <c r="D5" s="5">
        <v>100</v>
      </c>
      <c r="E5" s="5">
        <v>20</v>
      </c>
      <c r="F5" s="5">
        <v>1200</v>
      </c>
      <c r="G5" s="5">
        <v>48</v>
      </c>
      <c r="H5" s="5">
        <v>13</v>
      </c>
      <c r="I5" s="5">
        <v>0.85</v>
      </c>
      <c r="J5" s="5">
        <v>32</v>
      </c>
      <c r="K5" s="5">
        <v>154</v>
      </c>
      <c r="L5" s="7">
        <v>0.05</v>
      </c>
      <c r="M5" s="5">
        <v>1.5</v>
      </c>
      <c r="N5" s="5">
        <f t="shared" si="0"/>
        <v>41.8</v>
      </c>
      <c r="O5" s="5">
        <v>252</v>
      </c>
      <c r="P5" s="5">
        <f t="shared" si="1"/>
        <v>1356</v>
      </c>
      <c r="Q5" s="5" t="s">
        <v>751</v>
      </c>
      <c r="R5" s="5" t="s">
        <v>752</v>
      </c>
      <c r="S5" s="5" t="s">
        <v>753</v>
      </c>
      <c r="T5" s="5" t="s">
        <v>697</v>
      </c>
      <c r="U5" s="5">
        <v>10</v>
      </c>
      <c r="V5" s="5"/>
      <c r="W5" s="5" t="s">
        <v>754</v>
      </c>
      <c r="X5" s="5" t="s">
        <v>755</v>
      </c>
    </row>
    <row r="6" spans="1:24" ht="37.950000000000003" customHeight="1">
      <c r="A6" s="4" t="s">
        <v>756</v>
      </c>
      <c r="B6" s="4" t="s">
        <v>757</v>
      </c>
      <c r="C6" s="4">
        <v>9</v>
      </c>
      <c r="D6" s="4">
        <v>150</v>
      </c>
      <c r="E6" s="4">
        <v>30</v>
      </c>
      <c r="F6" s="4">
        <v>1680</v>
      </c>
      <c r="G6" s="4">
        <v>99</v>
      </c>
      <c r="H6" s="4">
        <v>7</v>
      </c>
      <c r="I6" s="4">
        <v>1</v>
      </c>
      <c r="J6" s="4">
        <v>32</v>
      </c>
      <c r="K6" s="4">
        <v>170.5</v>
      </c>
      <c r="L6" s="6">
        <v>0.35</v>
      </c>
      <c r="M6" s="4">
        <v>1.5</v>
      </c>
      <c r="N6" s="4">
        <f t="shared" si="0"/>
        <v>116.3</v>
      </c>
      <c r="O6" s="4">
        <v>730</v>
      </c>
      <c r="P6" s="4">
        <f t="shared" si="1"/>
        <v>1798</v>
      </c>
      <c r="Q6" s="4" t="s">
        <v>758</v>
      </c>
      <c r="R6" s="4" t="s">
        <v>759</v>
      </c>
      <c r="S6" s="4" t="s">
        <v>201</v>
      </c>
      <c r="T6" s="4" t="s">
        <v>697</v>
      </c>
      <c r="U6" s="4">
        <v>0</v>
      </c>
      <c r="V6" s="4"/>
      <c r="W6" s="4" t="s">
        <v>760</v>
      </c>
      <c r="X6" s="4" t="s">
        <v>761</v>
      </c>
    </row>
    <row r="7" spans="1:24" ht="37.950000000000003" customHeight="1">
      <c r="A7" s="5" t="s">
        <v>762</v>
      </c>
      <c r="B7" s="5" t="s">
        <v>763</v>
      </c>
      <c r="C7" s="5">
        <v>12</v>
      </c>
      <c r="D7" s="5">
        <v>200</v>
      </c>
      <c r="E7" s="5">
        <v>40</v>
      </c>
      <c r="F7" s="5">
        <v>2300</v>
      </c>
      <c r="G7" s="5">
        <v>129</v>
      </c>
      <c r="H7" s="5">
        <v>8</v>
      </c>
      <c r="I7" s="5">
        <v>0.9</v>
      </c>
      <c r="J7" s="5">
        <v>32</v>
      </c>
      <c r="K7" s="5">
        <v>187</v>
      </c>
      <c r="L7" s="7">
        <v>0.05</v>
      </c>
      <c r="M7" s="5">
        <v>1.5</v>
      </c>
      <c r="N7" s="5">
        <f t="shared" si="0"/>
        <v>119</v>
      </c>
      <c r="O7" s="5">
        <v>1022</v>
      </c>
      <c r="P7" s="5">
        <f t="shared" si="1"/>
        <v>2484</v>
      </c>
      <c r="Q7" s="5" t="s">
        <v>764</v>
      </c>
      <c r="R7" s="5" t="s">
        <v>765</v>
      </c>
      <c r="S7" s="5" t="s">
        <v>766</v>
      </c>
      <c r="T7" s="5" t="s">
        <v>697</v>
      </c>
      <c r="U7" s="5">
        <v>9</v>
      </c>
      <c r="V7" s="5" t="s">
        <v>767</v>
      </c>
      <c r="W7" s="5" t="s">
        <v>1201</v>
      </c>
      <c r="X7" s="5" t="s">
        <v>1200</v>
      </c>
    </row>
    <row r="8" spans="1:24" ht="37.950000000000003" customHeight="1">
      <c r="A8" s="4" t="s">
        <v>768</v>
      </c>
      <c r="B8" s="4" t="s">
        <v>769</v>
      </c>
      <c r="C8" s="4">
        <v>15</v>
      </c>
      <c r="D8" s="4">
        <v>250</v>
      </c>
      <c r="E8" s="4">
        <v>50</v>
      </c>
      <c r="F8" s="4">
        <v>1480</v>
      </c>
      <c r="G8" s="4">
        <v>33</v>
      </c>
      <c r="H8" s="4">
        <v>7</v>
      </c>
      <c r="I8" s="4">
        <v>0.9</v>
      </c>
      <c r="J8" s="4">
        <v>248</v>
      </c>
      <c r="K8" s="4">
        <v>165</v>
      </c>
      <c r="L8" s="6">
        <v>0.05</v>
      </c>
      <c r="M8" s="4">
        <v>1.5</v>
      </c>
      <c r="N8" s="4">
        <f t="shared" si="0"/>
        <v>30.4</v>
      </c>
      <c r="O8" s="4">
        <v>297</v>
      </c>
      <c r="P8" s="4">
        <f t="shared" si="1"/>
        <v>1584</v>
      </c>
      <c r="Q8" s="4" t="s">
        <v>770</v>
      </c>
      <c r="R8" s="4" t="s">
        <v>771</v>
      </c>
      <c r="S8" s="4" t="s">
        <v>211</v>
      </c>
      <c r="T8" s="4" t="s">
        <v>697</v>
      </c>
      <c r="U8" s="4">
        <v>6</v>
      </c>
      <c r="V8" s="4"/>
      <c r="W8" s="4" t="s">
        <v>772</v>
      </c>
      <c r="X8" s="4" t="s">
        <v>773</v>
      </c>
    </row>
    <row r="9" spans="1:24" ht="37.950000000000003" customHeight="1">
      <c r="A9" s="5" t="s">
        <v>774</v>
      </c>
      <c r="B9" s="5" t="s">
        <v>775</v>
      </c>
      <c r="C9" s="5">
        <v>18</v>
      </c>
      <c r="D9" s="5">
        <v>300</v>
      </c>
      <c r="E9" s="5">
        <v>60</v>
      </c>
      <c r="F9" s="5">
        <v>2750</v>
      </c>
      <c r="G9" s="5">
        <v>188</v>
      </c>
      <c r="H9" s="5">
        <v>6</v>
      </c>
      <c r="I9" s="5">
        <v>1.35</v>
      </c>
      <c r="J9" s="5">
        <v>32</v>
      </c>
      <c r="K9" s="5">
        <v>198</v>
      </c>
      <c r="L9" s="7">
        <v>0.2</v>
      </c>
      <c r="M9" s="5">
        <v>2</v>
      </c>
      <c r="N9" s="5">
        <f t="shared" si="0"/>
        <v>304.60000000000002</v>
      </c>
      <c r="O9" s="5">
        <v>1404</v>
      </c>
      <c r="P9" s="5">
        <f t="shared" si="1"/>
        <v>2915</v>
      </c>
      <c r="Q9" s="5" t="s">
        <v>776</v>
      </c>
      <c r="R9" s="5" t="s">
        <v>777</v>
      </c>
      <c r="S9" s="5" t="s">
        <v>211</v>
      </c>
      <c r="T9" s="5" t="s">
        <v>697</v>
      </c>
      <c r="U9" s="5">
        <v>6</v>
      </c>
      <c r="V9" s="5"/>
      <c r="W9" s="5" t="s">
        <v>1202</v>
      </c>
      <c r="X9" s="5" t="s">
        <v>778</v>
      </c>
    </row>
    <row r="10" spans="1:24" ht="37.950000000000003" customHeight="1">
      <c r="A10" s="4" t="s">
        <v>779</v>
      </c>
      <c r="B10" s="4" t="s">
        <v>780</v>
      </c>
      <c r="C10" s="4">
        <v>21</v>
      </c>
      <c r="D10" s="4">
        <v>350</v>
      </c>
      <c r="E10" s="4">
        <v>70</v>
      </c>
      <c r="F10" s="4">
        <v>2829</v>
      </c>
      <c r="G10" s="4">
        <v>148</v>
      </c>
      <c r="H10" s="4">
        <v>11</v>
      </c>
      <c r="I10" s="4">
        <v>0.95</v>
      </c>
      <c r="J10" s="4">
        <v>32</v>
      </c>
      <c r="K10" s="4">
        <v>165</v>
      </c>
      <c r="L10" s="6">
        <v>0.05</v>
      </c>
      <c r="M10" s="4">
        <v>1.5</v>
      </c>
      <c r="N10" s="4">
        <f t="shared" si="0"/>
        <v>144.1</v>
      </c>
      <c r="O10" s="4">
        <v>1036</v>
      </c>
      <c r="P10" s="4">
        <f t="shared" si="1"/>
        <v>3140</v>
      </c>
      <c r="Q10" s="4" t="s">
        <v>781</v>
      </c>
      <c r="R10" s="4" t="s">
        <v>782</v>
      </c>
      <c r="S10" s="4" t="s">
        <v>783</v>
      </c>
      <c r="T10" s="4" t="s">
        <v>697</v>
      </c>
      <c r="U10" s="4">
        <v>30</v>
      </c>
      <c r="V10" s="4"/>
      <c r="W10" s="4" t="s">
        <v>1203</v>
      </c>
      <c r="X10" s="4" t="s">
        <v>784</v>
      </c>
    </row>
    <row r="11" spans="1:24" ht="37.950000000000003" customHeight="1">
      <c r="A11" s="5" t="s">
        <v>785</v>
      </c>
      <c r="B11" s="5" t="s">
        <v>786</v>
      </c>
      <c r="C11" s="5">
        <v>24</v>
      </c>
      <c r="D11" s="5">
        <v>400</v>
      </c>
      <c r="E11" s="5">
        <v>80</v>
      </c>
      <c r="F11" s="5">
        <v>2166</v>
      </c>
      <c r="G11" s="5">
        <v>239</v>
      </c>
      <c r="H11" s="5">
        <v>7</v>
      </c>
      <c r="I11" s="5">
        <v>1.35</v>
      </c>
      <c r="J11" s="5">
        <v>248</v>
      </c>
      <c r="K11" s="5">
        <v>176</v>
      </c>
      <c r="L11" s="7">
        <v>0.25</v>
      </c>
      <c r="M11" s="5">
        <v>1.5</v>
      </c>
      <c r="N11" s="5">
        <f t="shared" si="0"/>
        <v>363</v>
      </c>
      <c r="O11" s="5">
        <v>1470</v>
      </c>
      <c r="P11" s="5">
        <f t="shared" si="1"/>
        <v>2318</v>
      </c>
      <c r="Q11" s="5" t="s">
        <v>787</v>
      </c>
      <c r="R11" s="5" t="s">
        <v>788</v>
      </c>
      <c r="S11" s="5" t="s">
        <v>211</v>
      </c>
      <c r="T11" s="5" t="s">
        <v>697</v>
      </c>
      <c r="U11" s="5">
        <v>10</v>
      </c>
      <c r="V11" s="5" t="s">
        <v>789</v>
      </c>
      <c r="W11" s="5" t="s">
        <v>1204</v>
      </c>
      <c r="X11" s="5" t="s">
        <v>1205</v>
      </c>
    </row>
    <row r="12" spans="1:24" ht="37.950000000000003" customHeight="1">
      <c r="A12" s="4" t="s">
        <v>790</v>
      </c>
      <c r="B12" s="4" t="s">
        <v>791</v>
      </c>
      <c r="C12" s="4">
        <v>27</v>
      </c>
      <c r="D12" s="4">
        <v>450</v>
      </c>
      <c r="E12" s="4">
        <v>90</v>
      </c>
      <c r="F12" s="4">
        <v>3792</v>
      </c>
      <c r="G12" s="4">
        <v>158</v>
      </c>
      <c r="H12" s="4">
        <v>17</v>
      </c>
      <c r="I12" s="4">
        <v>1.5</v>
      </c>
      <c r="J12" s="4">
        <v>32</v>
      </c>
      <c r="K12" s="4">
        <v>176</v>
      </c>
      <c r="L12" s="6">
        <v>0.05</v>
      </c>
      <c r="M12" s="4">
        <v>1.5</v>
      </c>
      <c r="N12" s="4">
        <f t="shared" si="0"/>
        <v>242.9</v>
      </c>
      <c r="O12" s="4">
        <v>850</v>
      </c>
      <c r="P12" s="4">
        <f t="shared" si="1"/>
        <v>4437</v>
      </c>
      <c r="Q12" s="4" t="s">
        <v>792</v>
      </c>
      <c r="R12" s="4" t="s">
        <v>793</v>
      </c>
      <c r="S12" s="4" t="s">
        <v>794</v>
      </c>
      <c r="T12" s="4" t="s">
        <v>697</v>
      </c>
      <c r="U12" s="4">
        <v>0</v>
      </c>
      <c r="V12" s="4"/>
      <c r="W12" s="4" t="s">
        <v>1206</v>
      </c>
      <c r="X12" s="4" t="s">
        <v>795</v>
      </c>
    </row>
    <row r="13" spans="1:24" ht="37.950000000000003" customHeight="1">
      <c r="A13" s="5" t="s">
        <v>796</v>
      </c>
      <c r="B13" s="5" t="s">
        <v>797</v>
      </c>
      <c r="C13" s="5">
        <v>30</v>
      </c>
      <c r="D13" s="5">
        <v>500</v>
      </c>
      <c r="E13" s="5">
        <v>100</v>
      </c>
      <c r="F13" s="5">
        <v>3580</v>
      </c>
      <c r="G13" s="5">
        <v>148</v>
      </c>
      <c r="H13" s="5">
        <v>16</v>
      </c>
      <c r="I13" s="5">
        <v>0.9</v>
      </c>
      <c r="J13" s="5">
        <v>32</v>
      </c>
      <c r="K13" s="5">
        <v>159.5</v>
      </c>
      <c r="L13" s="7">
        <v>0.05</v>
      </c>
      <c r="M13" s="5">
        <v>1.5</v>
      </c>
      <c r="N13" s="5">
        <f t="shared" si="0"/>
        <v>136.5</v>
      </c>
      <c r="O13" s="5">
        <v>924</v>
      </c>
      <c r="P13" s="5">
        <f t="shared" si="1"/>
        <v>4153</v>
      </c>
      <c r="Q13" s="5" t="s">
        <v>798</v>
      </c>
      <c r="R13" s="5" t="s">
        <v>799</v>
      </c>
      <c r="S13" s="5" t="s">
        <v>211</v>
      </c>
      <c r="T13" s="5" t="s">
        <v>697</v>
      </c>
      <c r="U13" s="5">
        <v>8</v>
      </c>
      <c r="V13" s="5"/>
      <c r="W13" s="5" t="s">
        <v>800</v>
      </c>
      <c r="X13" s="5" t="s">
        <v>801</v>
      </c>
    </row>
    <row r="14" spans="1:24" ht="37.950000000000003" customHeight="1">
      <c r="A14" s="4" t="s">
        <v>802</v>
      </c>
      <c r="B14" s="4" t="s">
        <v>803</v>
      </c>
      <c r="C14" s="4">
        <v>33</v>
      </c>
      <c r="D14" s="4">
        <v>550</v>
      </c>
      <c r="E14" s="4">
        <v>110</v>
      </c>
      <c r="F14" s="4">
        <v>3300</v>
      </c>
      <c r="G14" s="4">
        <v>209</v>
      </c>
      <c r="H14" s="4">
        <v>15</v>
      </c>
      <c r="I14" s="4">
        <v>0.95</v>
      </c>
      <c r="J14" s="4">
        <v>248</v>
      </c>
      <c r="K14" s="4">
        <v>170.5</v>
      </c>
      <c r="L14" s="6">
        <v>0.05</v>
      </c>
      <c r="M14" s="4">
        <v>1.5</v>
      </c>
      <c r="N14" s="4">
        <f t="shared" si="0"/>
        <v>203.5</v>
      </c>
      <c r="O14" s="4">
        <v>880</v>
      </c>
      <c r="P14" s="4">
        <f t="shared" si="1"/>
        <v>3795</v>
      </c>
      <c r="Q14" s="4" t="s">
        <v>804</v>
      </c>
      <c r="R14" s="4" t="s">
        <v>805</v>
      </c>
      <c r="S14" s="4" t="s">
        <v>211</v>
      </c>
      <c r="T14" s="4" t="s">
        <v>697</v>
      </c>
      <c r="U14" s="4">
        <v>8</v>
      </c>
      <c r="V14" s="4" t="s">
        <v>806</v>
      </c>
      <c r="W14" s="4" t="s">
        <v>807</v>
      </c>
      <c r="X14" s="4" t="s">
        <v>808</v>
      </c>
    </row>
    <row r="15" spans="1:24" ht="37.950000000000003" customHeight="1">
      <c r="A15" s="5" t="s">
        <v>809</v>
      </c>
      <c r="B15" s="5" t="s">
        <v>810</v>
      </c>
      <c r="C15" s="5">
        <v>36</v>
      </c>
      <c r="D15" s="5">
        <v>600</v>
      </c>
      <c r="E15" s="5">
        <v>120</v>
      </c>
      <c r="F15" s="5">
        <v>3700</v>
      </c>
      <c r="G15" s="5">
        <v>314</v>
      </c>
      <c r="H15" s="5">
        <v>13</v>
      </c>
      <c r="I15" s="5">
        <v>1.5</v>
      </c>
      <c r="J15" s="5">
        <v>32</v>
      </c>
      <c r="K15" s="5">
        <v>181.5</v>
      </c>
      <c r="L15" s="7">
        <v>0.05</v>
      </c>
      <c r="M15" s="5">
        <v>1.5</v>
      </c>
      <c r="N15" s="5">
        <f t="shared" si="0"/>
        <v>482.8</v>
      </c>
      <c r="O15" s="5">
        <v>1240</v>
      </c>
      <c r="P15" s="5">
        <f t="shared" si="1"/>
        <v>4181</v>
      </c>
      <c r="Q15" s="5" t="s">
        <v>811</v>
      </c>
      <c r="R15" s="5" t="s">
        <v>812</v>
      </c>
      <c r="S15" s="5" t="s">
        <v>813</v>
      </c>
      <c r="T15" s="5" t="s">
        <v>697</v>
      </c>
      <c r="U15" s="5">
        <v>0</v>
      </c>
      <c r="V15" s="5"/>
      <c r="W15" s="5" t="s">
        <v>1207</v>
      </c>
      <c r="X15" s="5" t="s">
        <v>1208</v>
      </c>
    </row>
  </sheetData>
  <mergeCells count="2">
    <mergeCell ref="A1:X1"/>
    <mergeCell ref="A2:X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35"/>
  <sheetViews>
    <sheetView showGridLines="0" workbookViewId="0">
      <pane ySplit="3" topLeftCell="A16" activePane="bottomLeft" state="frozen"/>
      <selection pane="bottomLeft" activeCell="E24" sqref="E24"/>
    </sheetView>
  </sheetViews>
  <sheetFormatPr defaultColWidth="9" defaultRowHeight="14.4"/>
  <cols>
    <col min="1" max="1" width="24" customWidth="1"/>
    <col min="2" max="2" width="19" customWidth="1"/>
    <col min="3" max="3" width="16" customWidth="1"/>
    <col min="4" max="4" width="18" customWidth="1"/>
    <col min="5" max="5" width="105" customWidth="1"/>
    <col min="6" max="6" width="48" customWidth="1"/>
    <col min="7" max="7" width="65" customWidth="1"/>
    <col min="8" max="8" width="19" customWidth="1"/>
  </cols>
  <sheetData>
    <row r="1" spans="1:8" ht="34.049999999999997" customHeight="1">
      <c r="A1" s="9" t="s">
        <v>814</v>
      </c>
      <c r="B1" s="9"/>
      <c r="C1" s="9"/>
      <c r="D1" s="9"/>
      <c r="E1" s="9"/>
      <c r="F1" s="9"/>
      <c r="G1" s="9"/>
      <c r="H1" s="9"/>
    </row>
    <row r="2" spans="1:8" ht="31.95" customHeight="1">
      <c r="A2" s="10" t="s">
        <v>815</v>
      </c>
      <c r="B2" s="10"/>
      <c r="C2" s="10"/>
      <c r="D2" s="10"/>
      <c r="E2" s="10"/>
      <c r="F2" s="10"/>
      <c r="G2" s="10"/>
      <c r="H2" s="10"/>
    </row>
    <row r="3" spans="1:8" ht="28.05" customHeight="1">
      <c r="A3" s="3" t="s">
        <v>22</v>
      </c>
      <c r="B3" s="3" t="s">
        <v>23</v>
      </c>
      <c r="C3" s="3" t="s">
        <v>816</v>
      </c>
      <c r="D3" s="3" t="s">
        <v>817</v>
      </c>
      <c r="E3" s="3" t="s">
        <v>818</v>
      </c>
      <c r="F3" s="3" t="s">
        <v>819</v>
      </c>
      <c r="G3" s="3" t="s">
        <v>820</v>
      </c>
      <c r="H3" s="3" t="s">
        <v>199</v>
      </c>
    </row>
    <row r="4" spans="1:8" ht="37.950000000000003" customHeight="1">
      <c r="A4" s="4" t="s">
        <v>821</v>
      </c>
      <c r="B4" s="4" t="s">
        <v>822</v>
      </c>
      <c r="C4" s="4" t="s">
        <v>607</v>
      </c>
      <c r="D4" s="4" t="s">
        <v>823</v>
      </c>
      <c r="E4" s="4" t="s">
        <v>824</v>
      </c>
      <c r="F4" s="4" t="s">
        <v>825</v>
      </c>
      <c r="G4" s="4" t="s">
        <v>826</v>
      </c>
      <c r="H4" s="4" t="s">
        <v>547</v>
      </c>
    </row>
    <row r="5" spans="1:8" ht="37.950000000000003" customHeight="1">
      <c r="A5" s="5" t="s">
        <v>827</v>
      </c>
      <c r="B5" s="5" t="s">
        <v>828</v>
      </c>
      <c r="C5" s="5" t="s">
        <v>607</v>
      </c>
      <c r="D5" s="5" t="s">
        <v>823</v>
      </c>
      <c r="E5" s="5" t="s">
        <v>829</v>
      </c>
      <c r="F5" s="5" t="s">
        <v>830</v>
      </c>
      <c r="G5" s="5" t="s">
        <v>831</v>
      </c>
      <c r="H5" s="5" t="s">
        <v>547</v>
      </c>
    </row>
    <row r="6" spans="1:8" ht="37.950000000000003" customHeight="1">
      <c r="A6" s="4" t="s">
        <v>832</v>
      </c>
      <c r="B6" s="4" t="s">
        <v>833</v>
      </c>
      <c r="C6" s="4" t="s">
        <v>607</v>
      </c>
      <c r="D6" s="4" t="s">
        <v>330</v>
      </c>
      <c r="E6" s="4" t="s">
        <v>834</v>
      </c>
      <c r="F6" s="4" t="s">
        <v>835</v>
      </c>
      <c r="G6" s="4" t="s">
        <v>836</v>
      </c>
      <c r="H6" s="4" t="s">
        <v>547</v>
      </c>
    </row>
    <row r="7" spans="1:8" ht="37.950000000000003" customHeight="1">
      <c r="A7" s="5" t="s">
        <v>837</v>
      </c>
      <c r="B7" s="5" t="s">
        <v>838</v>
      </c>
      <c r="C7" s="5" t="s">
        <v>607</v>
      </c>
      <c r="D7" s="5" t="s">
        <v>839</v>
      </c>
      <c r="E7" s="5" t="s">
        <v>840</v>
      </c>
      <c r="F7" s="5" t="s">
        <v>56</v>
      </c>
      <c r="G7" s="5" t="s">
        <v>836</v>
      </c>
      <c r="H7" s="5" t="s">
        <v>547</v>
      </c>
    </row>
    <row r="8" spans="1:8" ht="37.950000000000003" customHeight="1">
      <c r="A8" s="4" t="s">
        <v>841</v>
      </c>
      <c r="B8" s="4" t="s">
        <v>842</v>
      </c>
      <c r="C8" s="4" t="s">
        <v>607</v>
      </c>
      <c r="D8" s="4" t="s">
        <v>843</v>
      </c>
      <c r="E8" s="4" t="s">
        <v>844</v>
      </c>
      <c r="F8" s="4" t="s">
        <v>56</v>
      </c>
      <c r="G8" s="4" t="s">
        <v>836</v>
      </c>
      <c r="H8" s="4" t="s">
        <v>547</v>
      </c>
    </row>
    <row r="9" spans="1:8" ht="37.950000000000003" customHeight="1">
      <c r="A9" s="5" t="s">
        <v>845</v>
      </c>
      <c r="B9" s="5" t="s">
        <v>846</v>
      </c>
      <c r="C9" s="5" t="s">
        <v>607</v>
      </c>
      <c r="D9" s="5" t="s">
        <v>823</v>
      </c>
      <c r="E9" s="5" t="s">
        <v>847</v>
      </c>
      <c r="F9" s="5" t="s">
        <v>56</v>
      </c>
      <c r="G9" s="5" t="s">
        <v>848</v>
      </c>
      <c r="H9" s="5" t="s">
        <v>547</v>
      </c>
    </row>
    <row r="10" spans="1:8" ht="37.950000000000003" customHeight="1">
      <c r="A10" s="4" t="s">
        <v>849</v>
      </c>
      <c r="B10" s="4" t="s">
        <v>850</v>
      </c>
      <c r="C10" s="4" t="s">
        <v>851</v>
      </c>
      <c r="D10" s="4" t="s">
        <v>852</v>
      </c>
      <c r="E10" s="4" t="s">
        <v>853</v>
      </c>
      <c r="F10" s="4" t="s">
        <v>854</v>
      </c>
      <c r="G10" s="4" t="s">
        <v>836</v>
      </c>
      <c r="H10" s="4" t="s">
        <v>547</v>
      </c>
    </row>
    <row r="11" spans="1:8" ht="37.950000000000003" customHeight="1">
      <c r="A11" s="5" t="s">
        <v>855</v>
      </c>
      <c r="B11" s="5" t="s">
        <v>856</v>
      </c>
      <c r="C11" s="5" t="s">
        <v>851</v>
      </c>
      <c r="D11" s="5" t="s">
        <v>857</v>
      </c>
      <c r="E11" s="5" t="s">
        <v>1195</v>
      </c>
      <c r="F11" s="5" t="s">
        <v>56</v>
      </c>
      <c r="G11" s="5" t="s">
        <v>836</v>
      </c>
      <c r="H11" s="5" t="s">
        <v>547</v>
      </c>
    </row>
    <row r="12" spans="1:8" ht="37.950000000000003" customHeight="1">
      <c r="A12" s="4" t="s">
        <v>858</v>
      </c>
      <c r="B12" s="4" t="s">
        <v>859</v>
      </c>
      <c r="C12" s="4" t="s">
        <v>851</v>
      </c>
      <c r="D12" s="4" t="s">
        <v>860</v>
      </c>
      <c r="E12" s="4" t="s">
        <v>861</v>
      </c>
      <c r="F12" s="4" t="s">
        <v>56</v>
      </c>
      <c r="G12" s="4" t="s">
        <v>836</v>
      </c>
      <c r="H12" s="4" t="s">
        <v>547</v>
      </c>
    </row>
    <row r="13" spans="1:8" ht="37.950000000000003" customHeight="1">
      <c r="A13" s="5" t="s">
        <v>862</v>
      </c>
      <c r="B13" s="5" t="s">
        <v>863</v>
      </c>
      <c r="C13" s="5" t="s">
        <v>851</v>
      </c>
      <c r="D13" s="5" t="s">
        <v>864</v>
      </c>
      <c r="E13" s="5" t="s">
        <v>865</v>
      </c>
      <c r="F13" s="5" t="s">
        <v>56</v>
      </c>
      <c r="G13" s="5" t="s">
        <v>866</v>
      </c>
      <c r="H13" s="5" t="s">
        <v>547</v>
      </c>
    </row>
    <row r="14" spans="1:8" ht="37.950000000000003" customHeight="1">
      <c r="A14" s="4" t="s">
        <v>867</v>
      </c>
      <c r="B14" s="4" t="s">
        <v>868</v>
      </c>
      <c r="C14" s="4" t="s">
        <v>851</v>
      </c>
      <c r="D14" s="4" t="s">
        <v>852</v>
      </c>
      <c r="E14" s="4" t="s">
        <v>869</v>
      </c>
      <c r="F14" s="4" t="s">
        <v>56</v>
      </c>
      <c r="G14" s="4" t="s">
        <v>836</v>
      </c>
      <c r="H14" s="4" t="s">
        <v>547</v>
      </c>
    </row>
    <row r="15" spans="1:8" ht="37.950000000000003" customHeight="1">
      <c r="A15" s="5" t="s">
        <v>870</v>
      </c>
      <c r="B15" s="5" t="s">
        <v>871</v>
      </c>
      <c r="C15" s="5" t="s">
        <v>606</v>
      </c>
      <c r="D15" s="5" t="s">
        <v>823</v>
      </c>
      <c r="E15" s="5" t="s">
        <v>872</v>
      </c>
      <c r="F15" s="5" t="s">
        <v>873</v>
      </c>
      <c r="G15" s="5" t="s">
        <v>874</v>
      </c>
      <c r="H15" s="5" t="s">
        <v>547</v>
      </c>
    </row>
    <row r="16" spans="1:8" ht="37.950000000000003" customHeight="1">
      <c r="A16" s="4" t="s">
        <v>875</v>
      </c>
      <c r="B16" s="4" t="s">
        <v>876</v>
      </c>
      <c r="C16" s="4" t="s">
        <v>606</v>
      </c>
      <c r="D16" s="4" t="s">
        <v>877</v>
      </c>
      <c r="E16" s="4" t="s">
        <v>878</v>
      </c>
      <c r="F16" s="4" t="s">
        <v>879</v>
      </c>
      <c r="G16" s="4" t="s">
        <v>836</v>
      </c>
      <c r="H16" s="4" t="s">
        <v>547</v>
      </c>
    </row>
    <row r="17" spans="1:8" ht="37.950000000000003" customHeight="1">
      <c r="A17" s="5" t="s">
        <v>880</v>
      </c>
      <c r="B17" s="5" t="s">
        <v>881</v>
      </c>
      <c r="C17" s="5" t="s">
        <v>606</v>
      </c>
      <c r="D17" s="5" t="s">
        <v>823</v>
      </c>
      <c r="E17" s="5" t="s">
        <v>882</v>
      </c>
      <c r="F17" s="5" t="s">
        <v>56</v>
      </c>
      <c r="G17" s="5" t="s">
        <v>883</v>
      </c>
      <c r="H17" s="5" t="s">
        <v>547</v>
      </c>
    </row>
    <row r="18" spans="1:8" ht="37.950000000000003" customHeight="1">
      <c r="A18" s="4" t="s">
        <v>884</v>
      </c>
      <c r="B18" s="4" t="s">
        <v>885</v>
      </c>
      <c r="C18" s="4" t="s">
        <v>606</v>
      </c>
      <c r="D18" s="4" t="s">
        <v>886</v>
      </c>
      <c r="E18" s="4" t="s">
        <v>887</v>
      </c>
      <c r="F18" s="4" t="s">
        <v>56</v>
      </c>
      <c r="G18" s="4" t="s">
        <v>836</v>
      </c>
      <c r="H18" s="4" t="s">
        <v>547</v>
      </c>
    </row>
    <row r="19" spans="1:8" ht="37.950000000000003" customHeight="1">
      <c r="A19" s="5" t="s">
        <v>888</v>
      </c>
      <c r="B19" s="5" t="s">
        <v>889</v>
      </c>
      <c r="C19" s="5" t="s">
        <v>606</v>
      </c>
      <c r="D19" s="5" t="s">
        <v>890</v>
      </c>
      <c r="E19" s="5" t="s">
        <v>891</v>
      </c>
      <c r="F19" s="5" t="s">
        <v>56</v>
      </c>
      <c r="G19" s="5" t="s">
        <v>836</v>
      </c>
      <c r="H19" s="5" t="s">
        <v>547</v>
      </c>
    </row>
    <row r="20" spans="1:8" ht="37.950000000000003" customHeight="1">
      <c r="A20" s="4" t="s">
        <v>892</v>
      </c>
      <c r="B20" s="4" t="s">
        <v>893</v>
      </c>
      <c r="C20" s="4" t="s">
        <v>894</v>
      </c>
      <c r="D20" s="4" t="s">
        <v>895</v>
      </c>
      <c r="E20" s="4" t="s">
        <v>896</v>
      </c>
      <c r="F20" s="4" t="s">
        <v>56</v>
      </c>
      <c r="G20" s="4" t="s">
        <v>836</v>
      </c>
      <c r="H20" s="4" t="s">
        <v>547</v>
      </c>
    </row>
    <row r="21" spans="1:8" ht="37.950000000000003" customHeight="1">
      <c r="A21" s="5" t="s">
        <v>897</v>
      </c>
      <c r="B21" s="5" t="s">
        <v>898</v>
      </c>
      <c r="C21" s="5" t="s">
        <v>894</v>
      </c>
      <c r="D21" s="5" t="s">
        <v>899</v>
      </c>
      <c r="E21" s="5" t="s">
        <v>900</v>
      </c>
      <c r="F21" s="5" t="s">
        <v>56</v>
      </c>
      <c r="G21" s="5" t="s">
        <v>836</v>
      </c>
      <c r="H21" s="5" t="s">
        <v>547</v>
      </c>
    </row>
    <row r="22" spans="1:8" ht="37.950000000000003" customHeight="1">
      <c r="A22" s="4" t="s">
        <v>901</v>
      </c>
      <c r="B22" s="4" t="s">
        <v>902</v>
      </c>
      <c r="C22" s="4" t="s">
        <v>894</v>
      </c>
      <c r="D22" s="4" t="s">
        <v>903</v>
      </c>
      <c r="E22" s="4" t="s">
        <v>904</v>
      </c>
      <c r="F22" s="4" t="s">
        <v>56</v>
      </c>
      <c r="G22" s="4" t="s">
        <v>836</v>
      </c>
      <c r="H22" s="4" t="s">
        <v>547</v>
      </c>
    </row>
    <row r="23" spans="1:8" ht="37.950000000000003" customHeight="1">
      <c r="A23" s="5" t="s">
        <v>905</v>
      </c>
      <c r="B23" s="5" t="s">
        <v>906</v>
      </c>
      <c r="C23" s="5" t="s">
        <v>894</v>
      </c>
      <c r="D23" s="5" t="s">
        <v>907</v>
      </c>
      <c r="E23" s="5" t="s">
        <v>908</v>
      </c>
      <c r="F23" s="5" t="s">
        <v>909</v>
      </c>
      <c r="G23" s="5" t="s">
        <v>836</v>
      </c>
      <c r="H23" s="5" t="s">
        <v>547</v>
      </c>
    </row>
    <row r="24" spans="1:8" ht="37.950000000000003" customHeight="1">
      <c r="A24" s="4" t="s">
        <v>910</v>
      </c>
      <c r="B24" s="4" t="s">
        <v>911</v>
      </c>
      <c r="C24" s="4" t="s">
        <v>894</v>
      </c>
      <c r="D24" s="4" t="s">
        <v>330</v>
      </c>
      <c r="E24" s="4" t="s">
        <v>912</v>
      </c>
      <c r="F24" s="4" t="s">
        <v>56</v>
      </c>
      <c r="G24" s="4" t="s">
        <v>836</v>
      </c>
      <c r="H24" s="4" t="s">
        <v>547</v>
      </c>
    </row>
    <row r="25" spans="1:8" ht="37.950000000000003" customHeight="1">
      <c r="A25" s="5" t="s">
        <v>913</v>
      </c>
      <c r="B25" s="5" t="s">
        <v>914</v>
      </c>
      <c r="C25" s="5" t="s">
        <v>25</v>
      </c>
      <c r="D25" s="5" t="s">
        <v>915</v>
      </c>
      <c r="E25" s="5" t="s">
        <v>916</v>
      </c>
      <c r="F25" s="5" t="s">
        <v>56</v>
      </c>
      <c r="G25" s="5" t="s">
        <v>836</v>
      </c>
      <c r="H25" s="5" t="s">
        <v>547</v>
      </c>
    </row>
    <row r="26" spans="1:8" ht="37.950000000000003" customHeight="1">
      <c r="A26" s="4" t="s">
        <v>917</v>
      </c>
      <c r="B26" s="4" t="s">
        <v>918</v>
      </c>
      <c r="C26" s="4" t="s">
        <v>25</v>
      </c>
      <c r="D26" s="4" t="s">
        <v>915</v>
      </c>
      <c r="E26" s="4" t="s">
        <v>919</v>
      </c>
      <c r="F26" s="4" t="s">
        <v>56</v>
      </c>
      <c r="G26" s="4" t="s">
        <v>836</v>
      </c>
      <c r="H26" s="4" t="s">
        <v>547</v>
      </c>
    </row>
    <row r="27" spans="1:8" ht="37.950000000000003" customHeight="1">
      <c r="A27" s="5" t="s">
        <v>920</v>
      </c>
      <c r="B27" s="5" t="s">
        <v>921</v>
      </c>
      <c r="C27" s="5" t="s">
        <v>25</v>
      </c>
      <c r="D27" s="5" t="s">
        <v>915</v>
      </c>
      <c r="E27" s="5" t="s">
        <v>922</v>
      </c>
      <c r="F27" s="5" t="s">
        <v>56</v>
      </c>
      <c r="G27" s="5" t="s">
        <v>836</v>
      </c>
      <c r="H27" s="5" t="s">
        <v>547</v>
      </c>
    </row>
    <row r="28" spans="1:8" ht="37.950000000000003" customHeight="1">
      <c r="A28" s="4" t="s">
        <v>923</v>
      </c>
      <c r="B28" s="4" t="s">
        <v>924</v>
      </c>
      <c r="C28" s="4" t="s">
        <v>25</v>
      </c>
      <c r="D28" s="4" t="s">
        <v>915</v>
      </c>
      <c r="E28" s="4" t="s">
        <v>925</v>
      </c>
      <c r="F28" s="4" t="s">
        <v>56</v>
      </c>
      <c r="G28" s="4" t="s">
        <v>836</v>
      </c>
      <c r="H28" s="4" t="s">
        <v>547</v>
      </c>
    </row>
    <row r="29" spans="1:8" ht="37.950000000000003" customHeight="1">
      <c r="A29" s="5"/>
      <c r="B29" s="5"/>
      <c r="C29" s="5"/>
      <c r="D29" s="5"/>
      <c r="E29" s="5"/>
      <c r="F29" s="5"/>
      <c r="G29" s="5"/>
      <c r="H29" s="5" t="s">
        <v>926</v>
      </c>
    </row>
    <row r="30" spans="1:8" ht="37.950000000000003" customHeight="1">
      <c r="A30" s="4" t="s">
        <v>927</v>
      </c>
      <c r="B30" s="4"/>
      <c r="C30" s="4"/>
      <c r="D30" s="4"/>
      <c r="E30" s="4"/>
      <c r="F30" s="4"/>
      <c r="G30" s="4"/>
      <c r="H30" s="4" t="s">
        <v>926</v>
      </c>
    </row>
    <row r="31" spans="1:8" ht="37.950000000000003" customHeight="1">
      <c r="A31" s="5" t="s">
        <v>928</v>
      </c>
      <c r="B31" s="5" t="s">
        <v>929</v>
      </c>
      <c r="C31" s="5" t="s">
        <v>930</v>
      </c>
      <c r="D31" s="5" t="s">
        <v>931</v>
      </c>
      <c r="E31" s="5" t="s">
        <v>932</v>
      </c>
      <c r="F31" s="5"/>
      <c r="G31" s="5" t="s">
        <v>933</v>
      </c>
      <c r="H31" s="5" t="s">
        <v>926</v>
      </c>
    </row>
    <row r="32" spans="1:8" ht="37.950000000000003" customHeight="1">
      <c r="A32" s="4" t="s">
        <v>934</v>
      </c>
      <c r="B32" s="4" t="s">
        <v>935</v>
      </c>
      <c r="C32" s="4" t="s">
        <v>936</v>
      </c>
      <c r="D32" s="4" t="s">
        <v>931</v>
      </c>
      <c r="E32" s="4" t="s">
        <v>937</v>
      </c>
      <c r="F32" s="4"/>
      <c r="G32" s="4" t="s">
        <v>938</v>
      </c>
      <c r="H32" s="4" t="s">
        <v>926</v>
      </c>
    </row>
    <row r="33" spans="1:8" ht="37.950000000000003" customHeight="1">
      <c r="A33" s="5" t="s">
        <v>939</v>
      </c>
      <c r="B33" s="5" t="s">
        <v>935</v>
      </c>
      <c r="C33" s="5" t="s">
        <v>940</v>
      </c>
      <c r="D33" s="5" t="s">
        <v>931</v>
      </c>
      <c r="E33" s="5" t="s">
        <v>941</v>
      </c>
      <c r="F33" s="5"/>
      <c r="G33" s="5" t="s">
        <v>942</v>
      </c>
      <c r="H33" s="5" t="s">
        <v>926</v>
      </c>
    </row>
    <row r="34" spans="1:8" ht="37.950000000000003" customHeight="1">
      <c r="A34" s="4" t="s">
        <v>943</v>
      </c>
      <c r="B34" s="4" t="s">
        <v>935</v>
      </c>
      <c r="C34" s="4" t="s">
        <v>944</v>
      </c>
      <c r="D34" s="4" t="s">
        <v>931</v>
      </c>
      <c r="E34" s="4" t="s">
        <v>945</v>
      </c>
      <c r="F34" s="4"/>
      <c r="G34" s="4" t="s">
        <v>946</v>
      </c>
      <c r="H34" s="4" t="s">
        <v>926</v>
      </c>
    </row>
    <row r="35" spans="1:8" ht="37.950000000000003" customHeight="1">
      <c r="A35" s="5" t="s">
        <v>947</v>
      </c>
      <c r="B35" s="5" t="s">
        <v>948</v>
      </c>
      <c r="C35" s="5" t="s">
        <v>949</v>
      </c>
      <c r="D35" s="5" t="s">
        <v>931</v>
      </c>
      <c r="E35" s="5" t="s">
        <v>950</v>
      </c>
      <c r="F35" s="5"/>
      <c r="G35" s="5" t="s">
        <v>951</v>
      </c>
      <c r="H35" s="5" t="s">
        <v>926</v>
      </c>
    </row>
  </sheetData>
  <mergeCells count="2">
    <mergeCell ref="A1:H1"/>
    <mergeCell ref="A2:H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14"/>
  <sheetViews>
    <sheetView showGridLines="0" workbookViewId="0">
      <pane ySplit="3" topLeftCell="A4" activePane="bottomLeft" state="frozen"/>
      <selection pane="bottomLeft" sqref="A1:I1"/>
    </sheetView>
  </sheetViews>
  <sheetFormatPr defaultColWidth="9" defaultRowHeight="14.4"/>
  <cols>
    <col min="1" max="1" width="25" customWidth="1"/>
    <col min="2" max="2" width="20" customWidth="1"/>
    <col min="3" max="3" width="50" customWidth="1"/>
    <col min="4" max="4" width="11" customWidth="1"/>
    <col min="5" max="5" width="118" customWidth="1"/>
    <col min="6" max="6" width="17" customWidth="1"/>
    <col min="7" max="7" width="23" customWidth="1"/>
    <col min="8" max="8" width="34" customWidth="1"/>
    <col min="9" max="9" width="28" customWidth="1"/>
  </cols>
  <sheetData>
    <row r="1" spans="1:9" ht="34.049999999999997" customHeight="1">
      <c r="A1" s="9" t="s">
        <v>952</v>
      </c>
      <c r="B1" s="9"/>
      <c r="C1" s="9"/>
      <c r="D1" s="9"/>
      <c r="E1" s="9"/>
      <c r="F1" s="9"/>
      <c r="G1" s="9"/>
      <c r="H1" s="9"/>
      <c r="I1" s="9"/>
    </row>
    <row r="2" spans="1:9" ht="31.95" customHeight="1">
      <c r="A2" s="10" t="s">
        <v>953</v>
      </c>
      <c r="B2" s="10"/>
      <c r="C2" s="10"/>
      <c r="D2" s="10"/>
      <c r="E2" s="10"/>
      <c r="F2" s="10"/>
      <c r="G2" s="10"/>
      <c r="H2" s="10"/>
      <c r="I2" s="10"/>
    </row>
    <row r="3" spans="1:9" ht="28.05" customHeight="1">
      <c r="A3" s="3" t="s">
        <v>954</v>
      </c>
      <c r="B3" s="3" t="s">
        <v>23</v>
      </c>
      <c r="C3" s="3" t="s">
        <v>955</v>
      </c>
      <c r="D3" s="3" t="s">
        <v>956</v>
      </c>
      <c r="E3" s="3" t="s">
        <v>818</v>
      </c>
      <c r="F3" s="3" t="s">
        <v>957</v>
      </c>
      <c r="G3" s="3" t="s">
        <v>958</v>
      </c>
      <c r="H3" s="3" t="s">
        <v>959</v>
      </c>
      <c r="I3" s="3" t="s">
        <v>199</v>
      </c>
    </row>
    <row r="4" spans="1:9" ht="37.950000000000003" customHeight="1">
      <c r="A4" s="4" t="s">
        <v>960</v>
      </c>
      <c r="B4" s="4" t="s">
        <v>961</v>
      </c>
      <c r="C4" s="4" t="s">
        <v>962</v>
      </c>
      <c r="D4" s="4">
        <v>2</v>
      </c>
      <c r="E4" s="4" t="s">
        <v>963</v>
      </c>
      <c r="F4" s="4" t="s">
        <v>964</v>
      </c>
      <c r="G4" s="4" t="s">
        <v>965</v>
      </c>
      <c r="H4" s="4" t="s">
        <v>966</v>
      </c>
      <c r="I4" s="4" t="s">
        <v>547</v>
      </c>
    </row>
    <row r="5" spans="1:9" ht="37.950000000000003" customHeight="1">
      <c r="A5" s="5" t="s">
        <v>967</v>
      </c>
      <c r="B5" s="5" t="s">
        <v>968</v>
      </c>
      <c r="C5" s="5" t="s">
        <v>969</v>
      </c>
      <c r="D5" s="5">
        <v>2</v>
      </c>
      <c r="E5" s="5" t="s">
        <v>970</v>
      </c>
      <c r="F5" s="5" t="s">
        <v>964</v>
      </c>
      <c r="G5" s="5" t="s">
        <v>965</v>
      </c>
      <c r="H5" s="5" t="s">
        <v>971</v>
      </c>
      <c r="I5" s="5" t="s">
        <v>547</v>
      </c>
    </row>
    <row r="6" spans="1:9" ht="37.950000000000003" customHeight="1">
      <c r="A6" s="4" t="s">
        <v>972</v>
      </c>
      <c r="B6" s="4" t="s">
        <v>973</v>
      </c>
      <c r="C6" s="4" t="s">
        <v>974</v>
      </c>
      <c r="D6" s="4">
        <v>2</v>
      </c>
      <c r="E6" s="4" t="s">
        <v>975</v>
      </c>
      <c r="F6" s="4" t="s">
        <v>964</v>
      </c>
      <c r="G6" s="4" t="s">
        <v>965</v>
      </c>
      <c r="H6" s="4" t="s">
        <v>976</v>
      </c>
      <c r="I6" s="4" t="s">
        <v>547</v>
      </c>
    </row>
    <row r="7" spans="1:9" ht="37.950000000000003" customHeight="1">
      <c r="A7" s="5" t="s">
        <v>977</v>
      </c>
      <c r="B7" s="5" t="s">
        <v>978</v>
      </c>
      <c r="C7" s="5" t="s">
        <v>979</v>
      </c>
      <c r="D7" s="5">
        <v>2</v>
      </c>
      <c r="E7" s="5" t="s">
        <v>980</v>
      </c>
      <c r="F7" s="5" t="s">
        <v>964</v>
      </c>
      <c r="G7" s="5" t="s">
        <v>965</v>
      </c>
      <c r="H7" s="5" t="s">
        <v>981</v>
      </c>
      <c r="I7" s="5" t="s">
        <v>547</v>
      </c>
    </row>
    <row r="8" spans="1:9" ht="37.950000000000003" customHeight="1">
      <c r="A8" s="4" t="s">
        <v>982</v>
      </c>
      <c r="B8" s="4" t="s">
        <v>983</v>
      </c>
      <c r="C8" s="4" t="s">
        <v>984</v>
      </c>
      <c r="D8" s="4">
        <v>2</v>
      </c>
      <c r="E8" s="4" t="s">
        <v>985</v>
      </c>
      <c r="F8" s="4" t="s">
        <v>964</v>
      </c>
      <c r="G8" s="4" t="s">
        <v>965</v>
      </c>
      <c r="H8" s="4" t="s">
        <v>986</v>
      </c>
      <c r="I8" s="4" t="s">
        <v>547</v>
      </c>
    </row>
    <row r="9" spans="1:9" ht="37.950000000000003" customHeight="1">
      <c r="A9" s="5" t="s">
        <v>987</v>
      </c>
      <c r="B9" s="5" t="s">
        <v>988</v>
      </c>
      <c r="C9" s="5" t="s">
        <v>989</v>
      </c>
      <c r="D9" s="5">
        <v>2</v>
      </c>
      <c r="E9" s="5" t="s">
        <v>990</v>
      </c>
      <c r="F9" s="5" t="s">
        <v>964</v>
      </c>
      <c r="G9" s="5" t="s">
        <v>965</v>
      </c>
      <c r="H9" s="5" t="s">
        <v>991</v>
      </c>
      <c r="I9" s="5" t="s">
        <v>547</v>
      </c>
    </row>
    <row r="10" spans="1:9" ht="37.950000000000003" customHeight="1">
      <c r="A10" s="4" t="s">
        <v>992</v>
      </c>
      <c r="B10" s="4" t="s">
        <v>993</v>
      </c>
      <c r="C10" s="4" t="s">
        <v>994</v>
      </c>
      <c r="D10" s="4">
        <v>2</v>
      </c>
      <c r="E10" s="4" t="s">
        <v>995</v>
      </c>
      <c r="F10" s="4" t="s">
        <v>964</v>
      </c>
      <c r="G10" s="4" t="s">
        <v>965</v>
      </c>
      <c r="H10" s="4" t="s">
        <v>986</v>
      </c>
      <c r="I10" s="4" t="s">
        <v>547</v>
      </c>
    </row>
    <row r="11" spans="1:9" ht="37.950000000000003" customHeight="1">
      <c r="A11" s="5" t="s">
        <v>996</v>
      </c>
      <c r="B11" s="5" t="s">
        <v>997</v>
      </c>
      <c r="C11" s="5" t="s">
        <v>998</v>
      </c>
      <c r="D11" s="5">
        <v>2</v>
      </c>
      <c r="E11" s="5" t="s">
        <v>999</v>
      </c>
      <c r="F11" s="5" t="s">
        <v>964</v>
      </c>
      <c r="G11" s="5" t="s">
        <v>965</v>
      </c>
      <c r="H11" s="5" t="s">
        <v>1000</v>
      </c>
      <c r="I11" s="5" t="s">
        <v>547</v>
      </c>
    </row>
    <row r="12" spans="1:9" ht="37.950000000000003" customHeight="1">
      <c r="A12" s="4" t="s">
        <v>1001</v>
      </c>
      <c r="B12" s="4" t="s">
        <v>1002</v>
      </c>
      <c r="C12" s="4" t="s">
        <v>1003</v>
      </c>
      <c r="D12" s="4">
        <v>2</v>
      </c>
      <c r="E12" s="4" t="s">
        <v>1004</v>
      </c>
      <c r="F12" s="4" t="s">
        <v>964</v>
      </c>
      <c r="G12" s="4" t="s">
        <v>965</v>
      </c>
      <c r="H12" s="4" t="s">
        <v>1005</v>
      </c>
      <c r="I12" s="4" t="s">
        <v>547</v>
      </c>
    </row>
    <row r="13" spans="1:9" ht="37.950000000000003" customHeight="1">
      <c r="A13" s="5" t="s">
        <v>1006</v>
      </c>
      <c r="B13" s="5" t="s">
        <v>1007</v>
      </c>
      <c r="C13" s="5" t="s">
        <v>1008</v>
      </c>
      <c r="D13" s="5">
        <v>2</v>
      </c>
      <c r="E13" s="5" t="s">
        <v>1009</v>
      </c>
      <c r="F13" s="5" t="s">
        <v>964</v>
      </c>
      <c r="G13" s="5" t="s">
        <v>965</v>
      </c>
      <c r="H13" s="5" t="s">
        <v>1010</v>
      </c>
      <c r="I13" s="5" t="s">
        <v>547</v>
      </c>
    </row>
    <row r="14" spans="1:9" ht="61.95" customHeight="1">
      <c r="A14" s="4" t="s">
        <v>1011</v>
      </c>
      <c r="B14" s="4" t="s">
        <v>1012</v>
      </c>
      <c r="C14" s="4" t="s">
        <v>1013</v>
      </c>
      <c r="D14" s="4">
        <v>5</v>
      </c>
      <c r="E14" s="4" t="s">
        <v>1014</v>
      </c>
      <c r="F14" s="4" t="s">
        <v>964</v>
      </c>
      <c r="G14" s="4" t="s">
        <v>965</v>
      </c>
      <c r="H14" s="4" t="s">
        <v>1015</v>
      </c>
      <c r="I14" s="4" t="s">
        <v>547</v>
      </c>
    </row>
  </sheetData>
  <mergeCells count="2">
    <mergeCell ref="A1:I1"/>
    <mergeCell ref="A2:I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24"/>
  <sheetViews>
    <sheetView showGridLines="0" workbookViewId="0">
      <pane ySplit="3" topLeftCell="A4" activePane="bottomLeft" state="frozen"/>
      <selection pane="bottomLeft" activeCell="J23" sqref="J23"/>
    </sheetView>
  </sheetViews>
  <sheetFormatPr defaultColWidth="9" defaultRowHeight="14.4"/>
  <cols>
    <col min="1" max="1" width="12" customWidth="1"/>
    <col min="2" max="2" width="16" customWidth="1"/>
    <col min="3" max="4" width="15" customWidth="1"/>
    <col min="5" max="5" width="12" customWidth="1"/>
    <col min="6" max="12" width="13" customWidth="1"/>
  </cols>
  <sheetData>
    <row r="1" spans="1:12" ht="34.049999999999997" customHeight="1">
      <c r="A1" s="9" t="s">
        <v>1196</v>
      </c>
      <c r="B1" s="9"/>
      <c r="C1" s="9"/>
      <c r="D1" s="9"/>
      <c r="E1" s="9"/>
      <c r="F1" s="9"/>
      <c r="G1" s="9"/>
      <c r="H1" s="9"/>
      <c r="I1" s="9"/>
      <c r="J1" s="9"/>
      <c r="K1" s="9"/>
      <c r="L1" s="9"/>
    </row>
    <row r="2" spans="1:12" ht="31.95" customHeight="1">
      <c r="A2" s="10" t="s">
        <v>1197</v>
      </c>
      <c r="B2" s="10"/>
      <c r="C2" s="10"/>
      <c r="D2" s="10"/>
      <c r="E2" s="10"/>
      <c r="F2" s="10"/>
      <c r="G2" s="10"/>
      <c r="H2" s="10"/>
      <c r="I2" s="10"/>
      <c r="J2" s="10"/>
      <c r="K2" s="10"/>
      <c r="L2" s="10"/>
    </row>
    <row r="3" spans="1:12" ht="28.05" customHeight="1">
      <c r="A3" s="3" t="s">
        <v>1016</v>
      </c>
      <c r="B3" s="3" t="s">
        <v>1017</v>
      </c>
      <c r="C3" s="3" t="s">
        <v>1018</v>
      </c>
      <c r="D3" s="3" t="s">
        <v>1019</v>
      </c>
      <c r="E3" s="3" t="s">
        <v>1020</v>
      </c>
      <c r="F3" s="3" t="s">
        <v>1021</v>
      </c>
      <c r="G3" s="3" t="s">
        <v>1022</v>
      </c>
      <c r="H3" s="3" t="s">
        <v>1023</v>
      </c>
      <c r="I3" s="3" t="s">
        <v>1024</v>
      </c>
      <c r="J3" s="3" t="s">
        <v>1025</v>
      </c>
      <c r="K3" s="3" t="s">
        <v>1026</v>
      </c>
      <c r="L3" s="3" t="s">
        <v>1027</v>
      </c>
    </row>
    <row r="4" spans="1:12" ht="37.950000000000003" customHeight="1">
      <c r="A4" s="4">
        <v>1</v>
      </c>
      <c r="B4" s="4" t="s">
        <v>1028</v>
      </c>
      <c r="C4" s="4"/>
      <c r="D4" s="4">
        <v>3</v>
      </c>
      <c r="E4" s="4">
        <v>0</v>
      </c>
      <c r="F4" s="4" t="s">
        <v>1029</v>
      </c>
      <c r="G4" s="4" t="s">
        <v>1029</v>
      </c>
      <c r="H4" s="4" t="s">
        <v>1029</v>
      </c>
      <c r="I4" s="4">
        <v>0</v>
      </c>
      <c r="J4" s="4" t="s">
        <v>1029</v>
      </c>
      <c r="K4" s="4" t="s">
        <v>1029</v>
      </c>
      <c r="L4" s="4" t="s">
        <v>1029</v>
      </c>
    </row>
    <row r="5" spans="1:12" ht="37.950000000000003" customHeight="1">
      <c r="A5" s="5">
        <v>2</v>
      </c>
      <c r="B5" s="5" t="s">
        <v>1028</v>
      </c>
      <c r="C5" s="5"/>
      <c r="D5" s="5">
        <v>4</v>
      </c>
      <c r="E5" s="5">
        <v>1</v>
      </c>
      <c r="F5" s="5" t="s">
        <v>1030</v>
      </c>
      <c r="G5" s="5" t="s">
        <v>1031</v>
      </c>
      <c r="H5" s="5" t="s">
        <v>1032</v>
      </c>
      <c r="I5" s="5">
        <v>0</v>
      </c>
      <c r="J5" s="5" t="s">
        <v>1029</v>
      </c>
      <c r="K5" s="5" t="s">
        <v>1029</v>
      </c>
      <c r="L5" s="5" t="s">
        <v>1029</v>
      </c>
    </row>
    <row r="6" spans="1:12" ht="37.950000000000003" customHeight="1">
      <c r="A6" s="4">
        <v>3</v>
      </c>
      <c r="B6" s="4" t="s">
        <v>1028</v>
      </c>
      <c r="C6" s="4"/>
      <c r="D6" s="4">
        <v>5</v>
      </c>
      <c r="E6" s="4">
        <v>2</v>
      </c>
      <c r="F6" s="4" t="s">
        <v>1033</v>
      </c>
      <c r="G6" s="4" t="s">
        <v>1034</v>
      </c>
      <c r="H6" s="4" t="s">
        <v>1030</v>
      </c>
      <c r="I6" s="4">
        <v>0</v>
      </c>
      <c r="J6" s="4" t="s">
        <v>1029</v>
      </c>
      <c r="K6" s="4" t="s">
        <v>1029</v>
      </c>
      <c r="L6" s="4" t="s">
        <v>1029</v>
      </c>
    </row>
    <row r="7" spans="1:12" ht="37.950000000000003" customHeight="1">
      <c r="A7" s="5">
        <v>4</v>
      </c>
      <c r="B7" s="5" t="s">
        <v>1028</v>
      </c>
      <c r="C7" s="5" t="s">
        <v>80</v>
      </c>
      <c r="D7" s="5">
        <v>5</v>
      </c>
      <c r="E7" s="5">
        <v>3</v>
      </c>
      <c r="F7" s="5" t="s">
        <v>1035</v>
      </c>
      <c r="G7" s="5" t="s">
        <v>1036</v>
      </c>
      <c r="H7" s="5" t="s">
        <v>1037</v>
      </c>
      <c r="I7" s="5">
        <v>0</v>
      </c>
      <c r="J7" s="5" t="s">
        <v>1029</v>
      </c>
      <c r="K7" s="5" t="s">
        <v>1029</v>
      </c>
      <c r="L7" s="5" t="s">
        <v>1029</v>
      </c>
    </row>
    <row r="8" spans="1:12" ht="37.950000000000003" customHeight="1">
      <c r="A8" s="4">
        <v>5</v>
      </c>
      <c r="B8" s="4" t="s">
        <v>1038</v>
      </c>
      <c r="C8" s="4"/>
      <c r="D8" s="4">
        <v>3</v>
      </c>
      <c r="E8" s="4">
        <v>4</v>
      </c>
      <c r="F8" s="4" t="s">
        <v>1039</v>
      </c>
      <c r="G8" s="4" t="s">
        <v>1040</v>
      </c>
      <c r="H8" s="4" t="s">
        <v>1041</v>
      </c>
      <c r="I8" s="4">
        <v>0</v>
      </c>
      <c r="J8" s="4" t="s">
        <v>1029</v>
      </c>
      <c r="K8" s="4" t="s">
        <v>1029</v>
      </c>
      <c r="L8" s="4" t="s">
        <v>1029</v>
      </c>
    </row>
    <row r="9" spans="1:12" ht="37.950000000000003" customHeight="1">
      <c r="A9" s="5">
        <v>6</v>
      </c>
      <c r="B9" s="5" t="s">
        <v>1042</v>
      </c>
      <c r="C9" s="5"/>
      <c r="D9" s="5">
        <v>0</v>
      </c>
      <c r="E9" s="5">
        <v>4</v>
      </c>
      <c r="F9" s="5" t="s">
        <v>1039</v>
      </c>
      <c r="G9" s="5" t="s">
        <v>1040</v>
      </c>
      <c r="H9" s="5" t="s">
        <v>1041</v>
      </c>
      <c r="I9" s="5">
        <v>1</v>
      </c>
      <c r="J9" s="5" t="s">
        <v>1043</v>
      </c>
      <c r="K9" s="5" t="s">
        <v>1044</v>
      </c>
      <c r="L9" s="5" t="s">
        <v>1045</v>
      </c>
    </row>
    <row r="10" spans="1:12" ht="37.950000000000003" customHeight="1">
      <c r="A10" s="4">
        <v>7</v>
      </c>
      <c r="B10" s="4" t="s">
        <v>1028</v>
      </c>
      <c r="C10" s="4"/>
      <c r="D10" s="4">
        <v>6</v>
      </c>
      <c r="E10" s="4">
        <v>4</v>
      </c>
      <c r="F10" s="4" t="s">
        <v>1039</v>
      </c>
      <c r="G10" s="4" t="s">
        <v>1040</v>
      </c>
      <c r="H10" s="4" t="s">
        <v>1041</v>
      </c>
      <c r="I10" s="4">
        <v>1</v>
      </c>
      <c r="J10" s="4" t="s">
        <v>1043</v>
      </c>
      <c r="K10" s="4" t="s">
        <v>1044</v>
      </c>
      <c r="L10" s="4" t="s">
        <v>1045</v>
      </c>
    </row>
    <row r="11" spans="1:12" ht="37.950000000000003" customHeight="1">
      <c r="A11" s="5">
        <v>8</v>
      </c>
      <c r="B11" s="5" t="s">
        <v>1028</v>
      </c>
      <c r="C11" s="5" t="s">
        <v>80</v>
      </c>
      <c r="D11" s="5">
        <v>6</v>
      </c>
      <c r="E11" s="5">
        <v>5</v>
      </c>
      <c r="F11" s="5" t="s">
        <v>1046</v>
      </c>
      <c r="G11" s="5" t="s">
        <v>1047</v>
      </c>
      <c r="H11" s="5" t="s">
        <v>1048</v>
      </c>
      <c r="I11" s="5">
        <v>1</v>
      </c>
      <c r="J11" s="5" t="s">
        <v>1043</v>
      </c>
      <c r="K11" s="5" t="s">
        <v>1044</v>
      </c>
      <c r="L11" s="5" t="s">
        <v>1045</v>
      </c>
    </row>
    <row r="12" spans="1:12" ht="37.950000000000003" customHeight="1">
      <c r="A12" s="4">
        <v>9</v>
      </c>
      <c r="B12" s="4" t="s">
        <v>1028</v>
      </c>
      <c r="C12" s="4"/>
      <c r="D12" s="4">
        <v>6</v>
      </c>
      <c r="E12" s="4">
        <v>6</v>
      </c>
      <c r="F12" s="4" t="s">
        <v>1049</v>
      </c>
      <c r="G12" s="4" t="s">
        <v>1050</v>
      </c>
      <c r="H12" s="4" t="s">
        <v>1051</v>
      </c>
      <c r="I12" s="4">
        <v>1</v>
      </c>
      <c r="J12" s="4" t="s">
        <v>1043</v>
      </c>
      <c r="K12" s="4" t="s">
        <v>1044</v>
      </c>
      <c r="L12" s="4" t="s">
        <v>1045</v>
      </c>
    </row>
    <row r="13" spans="1:12" ht="37.950000000000003" customHeight="1">
      <c r="A13" s="5">
        <v>10</v>
      </c>
      <c r="B13" s="5" t="s">
        <v>1038</v>
      </c>
      <c r="C13" s="5"/>
      <c r="D13" s="5">
        <v>3</v>
      </c>
      <c r="E13" s="5">
        <v>7</v>
      </c>
      <c r="F13" s="5" t="s">
        <v>1052</v>
      </c>
      <c r="G13" s="5" t="s">
        <v>1053</v>
      </c>
      <c r="H13" s="5" t="s">
        <v>1054</v>
      </c>
      <c r="I13" s="5">
        <v>1</v>
      </c>
      <c r="J13" s="5" t="s">
        <v>1043</v>
      </c>
      <c r="K13" s="5" t="s">
        <v>1044</v>
      </c>
      <c r="L13" s="5" t="s">
        <v>1045</v>
      </c>
    </row>
    <row r="14" spans="1:12" ht="37.950000000000003" customHeight="1">
      <c r="A14" s="4">
        <v>11</v>
      </c>
      <c r="B14" s="4" t="s">
        <v>1028</v>
      </c>
      <c r="C14" s="4"/>
      <c r="D14" s="4">
        <v>8</v>
      </c>
      <c r="E14" s="4">
        <v>7</v>
      </c>
      <c r="F14" s="4" t="s">
        <v>1052</v>
      </c>
      <c r="G14" s="4" t="s">
        <v>1053</v>
      </c>
      <c r="H14" s="4" t="s">
        <v>1054</v>
      </c>
      <c r="I14" s="4">
        <v>2</v>
      </c>
      <c r="J14" s="4" t="s">
        <v>1055</v>
      </c>
      <c r="K14" s="4" t="s">
        <v>1056</v>
      </c>
      <c r="L14" s="4" t="s">
        <v>1057</v>
      </c>
    </row>
    <row r="15" spans="1:12" ht="37.950000000000003" customHeight="1">
      <c r="A15" s="5">
        <v>12</v>
      </c>
      <c r="B15" s="5" t="s">
        <v>1042</v>
      </c>
      <c r="C15" s="5" t="s">
        <v>80</v>
      </c>
      <c r="D15" s="5">
        <v>0</v>
      </c>
      <c r="E15" s="5">
        <v>8</v>
      </c>
      <c r="F15" s="5" t="s">
        <v>1058</v>
      </c>
      <c r="G15" s="5" t="s">
        <v>1059</v>
      </c>
      <c r="H15" s="5" t="s">
        <v>1060</v>
      </c>
      <c r="I15" s="5">
        <v>2</v>
      </c>
      <c r="J15" s="5" t="s">
        <v>1055</v>
      </c>
      <c r="K15" s="5" t="s">
        <v>1056</v>
      </c>
      <c r="L15" s="5" t="s">
        <v>1057</v>
      </c>
    </row>
    <row r="16" spans="1:12" ht="37.950000000000003" customHeight="1">
      <c r="A16" s="4">
        <v>13</v>
      </c>
      <c r="B16" s="4" t="s">
        <v>1028</v>
      </c>
      <c r="C16" s="4"/>
      <c r="D16" s="4">
        <v>8</v>
      </c>
      <c r="E16" s="4">
        <v>8</v>
      </c>
      <c r="F16" s="4" t="s">
        <v>1058</v>
      </c>
      <c r="G16" s="4" t="s">
        <v>1059</v>
      </c>
      <c r="H16" s="4" t="s">
        <v>1060</v>
      </c>
      <c r="I16" s="4">
        <v>2</v>
      </c>
      <c r="J16" s="4" t="s">
        <v>1055</v>
      </c>
      <c r="K16" s="4" t="s">
        <v>1056</v>
      </c>
      <c r="L16" s="4" t="s">
        <v>1057</v>
      </c>
    </row>
    <row r="17" spans="1:12" ht="37.950000000000003" customHeight="1">
      <c r="A17" s="5">
        <v>14</v>
      </c>
      <c r="B17" s="5" t="s">
        <v>1028</v>
      </c>
      <c r="C17" s="5"/>
      <c r="D17" s="5">
        <v>12</v>
      </c>
      <c r="E17" s="5">
        <v>9</v>
      </c>
      <c r="F17" s="5" t="s">
        <v>1061</v>
      </c>
      <c r="G17" s="5" t="s">
        <v>1062</v>
      </c>
      <c r="H17" s="5" t="s">
        <v>1063</v>
      </c>
      <c r="I17" s="5">
        <v>2</v>
      </c>
      <c r="J17" s="5" t="s">
        <v>1055</v>
      </c>
      <c r="K17" s="5" t="s">
        <v>1056</v>
      </c>
      <c r="L17" s="5" t="s">
        <v>1057</v>
      </c>
    </row>
    <row r="18" spans="1:12" ht="37.950000000000003" customHeight="1">
      <c r="A18" s="4">
        <v>15</v>
      </c>
      <c r="B18" s="4" t="s">
        <v>1038</v>
      </c>
      <c r="C18" s="4"/>
      <c r="D18" s="4">
        <v>3</v>
      </c>
      <c r="E18" s="4">
        <v>10</v>
      </c>
      <c r="F18" s="4" t="s">
        <v>1064</v>
      </c>
      <c r="G18" s="4" t="s">
        <v>1065</v>
      </c>
      <c r="H18" s="4" t="s">
        <v>1066</v>
      </c>
      <c r="I18" s="4">
        <v>2</v>
      </c>
      <c r="J18" s="4" t="s">
        <v>1055</v>
      </c>
      <c r="K18" s="4" t="s">
        <v>1056</v>
      </c>
      <c r="L18" s="4" t="s">
        <v>1057</v>
      </c>
    </row>
    <row r="19" spans="1:12" ht="37.950000000000003" customHeight="1">
      <c r="A19" s="5">
        <v>16</v>
      </c>
      <c r="B19" s="5" t="s">
        <v>1028</v>
      </c>
      <c r="C19" s="5" t="s">
        <v>80</v>
      </c>
      <c r="D19" s="5">
        <v>12</v>
      </c>
      <c r="E19" s="5">
        <v>10</v>
      </c>
      <c r="F19" s="5" t="s">
        <v>1064</v>
      </c>
      <c r="G19" s="5" t="s">
        <v>1065</v>
      </c>
      <c r="H19" s="5" t="s">
        <v>1066</v>
      </c>
      <c r="I19" s="5">
        <v>3</v>
      </c>
      <c r="J19" s="5" t="s">
        <v>1067</v>
      </c>
      <c r="K19" s="5" t="s">
        <v>1068</v>
      </c>
      <c r="L19" s="5" t="s">
        <v>1069</v>
      </c>
    </row>
    <row r="20" spans="1:12" ht="37.950000000000003" customHeight="1">
      <c r="A20" s="4">
        <v>17</v>
      </c>
      <c r="B20" s="4" t="s">
        <v>1028</v>
      </c>
      <c r="C20" s="4"/>
      <c r="D20" s="4">
        <v>12</v>
      </c>
      <c r="E20" s="4">
        <v>11</v>
      </c>
      <c r="F20" s="4" t="s">
        <v>1070</v>
      </c>
      <c r="G20" s="4" t="s">
        <v>1071</v>
      </c>
      <c r="H20" s="4" t="s">
        <v>1053</v>
      </c>
      <c r="I20" s="4">
        <v>3</v>
      </c>
      <c r="J20" s="4" t="s">
        <v>1067</v>
      </c>
      <c r="K20" s="4" t="s">
        <v>1068</v>
      </c>
      <c r="L20" s="4" t="s">
        <v>1069</v>
      </c>
    </row>
    <row r="21" spans="1:12" ht="37.950000000000003" customHeight="1">
      <c r="A21" s="5">
        <v>18</v>
      </c>
      <c r="B21" s="5" t="s">
        <v>1042</v>
      </c>
      <c r="C21" s="5"/>
      <c r="D21" s="5">
        <v>0</v>
      </c>
      <c r="E21" s="5">
        <v>12</v>
      </c>
      <c r="F21" s="5" t="s">
        <v>1072</v>
      </c>
      <c r="G21" s="5" t="s">
        <v>1073</v>
      </c>
      <c r="H21" s="5" t="s">
        <v>1074</v>
      </c>
      <c r="I21" s="5">
        <v>3</v>
      </c>
      <c r="J21" s="5" t="s">
        <v>1067</v>
      </c>
      <c r="K21" s="5" t="s">
        <v>1068</v>
      </c>
      <c r="L21" s="5" t="s">
        <v>1069</v>
      </c>
    </row>
    <row r="22" spans="1:12" ht="37.950000000000003" customHeight="1">
      <c r="A22" s="4">
        <v>19</v>
      </c>
      <c r="B22" s="4" t="s">
        <v>1028</v>
      </c>
      <c r="C22" s="4"/>
      <c r="D22" s="4">
        <v>15</v>
      </c>
      <c r="E22" s="4">
        <v>12</v>
      </c>
      <c r="F22" s="4" t="s">
        <v>1072</v>
      </c>
      <c r="G22" s="4" t="s">
        <v>1073</v>
      </c>
      <c r="H22" s="4" t="s">
        <v>1074</v>
      </c>
      <c r="I22" s="4">
        <v>3</v>
      </c>
      <c r="J22" s="4" t="s">
        <v>1067</v>
      </c>
      <c r="K22" s="4" t="s">
        <v>1068</v>
      </c>
      <c r="L22" s="4" t="s">
        <v>1069</v>
      </c>
    </row>
    <row r="23" spans="1:12" ht="37.950000000000003" customHeight="1">
      <c r="A23" s="5">
        <v>20</v>
      </c>
      <c r="B23" s="5" t="s">
        <v>1038</v>
      </c>
      <c r="C23" s="5" t="s">
        <v>80</v>
      </c>
      <c r="D23" s="5">
        <v>18</v>
      </c>
      <c r="E23" s="5">
        <v>13</v>
      </c>
      <c r="F23" s="5" t="s">
        <v>1075</v>
      </c>
      <c r="G23" s="5" t="s">
        <v>1076</v>
      </c>
      <c r="H23" s="5" t="s">
        <v>1077</v>
      </c>
      <c r="I23" s="5">
        <v>3</v>
      </c>
      <c r="J23" s="5" t="s">
        <v>1067</v>
      </c>
      <c r="K23" s="5" t="s">
        <v>1068</v>
      </c>
      <c r="L23" s="5" t="s">
        <v>1069</v>
      </c>
    </row>
    <row r="24" spans="1:12" ht="37.950000000000003" customHeight="1">
      <c r="A24" s="4">
        <v>21</v>
      </c>
      <c r="B24" s="4" t="s">
        <v>1078</v>
      </c>
      <c r="C24" s="4"/>
      <c r="D24" s="4">
        <v>0</v>
      </c>
      <c r="E24" s="4">
        <v>13</v>
      </c>
      <c r="F24" s="4" t="s">
        <v>1075</v>
      </c>
      <c r="G24" s="4" t="s">
        <v>1076</v>
      </c>
      <c r="H24" s="4" t="s">
        <v>1077</v>
      </c>
      <c r="I24" s="4">
        <v>4</v>
      </c>
      <c r="J24" s="4" t="s">
        <v>1079</v>
      </c>
      <c r="K24" s="4" t="s">
        <v>1080</v>
      </c>
      <c r="L24" s="4" t="s">
        <v>1081</v>
      </c>
    </row>
  </sheetData>
  <mergeCells count="2">
    <mergeCell ref="A1:L1"/>
    <mergeCell ref="A2:L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5"/>
  <sheetViews>
    <sheetView showGridLines="0" workbookViewId="0">
      <pane ySplit="3" topLeftCell="A4" activePane="bottomLeft" state="frozen"/>
      <selection pane="bottomLeft" sqref="A1:E1"/>
    </sheetView>
  </sheetViews>
  <sheetFormatPr defaultColWidth="9" defaultRowHeight="14.4"/>
  <cols>
    <col min="1" max="1" width="36" customWidth="1"/>
    <col min="2" max="2" width="16" customWidth="1"/>
    <col min="3" max="3" width="14" customWidth="1"/>
    <col min="4" max="4" width="63" customWidth="1"/>
    <col min="5" max="5" width="46" customWidth="1"/>
  </cols>
  <sheetData>
    <row r="1" spans="1:5" ht="34.049999999999997" customHeight="1">
      <c r="A1" s="9" t="s">
        <v>1198</v>
      </c>
      <c r="B1" s="9"/>
      <c r="C1" s="9"/>
      <c r="D1" s="9"/>
      <c r="E1" s="9"/>
    </row>
    <row r="2" spans="1:5" ht="36" customHeight="1">
      <c r="A2" s="10" t="s">
        <v>1199</v>
      </c>
      <c r="B2" s="10"/>
      <c r="C2" s="10"/>
      <c r="D2" s="10"/>
      <c r="E2" s="10"/>
    </row>
    <row r="3" spans="1:5" ht="28.05" customHeight="1">
      <c r="A3" s="1" t="s">
        <v>1084</v>
      </c>
      <c r="B3" s="1" t="s">
        <v>1085</v>
      </c>
      <c r="C3" s="1" t="s">
        <v>1082</v>
      </c>
      <c r="D3" s="1" t="s">
        <v>959</v>
      </c>
      <c r="E3" s="1" t="s">
        <v>1086</v>
      </c>
    </row>
    <row r="4" spans="1:5" ht="24" customHeight="1">
      <c r="A4" s="2" t="s">
        <v>1087</v>
      </c>
      <c r="B4" s="2">
        <v>0.4</v>
      </c>
      <c r="C4" s="2" t="s">
        <v>1083</v>
      </c>
      <c r="D4" s="2" t="s">
        <v>1088</v>
      </c>
      <c r="E4" s="2" t="s">
        <v>1089</v>
      </c>
    </row>
    <row r="5" spans="1:5" ht="24" customHeight="1">
      <c r="A5" s="2" t="s">
        <v>1090</v>
      </c>
      <c r="B5" s="2">
        <v>0.3</v>
      </c>
      <c r="C5" s="2" t="s">
        <v>1083</v>
      </c>
      <c r="D5" s="2" t="s">
        <v>1091</v>
      </c>
      <c r="E5" s="2" t="s">
        <v>1092</v>
      </c>
    </row>
  </sheetData>
  <mergeCells count="2">
    <mergeCell ref="A1:E1"/>
    <mergeCell ref="A2:E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00_版本与口径</vt:lpstr>
      <vt:lpstr>01_棋子基础</vt:lpstr>
      <vt:lpstr>02_棋子技能</vt:lpstr>
      <vt:lpstr>03_宠物技能</vt:lpstr>
      <vt:lpstr>04_羁绊</vt:lpstr>
      <vt:lpstr>05_野怪</vt:lpstr>
      <vt:lpstr>06_Boss</vt:lpstr>
      <vt:lpstr>07_佣兵</vt:lpstr>
      <vt:lpstr>09_宝藏与套装</vt:lpstr>
      <vt:lpstr>10_宝藏联动</vt:lpstr>
      <vt:lpstr>13_怪物Boss回合</vt:lpstr>
      <vt:lpstr>92_战斗参数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2026-10-10T07:41:00Z</dcterms:created>
  <dcterms:modified xsi:type="dcterms:W3CDTF">2026-10-23T08:10:16Z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3051EC847993441FA5C7E58F036C8431_12</vt:lpwstr>
  </property>
  <property fmtid="{D5CDD505-2E9C-101B-9397-08002B2CF9AE}" pid="3" name="KSOProductBuildVer">
    <vt:lpwstr>2057-12.2.0.23206</vt:lpwstr>
  </property>
</Properties>
</file>